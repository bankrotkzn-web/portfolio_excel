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CF2834-BCE0-4A58-AEFF-9655B4515818}" xr6:coauthVersionLast="47" xr6:coauthVersionMax="47" xr10:uidLastSave="{00000000-0000-0000-0000-000000000000}"/>
  <bookViews>
    <workbookView xWindow="-108" yWindow="-108" windowWidth="23256" windowHeight="12576" firstSheet="4" activeTab="9" xr2:uid="{00000000-000D-0000-FFFF-FFFF00000000}"/>
  </bookViews>
  <sheets>
    <sheet name="интро" sheetId="1" r:id="rId1"/>
    <sheet name="Продажи магазинов" sheetId="2" r:id="rId2"/>
    <sheet name="Выгода клиентам" sheetId="3" r:id="rId3"/>
    <sheet name="Суммарные продажи по магазинам" sheetId="4" r:id="rId4"/>
    <sheet name="продажи" sheetId="5" r:id="rId5"/>
    <sheet name="товар" sheetId="6" r:id="rId6"/>
    <sheet name="География клиентов" sheetId="7" r:id="rId7"/>
    <sheet name="клиенты" sheetId="8" r:id="rId8"/>
    <sheet name="коды стран" sheetId="9" r:id="rId9"/>
    <sheet name="Дашборд" sheetId="10" r:id="rId10"/>
  </sheets>
  <calcPr calcId="191029"/>
  <pivotCaches>
    <pivotCache cacheId="4" r:id="rId11"/>
    <pivotCache cacheId="5" r:id="rId1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01" i="5" l="1"/>
  <c r="O1001" i="5" s="1"/>
  <c r="L1001" i="5"/>
  <c r="I1001" i="5"/>
  <c r="E1001" i="5"/>
  <c r="N1000" i="5"/>
  <c r="O1000" i="5" s="1"/>
  <c r="L1000" i="5"/>
  <c r="I1000" i="5"/>
  <c r="E1000" i="5"/>
  <c r="N999" i="5"/>
  <c r="O999" i="5" s="1"/>
  <c r="L999" i="5"/>
  <c r="I999" i="5"/>
  <c r="E999" i="5"/>
  <c r="N998" i="5"/>
  <c r="O998" i="5" s="1"/>
  <c r="L998" i="5"/>
  <c r="I998" i="5"/>
  <c r="E998" i="5"/>
  <c r="N997" i="5"/>
  <c r="O997" i="5" s="1"/>
  <c r="L997" i="5"/>
  <c r="I997" i="5"/>
  <c r="E997" i="5"/>
  <c r="N996" i="5"/>
  <c r="O996" i="5" s="1"/>
  <c r="L996" i="5"/>
  <c r="I996" i="5"/>
  <c r="E996" i="5"/>
  <c r="N995" i="5"/>
  <c r="O995" i="5" s="1"/>
  <c r="L995" i="5"/>
  <c r="I995" i="5"/>
  <c r="E995" i="5"/>
  <c r="N994" i="5"/>
  <c r="O994" i="5" s="1"/>
  <c r="L994" i="5"/>
  <c r="I994" i="5"/>
  <c r="E994" i="5"/>
  <c r="N993" i="5"/>
  <c r="O993" i="5" s="1"/>
  <c r="L993" i="5"/>
  <c r="I993" i="5"/>
  <c r="E993" i="5"/>
  <c r="N992" i="5"/>
  <c r="O992" i="5" s="1"/>
  <c r="L992" i="5"/>
  <c r="I992" i="5"/>
  <c r="E992" i="5"/>
  <c r="N991" i="5"/>
  <c r="O991" i="5" s="1"/>
  <c r="L991" i="5"/>
  <c r="I991" i="5"/>
  <c r="E991" i="5"/>
  <c r="N990" i="5"/>
  <c r="O990" i="5" s="1"/>
  <c r="L990" i="5"/>
  <c r="I990" i="5"/>
  <c r="E990" i="5"/>
  <c r="N989" i="5"/>
  <c r="O989" i="5" s="1"/>
  <c r="L989" i="5"/>
  <c r="I989" i="5"/>
  <c r="E989" i="5"/>
  <c r="N988" i="5"/>
  <c r="O988" i="5" s="1"/>
  <c r="L988" i="5"/>
  <c r="I988" i="5"/>
  <c r="E988" i="5"/>
  <c r="N987" i="5"/>
  <c r="O987" i="5" s="1"/>
  <c r="L987" i="5"/>
  <c r="I987" i="5"/>
  <c r="E987" i="5"/>
  <c r="N986" i="5"/>
  <c r="O986" i="5" s="1"/>
  <c r="L986" i="5"/>
  <c r="I986" i="5"/>
  <c r="E986" i="5"/>
  <c r="N985" i="5"/>
  <c r="O985" i="5" s="1"/>
  <c r="L985" i="5"/>
  <c r="I985" i="5"/>
  <c r="E985" i="5"/>
  <c r="N984" i="5"/>
  <c r="O984" i="5" s="1"/>
  <c r="L984" i="5"/>
  <c r="I984" i="5"/>
  <c r="E984" i="5"/>
  <c r="N983" i="5"/>
  <c r="O983" i="5" s="1"/>
  <c r="L983" i="5"/>
  <c r="I983" i="5"/>
  <c r="E983" i="5"/>
  <c r="N982" i="5"/>
  <c r="O982" i="5" s="1"/>
  <c r="L982" i="5"/>
  <c r="I982" i="5"/>
  <c r="E982" i="5"/>
  <c r="N981" i="5"/>
  <c r="O981" i="5" s="1"/>
  <c r="L981" i="5"/>
  <c r="I981" i="5"/>
  <c r="E981" i="5"/>
  <c r="N980" i="5"/>
  <c r="O980" i="5" s="1"/>
  <c r="L980" i="5"/>
  <c r="I980" i="5"/>
  <c r="E980" i="5"/>
  <c r="N979" i="5"/>
  <c r="O979" i="5" s="1"/>
  <c r="L979" i="5"/>
  <c r="I979" i="5"/>
  <c r="E979" i="5"/>
  <c r="N978" i="5"/>
  <c r="O978" i="5" s="1"/>
  <c r="L978" i="5"/>
  <c r="I978" i="5"/>
  <c r="E978" i="5"/>
  <c r="N977" i="5"/>
  <c r="O977" i="5" s="1"/>
  <c r="L977" i="5"/>
  <c r="I977" i="5"/>
  <c r="E977" i="5"/>
  <c r="N976" i="5"/>
  <c r="O976" i="5" s="1"/>
  <c r="L976" i="5"/>
  <c r="I976" i="5"/>
  <c r="E976" i="5"/>
  <c r="N975" i="5"/>
  <c r="O975" i="5" s="1"/>
  <c r="L975" i="5"/>
  <c r="I975" i="5"/>
  <c r="E975" i="5"/>
  <c r="N974" i="5"/>
  <c r="O974" i="5" s="1"/>
  <c r="L974" i="5"/>
  <c r="I974" i="5"/>
  <c r="E974" i="5"/>
  <c r="N973" i="5"/>
  <c r="O973" i="5" s="1"/>
  <c r="L973" i="5"/>
  <c r="I973" i="5"/>
  <c r="E973" i="5"/>
  <c r="N972" i="5"/>
  <c r="O972" i="5" s="1"/>
  <c r="L972" i="5"/>
  <c r="I972" i="5"/>
  <c r="E972" i="5"/>
  <c r="N971" i="5"/>
  <c r="O971" i="5" s="1"/>
  <c r="L971" i="5"/>
  <c r="I971" i="5"/>
  <c r="E971" i="5"/>
  <c r="N970" i="5"/>
  <c r="O970" i="5" s="1"/>
  <c r="L970" i="5"/>
  <c r="I970" i="5"/>
  <c r="E970" i="5"/>
  <c r="N969" i="5"/>
  <c r="O969" i="5" s="1"/>
  <c r="L969" i="5"/>
  <c r="I969" i="5"/>
  <c r="E969" i="5"/>
  <c r="N968" i="5"/>
  <c r="O968" i="5" s="1"/>
  <c r="L968" i="5"/>
  <c r="I968" i="5"/>
  <c r="E968" i="5"/>
  <c r="N967" i="5"/>
  <c r="O967" i="5" s="1"/>
  <c r="L967" i="5"/>
  <c r="I967" i="5"/>
  <c r="E967" i="5"/>
  <c r="N966" i="5"/>
  <c r="O966" i="5" s="1"/>
  <c r="L966" i="5"/>
  <c r="I966" i="5"/>
  <c r="E966" i="5"/>
  <c r="N965" i="5"/>
  <c r="O965" i="5" s="1"/>
  <c r="L965" i="5"/>
  <c r="I965" i="5"/>
  <c r="E965" i="5"/>
  <c r="N964" i="5"/>
  <c r="O964" i="5" s="1"/>
  <c r="L964" i="5"/>
  <c r="I964" i="5"/>
  <c r="E964" i="5"/>
  <c r="N963" i="5"/>
  <c r="O963" i="5" s="1"/>
  <c r="L963" i="5"/>
  <c r="I963" i="5"/>
  <c r="E963" i="5"/>
  <c r="N962" i="5"/>
  <c r="O962" i="5" s="1"/>
  <c r="L962" i="5"/>
  <c r="I962" i="5"/>
  <c r="E962" i="5"/>
  <c r="N961" i="5"/>
  <c r="O961" i="5" s="1"/>
  <c r="L961" i="5"/>
  <c r="I961" i="5"/>
  <c r="E961" i="5"/>
  <c r="N960" i="5"/>
  <c r="O960" i="5" s="1"/>
  <c r="L960" i="5"/>
  <c r="I960" i="5"/>
  <c r="E960" i="5"/>
  <c r="N959" i="5"/>
  <c r="O959" i="5" s="1"/>
  <c r="L959" i="5"/>
  <c r="I959" i="5"/>
  <c r="E959" i="5"/>
  <c r="N958" i="5"/>
  <c r="O958" i="5" s="1"/>
  <c r="L958" i="5"/>
  <c r="I958" i="5"/>
  <c r="E958" i="5"/>
  <c r="N957" i="5"/>
  <c r="O957" i="5" s="1"/>
  <c r="L957" i="5"/>
  <c r="I957" i="5"/>
  <c r="E957" i="5"/>
  <c r="N956" i="5"/>
  <c r="O956" i="5" s="1"/>
  <c r="L956" i="5"/>
  <c r="I956" i="5"/>
  <c r="E956" i="5"/>
  <c r="N955" i="5"/>
  <c r="O955" i="5" s="1"/>
  <c r="L955" i="5"/>
  <c r="I955" i="5"/>
  <c r="E955" i="5"/>
  <c r="N954" i="5"/>
  <c r="O954" i="5" s="1"/>
  <c r="L954" i="5"/>
  <c r="I954" i="5"/>
  <c r="E954" i="5"/>
  <c r="N953" i="5"/>
  <c r="O953" i="5" s="1"/>
  <c r="L953" i="5"/>
  <c r="I953" i="5"/>
  <c r="E953" i="5"/>
  <c r="N952" i="5"/>
  <c r="O952" i="5" s="1"/>
  <c r="L952" i="5"/>
  <c r="I952" i="5"/>
  <c r="E952" i="5"/>
  <c r="N951" i="5"/>
  <c r="O951" i="5" s="1"/>
  <c r="L951" i="5"/>
  <c r="I951" i="5"/>
  <c r="E951" i="5"/>
  <c r="N950" i="5"/>
  <c r="O950" i="5" s="1"/>
  <c r="L950" i="5"/>
  <c r="I950" i="5"/>
  <c r="E950" i="5"/>
  <c r="N949" i="5"/>
  <c r="O949" i="5" s="1"/>
  <c r="L949" i="5"/>
  <c r="I949" i="5"/>
  <c r="E949" i="5"/>
  <c r="N948" i="5"/>
  <c r="O948" i="5" s="1"/>
  <c r="L948" i="5"/>
  <c r="I948" i="5"/>
  <c r="E948" i="5"/>
  <c r="N947" i="5"/>
  <c r="O947" i="5" s="1"/>
  <c r="L947" i="5"/>
  <c r="I947" i="5"/>
  <c r="E947" i="5"/>
  <c r="N946" i="5"/>
  <c r="O946" i="5" s="1"/>
  <c r="L946" i="5"/>
  <c r="I946" i="5"/>
  <c r="E946" i="5"/>
  <c r="N945" i="5"/>
  <c r="O945" i="5" s="1"/>
  <c r="L945" i="5"/>
  <c r="I945" i="5"/>
  <c r="E945" i="5"/>
  <c r="N944" i="5"/>
  <c r="O944" i="5" s="1"/>
  <c r="L944" i="5"/>
  <c r="I944" i="5"/>
  <c r="E944" i="5"/>
  <c r="N943" i="5"/>
  <c r="O943" i="5" s="1"/>
  <c r="L943" i="5"/>
  <c r="I943" i="5"/>
  <c r="E943" i="5"/>
  <c r="N942" i="5"/>
  <c r="O942" i="5" s="1"/>
  <c r="L942" i="5"/>
  <c r="I942" i="5"/>
  <c r="E942" i="5"/>
  <c r="N941" i="5"/>
  <c r="O941" i="5" s="1"/>
  <c r="L941" i="5"/>
  <c r="I941" i="5"/>
  <c r="E941" i="5"/>
  <c r="N940" i="5"/>
  <c r="O940" i="5" s="1"/>
  <c r="L940" i="5"/>
  <c r="I940" i="5"/>
  <c r="E940" i="5"/>
  <c r="N939" i="5"/>
  <c r="O939" i="5" s="1"/>
  <c r="L939" i="5"/>
  <c r="I939" i="5"/>
  <c r="E939" i="5"/>
  <c r="N938" i="5"/>
  <c r="O938" i="5" s="1"/>
  <c r="L938" i="5"/>
  <c r="I938" i="5"/>
  <c r="E938" i="5"/>
  <c r="N937" i="5"/>
  <c r="O937" i="5" s="1"/>
  <c r="L937" i="5"/>
  <c r="I937" i="5"/>
  <c r="E937" i="5"/>
  <c r="N936" i="5"/>
  <c r="O936" i="5" s="1"/>
  <c r="L936" i="5"/>
  <c r="I936" i="5"/>
  <c r="E936" i="5"/>
  <c r="N935" i="5"/>
  <c r="O935" i="5" s="1"/>
  <c r="L935" i="5"/>
  <c r="I935" i="5"/>
  <c r="E935" i="5"/>
  <c r="N934" i="5"/>
  <c r="O934" i="5" s="1"/>
  <c r="L934" i="5"/>
  <c r="I934" i="5"/>
  <c r="E934" i="5"/>
  <c r="N933" i="5"/>
  <c r="O933" i="5" s="1"/>
  <c r="L933" i="5"/>
  <c r="I933" i="5"/>
  <c r="E933" i="5"/>
  <c r="N932" i="5"/>
  <c r="O932" i="5" s="1"/>
  <c r="L932" i="5"/>
  <c r="I932" i="5"/>
  <c r="E932" i="5"/>
  <c r="N931" i="5"/>
  <c r="O931" i="5" s="1"/>
  <c r="L931" i="5"/>
  <c r="I931" i="5"/>
  <c r="E931" i="5"/>
  <c r="N930" i="5"/>
  <c r="O930" i="5" s="1"/>
  <c r="L930" i="5"/>
  <c r="I930" i="5"/>
  <c r="E930" i="5"/>
  <c r="N929" i="5"/>
  <c r="O929" i="5" s="1"/>
  <c r="L929" i="5"/>
  <c r="I929" i="5"/>
  <c r="E929" i="5"/>
  <c r="N928" i="5"/>
  <c r="O928" i="5" s="1"/>
  <c r="L928" i="5"/>
  <c r="I928" i="5"/>
  <c r="E928" i="5"/>
  <c r="N927" i="5"/>
  <c r="O927" i="5" s="1"/>
  <c r="L927" i="5"/>
  <c r="I927" i="5"/>
  <c r="E927" i="5"/>
  <c r="N926" i="5"/>
  <c r="O926" i="5" s="1"/>
  <c r="L926" i="5"/>
  <c r="I926" i="5"/>
  <c r="E926" i="5"/>
  <c r="N925" i="5"/>
  <c r="O925" i="5" s="1"/>
  <c r="L925" i="5"/>
  <c r="I925" i="5"/>
  <c r="E925" i="5"/>
  <c r="N924" i="5"/>
  <c r="O924" i="5" s="1"/>
  <c r="L924" i="5"/>
  <c r="I924" i="5"/>
  <c r="E924" i="5"/>
  <c r="N923" i="5"/>
  <c r="O923" i="5" s="1"/>
  <c r="L923" i="5"/>
  <c r="I923" i="5"/>
  <c r="E923" i="5"/>
  <c r="N922" i="5"/>
  <c r="O922" i="5" s="1"/>
  <c r="L922" i="5"/>
  <c r="I922" i="5"/>
  <c r="E922" i="5"/>
  <c r="N921" i="5"/>
  <c r="O921" i="5" s="1"/>
  <c r="L921" i="5"/>
  <c r="I921" i="5"/>
  <c r="E921" i="5"/>
  <c r="N920" i="5"/>
  <c r="O920" i="5" s="1"/>
  <c r="L920" i="5"/>
  <c r="I920" i="5"/>
  <c r="E920" i="5"/>
  <c r="N919" i="5"/>
  <c r="O919" i="5" s="1"/>
  <c r="L919" i="5"/>
  <c r="I919" i="5"/>
  <c r="E919" i="5"/>
  <c r="N918" i="5"/>
  <c r="O918" i="5" s="1"/>
  <c r="L918" i="5"/>
  <c r="I918" i="5"/>
  <c r="E918" i="5"/>
  <c r="N917" i="5"/>
  <c r="O917" i="5" s="1"/>
  <c r="L917" i="5"/>
  <c r="I917" i="5"/>
  <c r="E917" i="5"/>
  <c r="N916" i="5"/>
  <c r="O916" i="5" s="1"/>
  <c r="L916" i="5"/>
  <c r="I916" i="5"/>
  <c r="E916" i="5"/>
  <c r="N915" i="5"/>
  <c r="O915" i="5" s="1"/>
  <c r="L915" i="5"/>
  <c r="I915" i="5"/>
  <c r="E915" i="5"/>
  <c r="N914" i="5"/>
  <c r="O914" i="5" s="1"/>
  <c r="L914" i="5"/>
  <c r="I914" i="5"/>
  <c r="E914" i="5"/>
  <c r="N913" i="5"/>
  <c r="O913" i="5" s="1"/>
  <c r="L913" i="5"/>
  <c r="I913" i="5"/>
  <c r="E913" i="5"/>
  <c r="N912" i="5"/>
  <c r="O912" i="5" s="1"/>
  <c r="L912" i="5"/>
  <c r="I912" i="5"/>
  <c r="E912" i="5"/>
  <c r="N911" i="5"/>
  <c r="O911" i="5" s="1"/>
  <c r="L911" i="5"/>
  <c r="I911" i="5"/>
  <c r="E911" i="5"/>
  <c r="N910" i="5"/>
  <c r="O910" i="5" s="1"/>
  <c r="L910" i="5"/>
  <c r="I910" i="5"/>
  <c r="E910" i="5"/>
  <c r="N909" i="5"/>
  <c r="O909" i="5" s="1"/>
  <c r="L909" i="5"/>
  <c r="I909" i="5"/>
  <c r="E909" i="5"/>
  <c r="N908" i="5"/>
  <c r="O908" i="5" s="1"/>
  <c r="L908" i="5"/>
  <c r="I908" i="5"/>
  <c r="E908" i="5"/>
  <c r="N907" i="5"/>
  <c r="O907" i="5" s="1"/>
  <c r="L907" i="5"/>
  <c r="I907" i="5"/>
  <c r="E907" i="5"/>
  <c r="N906" i="5"/>
  <c r="O906" i="5" s="1"/>
  <c r="L906" i="5"/>
  <c r="I906" i="5"/>
  <c r="E906" i="5"/>
  <c r="N905" i="5"/>
  <c r="O905" i="5" s="1"/>
  <c r="L905" i="5"/>
  <c r="I905" i="5"/>
  <c r="E905" i="5"/>
  <c r="N904" i="5"/>
  <c r="O904" i="5" s="1"/>
  <c r="L904" i="5"/>
  <c r="I904" i="5"/>
  <c r="E904" i="5"/>
  <c r="N903" i="5"/>
  <c r="O903" i="5" s="1"/>
  <c r="L903" i="5"/>
  <c r="I903" i="5"/>
  <c r="E903" i="5"/>
  <c r="N902" i="5"/>
  <c r="O902" i="5" s="1"/>
  <c r="L902" i="5"/>
  <c r="I902" i="5"/>
  <c r="E902" i="5"/>
  <c r="N901" i="5"/>
  <c r="O901" i="5" s="1"/>
  <c r="L901" i="5"/>
  <c r="I901" i="5"/>
  <c r="E901" i="5"/>
  <c r="N900" i="5"/>
  <c r="O900" i="5" s="1"/>
  <c r="L900" i="5"/>
  <c r="I900" i="5"/>
  <c r="E900" i="5"/>
  <c r="N899" i="5"/>
  <c r="O899" i="5" s="1"/>
  <c r="L899" i="5"/>
  <c r="I899" i="5"/>
  <c r="E899" i="5"/>
  <c r="N898" i="5"/>
  <c r="O898" i="5" s="1"/>
  <c r="L898" i="5"/>
  <c r="I898" i="5"/>
  <c r="E898" i="5"/>
  <c r="N897" i="5"/>
  <c r="O897" i="5" s="1"/>
  <c r="L897" i="5"/>
  <c r="I897" i="5"/>
  <c r="E897" i="5"/>
  <c r="N896" i="5"/>
  <c r="O896" i="5" s="1"/>
  <c r="L896" i="5"/>
  <c r="I896" i="5"/>
  <c r="E896" i="5"/>
  <c r="N895" i="5"/>
  <c r="O895" i="5" s="1"/>
  <c r="L895" i="5"/>
  <c r="I895" i="5"/>
  <c r="E895" i="5"/>
  <c r="N894" i="5"/>
  <c r="O894" i="5" s="1"/>
  <c r="L894" i="5"/>
  <c r="I894" i="5"/>
  <c r="E894" i="5"/>
  <c r="N893" i="5"/>
  <c r="O893" i="5" s="1"/>
  <c r="L893" i="5"/>
  <c r="I893" i="5"/>
  <c r="E893" i="5"/>
  <c r="N892" i="5"/>
  <c r="O892" i="5" s="1"/>
  <c r="L892" i="5"/>
  <c r="I892" i="5"/>
  <c r="E892" i="5"/>
  <c r="N891" i="5"/>
  <c r="O891" i="5" s="1"/>
  <c r="L891" i="5"/>
  <c r="I891" i="5"/>
  <c r="E891" i="5"/>
  <c r="N890" i="5"/>
  <c r="O890" i="5" s="1"/>
  <c r="L890" i="5"/>
  <c r="I890" i="5"/>
  <c r="E890" i="5"/>
  <c r="N889" i="5"/>
  <c r="O889" i="5" s="1"/>
  <c r="L889" i="5"/>
  <c r="I889" i="5"/>
  <c r="E889" i="5"/>
  <c r="N888" i="5"/>
  <c r="O888" i="5" s="1"/>
  <c r="L888" i="5"/>
  <c r="I888" i="5"/>
  <c r="E888" i="5"/>
  <c r="N887" i="5"/>
  <c r="O887" i="5" s="1"/>
  <c r="L887" i="5"/>
  <c r="I887" i="5"/>
  <c r="E887" i="5"/>
  <c r="N886" i="5"/>
  <c r="O886" i="5" s="1"/>
  <c r="L886" i="5"/>
  <c r="I886" i="5"/>
  <c r="E886" i="5"/>
  <c r="N885" i="5"/>
  <c r="O885" i="5" s="1"/>
  <c r="L885" i="5"/>
  <c r="I885" i="5"/>
  <c r="E885" i="5"/>
  <c r="N884" i="5"/>
  <c r="O884" i="5" s="1"/>
  <c r="L884" i="5"/>
  <c r="I884" i="5"/>
  <c r="E884" i="5"/>
  <c r="N883" i="5"/>
  <c r="O883" i="5" s="1"/>
  <c r="L883" i="5"/>
  <c r="I883" i="5"/>
  <c r="E883" i="5"/>
  <c r="N882" i="5"/>
  <c r="O882" i="5" s="1"/>
  <c r="L882" i="5"/>
  <c r="I882" i="5"/>
  <c r="E882" i="5"/>
  <c r="N881" i="5"/>
  <c r="O881" i="5" s="1"/>
  <c r="L881" i="5"/>
  <c r="I881" i="5"/>
  <c r="E881" i="5"/>
  <c r="N880" i="5"/>
  <c r="O880" i="5" s="1"/>
  <c r="L880" i="5"/>
  <c r="I880" i="5"/>
  <c r="E880" i="5"/>
  <c r="N879" i="5"/>
  <c r="O879" i="5" s="1"/>
  <c r="L879" i="5"/>
  <c r="I879" i="5"/>
  <c r="E879" i="5"/>
  <c r="N878" i="5"/>
  <c r="O878" i="5" s="1"/>
  <c r="L878" i="5"/>
  <c r="I878" i="5"/>
  <c r="E878" i="5"/>
  <c r="N877" i="5"/>
  <c r="O877" i="5" s="1"/>
  <c r="L877" i="5"/>
  <c r="I877" i="5"/>
  <c r="E877" i="5"/>
  <c r="N876" i="5"/>
  <c r="O876" i="5" s="1"/>
  <c r="L876" i="5"/>
  <c r="I876" i="5"/>
  <c r="E876" i="5"/>
  <c r="N875" i="5"/>
  <c r="O875" i="5" s="1"/>
  <c r="L875" i="5"/>
  <c r="I875" i="5"/>
  <c r="E875" i="5"/>
  <c r="N874" i="5"/>
  <c r="O874" i="5" s="1"/>
  <c r="L874" i="5"/>
  <c r="I874" i="5"/>
  <c r="E874" i="5"/>
  <c r="N873" i="5"/>
  <c r="O873" i="5" s="1"/>
  <c r="L873" i="5"/>
  <c r="I873" i="5"/>
  <c r="E873" i="5"/>
  <c r="N872" i="5"/>
  <c r="O872" i="5" s="1"/>
  <c r="L872" i="5"/>
  <c r="I872" i="5"/>
  <c r="E872" i="5"/>
  <c r="N871" i="5"/>
  <c r="O871" i="5" s="1"/>
  <c r="L871" i="5"/>
  <c r="I871" i="5"/>
  <c r="E871" i="5"/>
  <c r="N870" i="5"/>
  <c r="O870" i="5" s="1"/>
  <c r="L870" i="5"/>
  <c r="I870" i="5"/>
  <c r="E870" i="5"/>
  <c r="N869" i="5"/>
  <c r="O869" i="5" s="1"/>
  <c r="L869" i="5"/>
  <c r="I869" i="5"/>
  <c r="E869" i="5"/>
  <c r="N868" i="5"/>
  <c r="O868" i="5" s="1"/>
  <c r="L868" i="5"/>
  <c r="I868" i="5"/>
  <c r="E868" i="5"/>
  <c r="N867" i="5"/>
  <c r="O867" i="5" s="1"/>
  <c r="L867" i="5"/>
  <c r="I867" i="5"/>
  <c r="E867" i="5"/>
  <c r="N866" i="5"/>
  <c r="O866" i="5" s="1"/>
  <c r="L866" i="5"/>
  <c r="I866" i="5"/>
  <c r="E866" i="5"/>
  <c r="N865" i="5"/>
  <c r="O865" i="5" s="1"/>
  <c r="L865" i="5"/>
  <c r="I865" i="5"/>
  <c r="E865" i="5"/>
  <c r="N864" i="5"/>
  <c r="O864" i="5" s="1"/>
  <c r="L864" i="5"/>
  <c r="I864" i="5"/>
  <c r="E864" i="5"/>
  <c r="N863" i="5"/>
  <c r="O863" i="5" s="1"/>
  <c r="L863" i="5"/>
  <c r="I863" i="5"/>
  <c r="E863" i="5"/>
  <c r="N862" i="5"/>
  <c r="O862" i="5" s="1"/>
  <c r="L862" i="5"/>
  <c r="I862" i="5"/>
  <c r="E862" i="5"/>
  <c r="N861" i="5"/>
  <c r="O861" i="5" s="1"/>
  <c r="L861" i="5"/>
  <c r="I861" i="5"/>
  <c r="E861" i="5"/>
  <c r="N860" i="5"/>
  <c r="O860" i="5" s="1"/>
  <c r="L860" i="5"/>
  <c r="I860" i="5"/>
  <c r="E860" i="5"/>
  <c r="N859" i="5"/>
  <c r="O859" i="5" s="1"/>
  <c r="L859" i="5"/>
  <c r="I859" i="5"/>
  <c r="E859" i="5"/>
  <c r="N858" i="5"/>
  <c r="O858" i="5" s="1"/>
  <c r="L858" i="5"/>
  <c r="I858" i="5"/>
  <c r="E858" i="5"/>
  <c r="N857" i="5"/>
  <c r="O857" i="5" s="1"/>
  <c r="L857" i="5"/>
  <c r="I857" i="5"/>
  <c r="E857" i="5"/>
  <c r="N856" i="5"/>
  <c r="O856" i="5" s="1"/>
  <c r="L856" i="5"/>
  <c r="I856" i="5"/>
  <c r="E856" i="5"/>
  <c r="N855" i="5"/>
  <c r="O855" i="5" s="1"/>
  <c r="L855" i="5"/>
  <c r="I855" i="5"/>
  <c r="E855" i="5"/>
  <c r="N854" i="5"/>
  <c r="O854" i="5" s="1"/>
  <c r="L854" i="5"/>
  <c r="I854" i="5"/>
  <c r="E854" i="5"/>
  <c r="N853" i="5"/>
  <c r="O853" i="5" s="1"/>
  <c r="L853" i="5"/>
  <c r="I853" i="5"/>
  <c r="E853" i="5"/>
  <c r="N852" i="5"/>
  <c r="O852" i="5" s="1"/>
  <c r="L852" i="5"/>
  <c r="I852" i="5"/>
  <c r="E852" i="5"/>
  <c r="N851" i="5"/>
  <c r="O851" i="5" s="1"/>
  <c r="L851" i="5"/>
  <c r="I851" i="5"/>
  <c r="E851" i="5"/>
  <c r="N850" i="5"/>
  <c r="O850" i="5" s="1"/>
  <c r="L850" i="5"/>
  <c r="I850" i="5"/>
  <c r="E850" i="5"/>
  <c r="N849" i="5"/>
  <c r="O849" i="5" s="1"/>
  <c r="L849" i="5"/>
  <c r="I849" i="5"/>
  <c r="E849" i="5"/>
  <c r="N848" i="5"/>
  <c r="O848" i="5" s="1"/>
  <c r="L848" i="5"/>
  <c r="I848" i="5"/>
  <c r="E848" i="5"/>
  <c r="N847" i="5"/>
  <c r="O847" i="5" s="1"/>
  <c r="L847" i="5"/>
  <c r="I847" i="5"/>
  <c r="E847" i="5"/>
  <c r="N846" i="5"/>
  <c r="O846" i="5" s="1"/>
  <c r="L846" i="5"/>
  <c r="I846" i="5"/>
  <c r="E846" i="5"/>
  <c r="N845" i="5"/>
  <c r="O845" i="5" s="1"/>
  <c r="L845" i="5"/>
  <c r="I845" i="5"/>
  <c r="E845" i="5"/>
  <c r="N844" i="5"/>
  <c r="O844" i="5" s="1"/>
  <c r="L844" i="5"/>
  <c r="I844" i="5"/>
  <c r="E844" i="5"/>
  <c r="N843" i="5"/>
  <c r="O843" i="5" s="1"/>
  <c r="L843" i="5"/>
  <c r="I843" i="5"/>
  <c r="E843" i="5"/>
  <c r="N842" i="5"/>
  <c r="O842" i="5" s="1"/>
  <c r="L842" i="5"/>
  <c r="I842" i="5"/>
  <c r="E842" i="5"/>
  <c r="N841" i="5"/>
  <c r="O841" i="5" s="1"/>
  <c r="L841" i="5"/>
  <c r="I841" i="5"/>
  <c r="E841" i="5"/>
  <c r="N840" i="5"/>
  <c r="O840" i="5" s="1"/>
  <c r="L840" i="5"/>
  <c r="I840" i="5"/>
  <c r="E840" i="5"/>
  <c r="N839" i="5"/>
  <c r="O839" i="5" s="1"/>
  <c r="L839" i="5"/>
  <c r="I839" i="5"/>
  <c r="E839" i="5"/>
  <c r="N838" i="5"/>
  <c r="O838" i="5" s="1"/>
  <c r="L838" i="5"/>
  <c r="I838" i="5"/>
  <c r="E838" i="5"/>
  <c r="N837" i="5"/>
  <c r="O837" i="5" s="1"/>
  <c r="L837" i="5"/>
  <c r="I837" i="5"/>
  <c r="E837" i="5"/>
  <c r="N836" i="5"/>
  <c r="O836" i="5" s="1"/>
  <c r="L836" i="5"/>
  <c r="I836" i="5"/>
  <c r="E836" i="5"/>
  <c r="N835" i="5"/>
  <c r="O835" i="5" s="1"/>
  <c r="L835" i="5"/>
  <c r="I835" i="5"/>
  <c r="E835" i="5"/>
  <c r="N834" i="5"/>
  <c r="O834" i="5" s="1"/>
  <c r="L834" i="5"/>
  <c r="I834" i="5"/>
  <c r="E834" i="5"/>
  <c r="N833" i="5"/>
  <c r="O833" i="5" s="1"/>
  <c r="L833" i="5"/>
  <c r="I833" i="5"/>
  <c r="E833" i="5"/>
  <c r="N832" i="5"/>
  <c r="O832" i="5" s="1"/>
  <c r="L832" i="5"/>
  <c r="I832" i="5"/>
  <c r="E832" i="5"/>
  <c r="N831" i="5"/>
  <c r="O831" i="5" s="1"/>
  <c r="L831" i="5"/>
  <c r="I831" i="5"/>
  <c r="E831" i="5"/>
  <c r="N830" i="5"/>
  <c r="O830" i="5" s="1"/>
  <c r="L830" i="5"/>
  <c r="I830" i="5"/>
  <c r="E830" i="5"/>
  <c r="N829" i="5"/>
  <c r="O829" i="5" s="1"/>
  <c r="L829" i="5"/>
  <c r="I829" i="5"/>
  <c r="E829" i="5"/>
  <c r="N828" i="5"/>
  <c r="O828" i="5" s="1"/>
  <c r="L828" i="5"/>
  <c r="I828" i="5"/>
  <c r="E828" i="5"/>
  <c r="N827" i="5"/>
  <c r="O827" i="5" s="1"/>
  <c r="L827" i="5"/>
  <c r="I827" i="5"/>
  <c r="E827" i="5"/>
  <c r="N826" i="5"/>
  <c r="O826" i="5" s="1"/>
  <c r="L826" i="5"/>
  <c r="I826" i="5"/>
  <c r="E826" i="5"/>
  <c r="N825" i="5"/>
  <c r="O825" i="5" s="1"/>
  <c r="L825" i="5"/>
  <c r="I825" i="5"/>
  <c r="E825" i="5"/>
  <c r="N824" i="5"/>
  <c r="O824" i="5" s="1"/>
  <c r="L824" i="5"/>
  <c r="I824" i="5"/>
  <c r="E824" i="5"/>
  <c r="N823" i="5"/>
  <c r="O823" i="5" s="1"/>
  <c r="L823" i="5"/>
  <c r="I823" i="5"/>
  <c r="E823" i="5"/>
  <c r="N822" i="5"/>
  <c r="O822" i="5" s="1"/>
  <c r="L822" i="5"/>
  <c r="I822" i="5"/>
  <c r="E822" i="5"/>
  <c r="N821" i="5"/>
  <c r="O821" i="5" s="1"/>
  <c r="L821" i="5"/>
  <c r="I821" i="5"/>
  <c r="E821" i="5"/>
  <c r="N820" i="5"/>
  <c r="O820" i="5" s="1"/>
  <c r="L820" i="5"/>
  <c r="I820" i="5"/>
  <c r="E820" i="5"/>
  <c r="N819" i="5"/>
  <c r="O819" i="5" s="1"/>
  <c r="L819" i="5"/>
  <c r="I819" i="5"/>
  <c r="E819" i="5"/>
  <c r="N818" i="5"/>
  <c r="O818" i="5" s="1"/>
  <c r="L818" i="5"/>
  <c r="I818" i="5"/>
  <c r="E818" i="5"/>
  <c r="N817" i="5"/>
  <c r="O817" i="5" s="1"/>
  <c r="L817" i="5"/>
  <c r="I817" i="5"/>
  <c r="E817" i="5"/>
  <c r="N816" i="5"/>
  <c r="O816" i="5" s="1"/>
  <c r="L816" i="5"/>
  <c r="I816" i="5"/>
  <c r="E816" i="5"/>
  <c r="N815" i="5"/>
  <c r="O815" i="5" s="1"/>
  <c r="L815" i="5"/>
  <c r="I815" i="5"/>
  <c r="E815" i="5"/>
  <c r="N814" i="5"/>
  <c r="O814" i="5" s="1"/>
  <c r="L814" i="5"/>
  <c r="I814" i="5"/>
  <c r="E814" i="5"/>
  <c r="N813" i="5"/>
  <c r="O813" i="5" s="1"/>
  <c r="L813" i="5"/>
  <c r="I813" i="5"/>
  <c r="E813" i="5"/>
  <c r="N812" i="5"/>
  <c r="O812" i="5" s="1"/>
  <c r="L812" i="5"/>
  <c r="I812" i="5"/>
  <c r="E812" i="5"/>
  <c r="N811" i="5"/>
  <c r="O811" i="5" s="1"/>
  <c r="L811" i="5"/>
  <c r="I811" i="5"/>
  <c r="E811" i="5"/>
  <c r="N810" i="5"/>
  <c r="O810" i="5" s="1"/>
  <c r="L810" i="5"/>
  <c r="I810" i="5"/>
  <c r="E810" i="5"/>
  <c r="N809" i="5"/>
  <c r="O809" i="5" s="1"/>
  <c r="L809" i="5"/>
  <c r="I809" i="5"/>
  <c r="E809" i="5"/>
  <c r="N808" i="5"/>
  <c r="O808" i="5" s="1"/>
  <c r="L808" i="5"/>
  <c r="I808" i="5"/>
  <c r="E808" i="5"/>
  <c r="N807" i="5"/>
  <c r="O807" i="5" s="1"/>
  <c r="L807" i="5"/>
  <c r="I807" i="5"/>
  <c r="E807" i="5"/>
  <c r="N806" i="5"/>
  <c r="O806" i="5" s="1"/>
  <c r="L806" i="5"/>
  <c r="I806" i="5"/>
  <c r="E806" i="5"/>
  <c r="N805" i="5"/>
  <c r="O805" i="5" s="1"/>
  <c r="L805" i="5"/>
  <c r="I805" i="5"/>
  <c r="E805" i="5"/>
  <c r="N804" i="5"/>
  <c r="O804" i="5" s="1"/>
  <c r="L804" i="5"/>
  <c r="I804" i="5"/>
  <c r="E804" i="5"/>
  <c r="N803" i="5"/>
  <c r="O803" i="5" s="1"/>
  <c r="L803" i="5"/>
  <c r="I803" i="5"/>
  <c r="E803" i="5"/>
  <c r="N802" i="5"/>
  <c r="O802" i="5" s="1"/>
  <c r="L802" i="5"/>
  <c r="I802" i="5"/>
  <c r="E802" i="5"/>
  <c r="N801" i="5"/>
  <c r="O801" i="5" s="1"/>
  <c r="L801" i="5"/>
  <c r="I801" i="5"/>
  <c r="E801" i="5"/>
  <c r="N800" i="5"/>
  <c r="O800" i="5" s="1"/>
  <c r="L800" i="5"/>
  <c r="I800" i="5"/>
  <c r="E800" i="5"/>
  <c r="N799" i="5"/>
  <c r="O799" i="5" s="1"/>
  <c r="L799" i="5"/>
  <c r="I799" i="5"/>
  <c r="E799" i="5"/>
  <c r="N798" i="5"/>
  <c r="O798" i="5" s="1"/>
  <c r="L798" i="5"/>
  <c r="I798" i="5"/>
  <c r="E798" i="5"/>
  <c r="N797" i="5"/>
  <c r="O797" i="5" s="1"/>
  <c r="L797" i="5"/>
  <c r="I797" i="5"/>
  <c r="E797" i="5"/>
  <c r="N796" i="5"/>
  <c r="O796" i="5" s="1"/>
  <c r="L796" i="5"/>
  <c r="I796" i="5"/>
  <c r="E796" i="5"/>
  <c r="N795" i="5"/>
  <c r="O795" i="5" s="1"/>
  <c r="L795" i="5"/>
  <c r="I795" i="5"/>
  <c r="E795" i="5"/>
  <c r="N794" i="5"/>
  <c r="O794" i="5" s="1"/>
  <c r="L794" i="5"/>
  <c r="I794" i="5"/>
  <c r="E794" i="5"/>
  <c r="N793" i="5"/>
  <c r="O793" i="5" s="1"/>
  <c r="L793" i="5"/>
  <c r="I793" i="5"/>
  <c r="E793" i="5"/>
  <c r="N792" i="5"/>
  <c r="O792" i="5" s="1"/>
  <c r="L792" i="5"/>
  <c r="I792" i="5"/>
  <c r="E792" i="5"/>
  <c r="N791" i="5"/>
  <c r="O791" i="5" s="1"/>
  <c r="L791" i="5"/>
  <c r="I791" i="5"/>
  <c r="E791" i="5"/>
  <c r="N790" i="5"/>
  <c r="O790" i="5" s="1"/>
  <c r="L790" i="5"/>
  <c r="I790" i="5"/>
  <c r="E790" i="5"/>
  <c r="N789" i="5"/>
  <c r="O789" i="5" s="1"/>
  <c r="L789" i="5"/>
  <c r="I789" i="5"/>
  <c r="E789" i="5"/>
  <c r="N788" i="5"/>
  <c r="O788" i="5" s="1"/>
  <c r="L788" i="5"/>
  <c r="I788" i="5"/>
  <c r="E788" i="5"/>
  <c r="N787" i="5"/>
  <c r="O787" i="5" s="1"/>
  <c r="L787" i="5"/>
  <c r="I787" i="5"/>
  <c r="E787" i="5"/>
  <c r="N786" i="5"/>
  <c r="O786" i="5" s="1"/>
  <c r="L786" i="5"/>
  <c r="I786" i="5"/>
  <c r="E786" i="5"/>
  <c r="N785" i="5"/>
  <c r="O785" i="5" s="1"/>
  <c r="L785" i="5"/>
  <c r="I785" i="5"/>
  <c r="E785" i="5"/>
  <c r="N784" i="5"/>
  <c r="O784" i="5" s="1"/>
  <c r="L784" i="5"/>
  <c r="I784" i="5"/>
  <c r="E784" i="5"/>
  <c r="N783" i="5"/>
  <c r="O783" i="5" s="1"/>
  <c r="L783" i="5"/>
  <c r="I783" i="5"/>
  <c r="E783" i="5"/>
  <c r="N782" i="5"/>
  <c r="O782" i="5" s="1"/>
  <c r="L782" i="5"/>
  <c r="I782" i="5"/>
  <c r="E782" i="5"/>
  <c r="N781" i="5"/>
  <c r="O781" i="5" s="1"/>
  <c r="L781" i="5"/>
  <c r="I781" i="5"/>
  <c r="E781" i="5"/>
  <c r="N780" i="5"/>
  <c r="O780" i="5" s="1"/>
  <c r="L780" i="5"/>
  <c r="I780" i="5"/>
  <c r="E780" i="5"/>
  <c r="N779" i="5"/>
  <c r="O779" i="5" s="1"/>
  <c r="L779" i="5"/>
  <c r="I779" i="5"/>
  <c r="E779" i="5"/>
  <c r="N778" i="5"/>
  <c r="O778" i="5" s="1"/>
  <c r="L778" i="5"/>
  <c r="I778" i="5"/>
  <c r="E778" i="5"/>
  <c r="N777" i="5"/>
  <c r="O777" i="5" s="1"/>
  <c r="L777" i="5"/>
  <c r="I777" i="5"/>
  <c r="E777" i="5"/>
  <c r="N776" i="5"/>
  <c r="O776" i="5" s="1"/>
  <c r="L776" i="5"/>
  <c r="I776" i="5"/>
  <c r="E776" i="5"/>
  <c r="N775" i="5"/>
  <c r="O775" i="5" s="1"/>
  <c r="L775" i="5"/>
  <c r="I775" i="5"/>
  <c r="E775" i="5"/>
  <c r="N774" i="5"/>
  <c r="O774" i="5" s="1"/>
  <c r="L774" i="5"/>
  <c r="I774" i="5"/>
  <c r="E774" i="5"/>
  <c r="N773" i="5"/>
  <c r="O773" i="5" s="1"/>
  <c r="L773" i="5"/>
  <c r="I773" i="5"/>
  <c r="E773" i="5"/>
  <c r="N772" i="5"/>
  <c r="O772" i="5" s="1"/>
  <c r="L772" i="5"/>
  <c r="I772" i="5"/>
  <c r="E772" i="5"/>
  <c r="N771" i="5"/>
  <c r="O771" i="5" s="1"/>
  <c r="L771" i="5"/>
  <c r="I771" i="5"/>
  <c r="E771" i="5"/>
  <c r="N770" i="5"/>
  <c r="O770" i="5" s="1"/>
  <c r="L770" i="5"/>
  <c r="I770" i="5"/>
  <c r="E770" i="5"/>
  <c r="N769" i="5"/>
  <c r="O769" i="5" s="1"/>
  <c r="L769" i="5"/>
  <c r="I769" i="5"/>
  <c r="E769" i="5"/>
  <c r="N768" i="5"/>
  <c r="O768" i="5" s="1"/>
  <c r="L768" i="5"/>
  <c r="I768" i="5"/>
  <c r="E768" i="5"/>
  <c r="N767" i="5"/>
  <c r="O767" i="5" s="1"/>
  <c r="L767" i="5"/>
  <c r="I767" i="5"/>
  <c r="E767" i="5"/>
  <c r="N766" i="5"/>
  <c r="O766" i="5" s="1"/>
  <c r="L766" i="5"/>
  <c r="I766" i="5"/>
  <c r="E766" i="5"/>
  <c r="N765" i="5"/>
  <c r="O765" i="5" s="1"/>
  <c r="L765" i="5"/>
  <c r="I765" i="5"/>
  <c r="E765" i="5"/>
  <c r="O764" i="5"/>
  <c r="N764" i="5"/>
  <c r="L764" i="5"/>
  <c r="I764" i="5"/>
  <c r="E764" i="5"/>
  <c r="N763" i="5"/>
  <c r="O763" i="5" s="1"/>
  <c r="L763" i="5"/>
  <c r="I763" i="5"/>
  <c r="E763" i="5"/>
  <c r="N762" i="5"/>
  <c r="O762" i="5" s="1"/>
  <c r="L762" i="5"/>
  <c r="I762" i="5"/>
  <c r="E762" i="5"/>
  <c r="O761" i="5"/>
  <c r="N761" i="5"/>
  <c r="L761" i="5"/>
  <c r="I761" i="5"/>
  <c r="E761" i="5"/>
  <c r="N760" i="5"/>
  <c r="O760" i="5" s="1"/>
  <c r="L760" i="5"/>
  <c r="I760" i="5"/>
  <c r="E760" i="5"/>
  <c r="N759" i="5"/>
  <c r="O759" i="5" s="1"/>
  <c r="L759" i="5"/>
  <c r="I759" i="5"/>
  <c r="E759" i="5"/>
  <c r="O758" i="5"/>
  <c r="N758" i="5"/>
  <c r="L758" i="5"/>
  <c r="I758" i="5"/>
  <c r="E758" i="5"/>
  <c r="N757" i="5"/>
  <c r="O757" i="5" s="1"/>
  <c r="L757" i="5"/>
  <c r="I757" i="5"/>
  <c r="E757" i="5"/>
  <c r="O756" i="5"/>
  <c r="N756" i="5"/>
  <c r="L756" i="5"/>
  <c r="I756" i="5"/>
  <c r="E756" i="5"/>
  <c r="N755" i="5"/>
  <c r="O755" i="5" s="1"/>
  <c r="L755" i="5"/>
  <c r="I755" i="5"/>
  <c r="E755" i="5"/>
  <c r="N754" i="5"/>
  <c r="O754" i="5" s="1"/>
  <c r="L754" i="5"/>
  <c r="I754" i="5"/>
  <c r="E754" i="5"/>
  <c r="O753" i="5"/>
  <c r="N753" i="5"/>
  <c r="L753" i="5"/>
  <c r="I753" i="5"/>
  <c r="E753" i="5"/>
  <c r="O752" i="5"/>
  <c r="N752" i="5"/>
  <c r="L752" i="5"/>
  <c r="I752" i="5"/>
  <c r="E752" i="5"/>
  <c r="N751" i="5"/>
  <c r="O751" i="5" s="1"/>
  <c r="L751" i="5"/>
  <c r="I751" i="5"/>
  <c r="E751" i="5"/>
  <c r="O750" i="5"/>
  <c r="N750" i="5"/>
  <c r="L750" i="5"/>
  <c r="I750" i="5"/>
  <c r="E750" i="5"/>
  <c r="N749" i="5"/>
  <c r="O749" i="5" s="1"/>
  <c r="L749" i="5"/>
  <c r="I749" i="5"/>
  <c r="E749" i="5"/>
  <c r="O748" i="5"/>
  <c r="N748" i="5"/>
  <c r="L748" i="5"/>
  <c r="I748" i="5"/>
  <c r="E748" i="5"/>
  <c r="O747" i="5"/>
  <c r="N747" i="5"/>
  <c r="L747" i="5"/>
  <c r="I747" i="5"/>
  <c r="E747" i="5"/>
  <c r="N746" i="5"/>
  <c r="O746" i="5" s="1"/>
  <c r="L746" i="5"/>
  <c r="I746" i="5"/>
  <c r="E746" i="5"/>
  <c r="O745" i="5"/>
  <c r="N745" i="5"/>
  <c r="L745" i="5"/>
  <c r="I745" i="5"/>
  <c r="E745" i="5"/>
  <c r="N744" i="5"/>
  <c r="O744" i="5" s="1"/>
  <c r="L744" i="5"/>
  <c r="I744" i="5"/>
  <c r="E744" i="5"/>
  <c r="N743" i="5"/>
  <c r="O743" i="5" s="1"/>
  <c r="L743" i="5"/>
  <c r="I743" i="5"/>
  <c r="E743" i="5"/>
  <c r="O742" i="5"/>
  <c r="N742" i="5"/>
  <c r="L742" i="5"/>
  <c r="I742" i="5"/>
  <c r="E742" i="5"/>
  <c r="N741" i="5"/>
  <c r="O741" i="5" s="1"/>
  <c r="L741" i="5"/>
  <c r="I741" i="5"/>
  <c r="E741" i="5"/>
  <c r="O740" i="5"/>
  <c r="N740" i="5"/>
  <c r="L740" i="5"/>
  <c r="I740" i="5"/>
  <c r="E740" i="5"/>
  <c r="N739" i="5"/>
  <c r="O739" i="5" s="1"/>
  <c r="L739" i="5"/>
  <c r="I739" i="5"/>
  <c r="E739" i="5"/>
  <c r="N738" i="5"/>
  <c r="O738" i="5" s="1"/>
  <c r="L738" i="5"/>
  <c r="I738" i="5"/>
  <c r="E738" i="5"/>
  <c r="O737" i="5"/>
  <c r="N737" i="5"/>
  <c r="L737" i="5"/>
  <c r="I737" i="5"/>
  <c r="E737" i="5"/>
  <c r="N736" i="5"/>
  <c r="O736" i="5" s="1"/>
  <c r="L736" i="5"/>
  <c r="I736" i="5"/>
  <c r="E736" i="5"/>
  <c r="N735" i="5"/>
  <c r="O735" i="5" s="1"/>
  <c r="L735" i="5"/>
  <c r="I735" i="5"/>
  <c r="E735" i="5"/>
  <c r="O734" i="5"/>
  <c r="N734" i="5"/>
  <c r="L734" i="5"/>
  <c r="I734" i="5"/>
  <c r="E734" i="5"/>
  <c r="N733" i="5"/>
  <c r="O733" i="5" s="1"/>
  <c r="L733" i="5"/>
  <c r="I733" i="5"/>
  <c r="E733" i="5"/>
  <c r="O732" i="5"/>
  <c r="N732" i="5"/>
  <c r="L732" i="5"/>
  <c r="I732" i="5"/>
  <c r="E732" i="5"/>
  <c r="N731" i="5"/>
  <c r="O731" i="5" s="1"/>
  <c r="L731" i="5"/>
  <c r="I731" i="5"/>
  <c r="E731" i="5"/>
  <c r="O730" i="5"/>
  <c r="N730" i="5"/>
  <c r="L730" i="5"/>
  <c r="I730" i="5"/>
  <c r="E730" i="5"/>
  <c r="N729" i="5"/>
  <c r="O729" i="5" s="1"/>
  <c r="L729" i="5"/>
  <c r="I729" i="5"/>
  <c r="E729" i="5"/>
  <c r="N728" i="5"/>
  <c r="O728" i="5" s="1"/>
  <c r="L728" i="5"/>
  <c r="I728" i="5"/>
  <c r="E728" i="5"/>
  <c r="O727" i="5"/>
  <c r="N727" i="5"/>
  <c r="L727" i="5"/>
  <c r="I727" i="5"/>
  <c r="E727" i="5"/>
  <c r="O726" i="5"/>
  <c r="N726" i="5"/>
  <c r="L726" i="5"/>
  <c r="I726" i="5"/>
  <c r="E726" i="5"/>
  <c r="N725" i="5"/>
  <c r="O725" i="5" s="1"/>
  <c r="L725" i="5"/>
  <c r="I725" i="5"/>
  <c r="E725" i="5"/>
  <c r="O724" i="5"/>
  <c r="N724" i="5"/>
  <c r="L724" i="5"/>
  <c r="I724" i="5"/>
  <c r="E724" i="5"/>
  <c r="N723" i="5"/>
  <c r="O723" i="5" s="1"/>
  <c r="L723" i="5"/>
  <c r="I723" i="5"/>
  <c r="E723" i="5"/>
  <c r="O722" i="5"/>
  <c r="N722" i="5"/>
  <c r="L722" i="5"/>
  <c r="I722" i="5"/>
  <c r="E722" i="5"/>
  <c r="N721" i="5"/>
  <c r="O721" i="5" s="1"/>
  <c r="L721" i="5"/>
  <c r="I721" i="5"/>
  <c r="E721" i="5"/>
  <c r="N720" i="5"/>
  <c r="O720" i="5" s="1"/>
  <c r="L720" i="5"/>
  <c r="I720" i="5"/>
  <c r="E720" i="5"/>
  <c r="O719" i="5"/>
  <c r="N719" i="5"/>
  <c r="L719" i="5"/>
  <c r="I719" i="5"/>
  <c r="E719" i="5"/>
  <c r="O718" i="5"/>
  <c r="N718" i="5"/>
  <c r="L718" i="5"/>
  <c r="I718" i="5"/>
  <c r="E718" i="5"/>
  <c r="N717" i="5"/>
  <c r="O717" i="5" s="1"/>
  <c r="L717" i="5"/>
  <c r="I717" i="5"/>
  <c r="E717" i="5"/>
  <c r="O716" i="5"/>
  <c r="N716" i="5"/>
  <c r="L716" i="5"/>
  <c r="I716" i="5"/>
  <c r="E716" i="5"/>
  <c r="N715" i="5"/>
  <c r="O715" i="5" s="1"/>
  <c r="L715" i="5"/>
  <c r="I715" i="5"/>
  <c r="E715" i="5"/>
  <c r="O714" i="5"/>
  <c r="N714" i="5"/>
  <c r="L714" i="5"/>
  <c r="I714" i="5"/>
  <c r="E714" i="5"/>
  <c r="N713" i="5"/>
  <c r="O713" i="5" s="1"/>
  <c r="L713" i="5"/>
  <c r="I713" i="5"/>
  <c r="E713" i="5"/>
  <c r="N712" i="5"/>
  <c r="O712" i="5" s="1"/>
  <c r="L712" i="5"/>
  <c r="I712" i="5"/>
  <c r="E712" i="5"/>
  <c r="O711" i="5"/>
  <c r="N711" i="5"/>
  <c r="L711" i="5"/>
  <c r="I711" i="5"/>
  <c r="E711" i="5"/>
  <c r="O710" i="5"/>
  <c r="N710" i="5"/>
  <c r="L710" i="5"/>
  <c r="I710" i="5"/>
  <c r="E710" i="5"/>
  <c r="N709" i="5"/>
  <c r="O709" i="5" s="1"/>
  <c r="L709" i="5"/>
  <c r="I709" i="5"/>
  <c r="E709" i="5"/>
  <c r="O708" i="5"/>
  <c r="N708" i="5"/>
  <c r="L708" i="5"/>
  <c r="I708" i="5"/>
  <c r="E708" i="5"/>
  <c r="N707" i="5"/>
  <c r="O707" i="5" s="1"/>
  <c r="L707" i="5"/>
  <c r="I707" i="5"/>
  <c r="E707" i="5"/>
  <c r="O706" i="5"/>
  <c r="N706" i="5"/>
  <c r="L706" i="5"/>
  <c r="I706" i="5"/>
  <c r="E706" i="5"/>
  <c r="N705" i="5"/>
  <c r="O705" i="5" s="1"/>
  <c r="L705" i="5"/>
  <c r="I705" i="5"/>
  <c r="E705" i="5"/>
  <c r="N704" i="5"/>
  <c r="O704" i="5" s="1"/>
  <c r="L704" i="5"/>
  <c r="I704" i="5"/>
  <c r="E704" i="5"/>
  <c r="O703" i="5"/>
  <c r="N703" i="5"/>
  <c r="L703" i="5"/>
  <c r="I703" i="5"/>
  <c r="E703" i="5"/>
  <c r="O702" i="5"/>
  <c r="N702" i="5"/>
  <c r="L702" i="5"/>
  <c r="I702" i="5"/>
  <c r="E702" i="5"/>
  <c r="N701" i="5"/>
  <c r="O701" i="5" s="1"/>
  <c r="L701" i="5"/>
  <c r="I701" i="5"/>
  <c r="E701" i="5"/>
  <c r="O700" i="5"/>
  <c r="N700" i="5"/>
  <c r="L700" i="5"/>
  <c r="I700" i="5"/>
  <c r="E700" i="5"/>
  <c r="N699" i="5"/>
  <c r="O699" i="5" s="1"/>
  <c r="L699" i="5"/>
  <c r="I699" i="5"/>
  <c r="E699" i="5"/>
  <c r="O698" i="5"/>
  <c r="N698" i="5"/>
  <c r="L698" i="5"/>
  <c r="I698" i="5"/>
  <c r="E698" i="5"/>
  <c r="N697" i="5"/>
  <c r="O697" i="5" s="1"/>
  <c r="L697" i="5"/>
  <c r="I697" i="5"/>
  <c r="E697" i="5"/>
  <c r="N696" i="5"/>
  <c r="O696" i="5" s="1"/>
  <c r="L696" i="5"/>
  <c r="I696" i="5"/>
  <c r="E696" i="5"/>
  <c r="O695" i="5"/>
  <c r="N695" i="5"/>
  <c r="L695" i="5"/>
  <c r="I695" i="5"/>
  <c r="E695" i="5"/>
  <c r="O694" i="5"/>
  <c r="N694" i="5"/>
  <c r="L694" i="5"/>
  <c r="I694" i="5"/>
  <c r="E694" i="5"/>
  <c r="N693" i="5"/>
  <c r="O693" i="5" s="1"/>
  <c r="L693" i="5"/>
  <c r="I693" i="5"/>
  <c r="E693" i="5"/>
  <c r="O692" i="5"/>
  <c r="N692" i="5"/>
  <c r="L692" i="5"/>
  <c r="I692" i="5"/>
  <c r="E692" i="5"/>
  <c r="N691" i="5"/>
  <c r="O691" i="5" s="1"/>
  <c r="L691" i="5"/>
  <c r="I691" i="5"/>
  <c r="E691" i="5"/>
  <c r="O690" i="5"/>
  <c r="N690" i="5"/>
  <c r="L690" i="5"/>
  <c r="I690" i="5"/>
  <c r="E690" i="5"/>
  <c r="N689" i="5"/>
  <c r="O689" i="5" s="1"/>
  <c r="L689" i="5"/>
  <c r="I689" i="5"/>
  <c r="E689" i="5"/>
  <c r="N688" i="5"/>
  <c r="O688" i="5" s="1"/>
  <c r="L688" i="5"/>
  <c r="I688" i="5"/>
  <c r="E688" i="5"/>
  <c r="O687" i="5"/>
  <c r="N687" i="5"/>
  <c r="L687" i="5"/>
  <c r="I687" i="5"/>
  <c r="E687" i="5"/>
  <c r="O686" i="5"/>
  <c r="N686" i="5"/>
  <c r="L686" i="5"/>
  <c r="I686" i="5"/>
  <c r="E686" i="5"/>
  <c r="N685" i="5"/>
  <c r="O685" i="5" s="1"/>
  <c r="L685" i="5"/>
  <c r="I685" i="5"/>
  <c r="E685" i="5"/>
  <c r="O684" i="5"/>
  <c r="N684" i="5"/>
  <c r="L684" i="5"/>
  <c r="I684" i="5"/>
  <c r="E684" i="5"/>
  <c r="N683" i="5"/>
  <c r="O683" i="5" s="1"/>
  <c r="L683" i="5"/>
  <c r="I683" i="5"/>
  <c r="E683" i="5"/>
  <c r="O682" i="5"/>
  <c r="N682" i="5"/>
  <c r="L682" i="5"/>
  <c r="I682" i="5"/>
  <c r="E682" i="5"/>
  <c r="N681" i="5"/>
  <c r="O681" i="5" s="1"/>
  <c r="L681" i="5"/>
  <c r="I681" i="5"/>
  <c r="E681" i="5"/>
  <c r="N680" i="5"/>
  <c r="O680" i="5" s="1"/>
  <c r="L680" i="5"/>
  <c r="I680" i="5"/>
  <c r="E680" i="5"/>
  <c r="O679" i="5"/>
  <c r="N679" i="5"/>
  <c r="L679" i="5"/>
  <c r="I679" i="5"/>
  <c r="E679" i="5"/>
  <c r="O678" i="5"/>
  <c r="N678" i="5"/>
  <c r="L678" i="5"/>
  <c r="I678" i="5"/>
  <c r="E678" i="5"/>
  <c r="N677" i="5"/>
  <c r="O677" i="5" s="1"/>
  <c r="L677" i="5"/>
  <c r="I677" i="5"/>
  <c r="E677" i="5"/>
  <c r="O676" i="5"/>
  <c r="N676" i="5"/>
  <c r="L676" i="5"/>
  <c r="I676" i="5"/>
  <c r="E676" i="5"/>
  <c r="N675" i="5"/>
  <c r="O675" i="5" s="1"/>
  <c r="L675" i="5"/>
  <c r="I675" i="5"/>
  <c r="E675" i="5"/>
  <c r="O674" i="5"/>
  <c r="N674" i="5"/>
  <c r="L674" i="5"/>
  <c r="I674" i="5"/>
  <c r="E674" i="5"/>
  <c r="N673" i="5"/>
  <c r="O673" i="5" s="1"/>
  <c r="L673" i="5"/>
  <c r="I673" i="5"/>
  <c r="E673" i="5"/>
  <c r="N672" i="5"/>
  <c r="O672" i="5" s="1"/>
  <c r="L672" i="5"/>
  <c r="I672" i="5"/>
  <c r="E672" i="5"/>
  <c r="O671" i="5"/>
  <c r="N671" i="5"/>
  <c r="L671" i="5"/>
  <c r="I671" i="5"/>
  <c r="E671" i="5"/>
  <c r="O670" i="5"/>
  <c r="N670" i="5"/>
  <c r="L670" i="5"/>
  <c r="I670" i="5"/>
  <c r="E670" i="5"/>
  <c r="N669" i="5"/>
  <c r="O669" i="5" s="1"/>
  <c r="L669" i="5"/>
  <c r="I669" i="5"/>
  <c r="E669" i="5"/>
  <c r="O668" i="5"/>
  <c r="N668" i="5"/>
  <c r="L668" i="5"/>
  <c r="I668" i="5"/>
  <c r="E668" i="5"/>
  <c r="N667" i="5"/>
  <c r="O667" i="5" s="1"/>
  <c r="L667" i="5"/>
  <c r="I667" i="5"/>
  <c r="E667" i="5"/>
  <c r="O666" i="5"/>
  <c r="N666" i="5"/>
  <c r="L666" i="5"/>
  <c r="I666" i="5"/>
  <c r="E666" i="5"/>
  <c r="N665" i="5"/>
  <c r="O665" i="5" s="1"/>
  <c r="L665" i="5"/>
  <c r="I665" i="5"/>
  <c r="E665" i="5"/>
  <c r="N664" i="5"/>
  <c r="O664" i="5" s="1"/>
  <c r="L664" i="5"/>
  <c r="I664" i="5"/>
  <c r="E664" i="5"/>
  <c r="O663" i="5"/>
  <c r="N663" i="5"/>
  <c r="L663" i="5"/>
  <c r="I663" i="5"/>
  <c r="E663" i="5"/>
  <c r="O662" i="5"/>
  <c r="N662" i="5"/>
  <c r="L662" i="5"/>
  <c r="I662" i="5"/>
  <c r="E662" i="5"/>
  <c r="N661" i="5"/>
  <c r="O661" i="5" s="1"/>
  <c r="L661" i="5"/>
  <c r="I661" i="5"/>
  <c r="E661" i="5"/>
  <c r="O660" i="5"/>
  <c r="N660" i="5"/>
  <c r="L660" i="5"/>
  <c r="I660" i="5"/>
  <c r="E660" i="5"/>
  <c r="N659" i="5"/>
  <c r="O659" i="5" s="1"/>
  <c r="L659" i="5"/>
  <c r="I659" i="5"/>
  <c r="E659" i="5"/>
  <c r="O658" i="5"/>
  <c r="N658" i="5"/>
  <c r="L658" i="5"/>
  <c r="I658" i="5"/>
  <c r="E658" i="5"/>
  <c r="N657" i="5"/>
  <c r="O657" i="5" s="1"/>
  <c r="L657" i="5"/>
  <c r="I657" i="5"/>
  <c r="E657" i="5"/>
  <c r="N656" i="5"/>
  <c r="O656" i="5" s="1"/>
  <c r="L656" i="5"/>
  <c r="I656" i="5"/>
  <c r="E656" i="5"/>
  <c r="O655" i="5"/>
  <c r="N655" i="5"/>
  <c r="L655" i="5"/>
  <c r="I655" i="5"/>
  <c r="E655" i="5"/>
  <c r="O654" i="5"/>
  <c r="N654" i="5"/>
  <c r="L654" i="5"/>
  <c r="I654" i="5"/>
  <c r="E654" i="5"/>
  <c r="N653" i="5"/>
  <c r="O653" i="5" s="1"/>
  <c r="L653" i="5"/>
  <c r="I653" i="5"/>
  <c r="E653" i="5"/>
  <c r="O652" i="5"/>
  <c r="N652" i="5"/>
  <c r="L652" i="5"/>
  <c r="I652" i="5"/>
  <c r="E652" i="5"/>
  <c r="N651" i="5"/>
  <c r="O651" i="5" s="1"/>
  <c r="L651" i="5"/>
  <c r="I651" i="5"/>
  <c r="E651" i="5"/>
  <c r="O650" i="5"/>
  <c r="N650" i="5"/>
  <c r="L650" i="5"/>
  <c r="I650" i="5"/>
  <c r="E650" i="5"/>
  <c r="N649" i="5"/>
  <c r="O649" i="5" s="1"/>
  <c r="L649" i="5"/>
  <c r="I649" i="5"/>
  <c r="E649" i="5"/>
  <c r="N648" i="5"/>
  <c r="O648" i="5" s="1"/>
  <c r="L648" i="5"/>
  <c r="I648" i="5"/>
  <c r="E648" i="5"/>
  <c r="O647" i="5"/>
  <c r="N647" i="5"/>
  <c r="L647" i="5"/>
  <c r="I647" i="5"/>
  <c r="E647" i="5"/>
  <c r="O646" i="5"/>
  <c r="N646" i="5"/>
  <c r="L646" i="5"/>
  <c r="I646" i="5"/>
  <c r="E646" i="5"/>
  <c r="N645" i="5"/>
  <c r="O645" i="5" s="1"/>
  <c r="L645" i="5"/>
  <c r="I645" i="5"/>
  <c r="E645" i="5"/>
  <c r="O644" i="5"/>
  <c r="N644" i="5"/>
  <c r="L644" i="5"/>
  <c r="I644" i="5"/>
  <c r="E644" i="5"/>
  <c r="N643" i="5"/>
  <c r="O643" i="5" s="1"/>
  <c r="L643" i="5"/>
  <c r="I643" i="5"/>
  <c r="E643" i="5"/>
  <c r="O642" i="5"/>
  <c r="N642" i="5"/>
  <c r="L642" i="5"/>
  <c r="I642" i="5"/>
  <c r="E642" i="5"/>
  <c r="N641" i="5"/>
  <c r="O641" i="5" s="1"/>
  <c r="L641" i="5"/>
  <c r="I641" i="5"/>
  <c r="E641" i="5"/>
  <c r="N640" i="5"/>
  <c r="O640" i="5" s="1"/>
  <c r="L640" i="5"/>
  <c r="I640" i="5"/>
  <c r="E640" i="5"/>
  <c r="O639" i="5"/>
  <c r="N639" i="5"/>
  <c r="L639" i="5"/>
  <c r="I639" i="5"/>
  <c r="E639" i="5"/>
  <c r="O638" i="5"/>
  <c r="N638" i="5"/>
  <c r="L638" i="5"/>
  <c r="I638" i="5"/>
  <c r="E638" i="5"/>
  <c r="N637" i="5"/>
  <c r="O637" i="5" s="1"/>
  <c r="L637" i="5"/>
  <c r="I637" i="5"/>
  <c r="E637" i="5"/>
  <c r="O636" i="5"/>
  <c r="N636" i="5"/>
  <c r="L636" i="5"/>
  <c r="I636" i="5"/>
  <c r="E636" i="5"/>
  <c r="N635" i="5"/>
  <c r="O635" i="5" s="1"/>
  <c r="L635" i="5"/>
  <c r="I635" i="5"/>
  <c r="E635" i="5"/>
  <c r="O634" i="5"/>
  <c r="N634" i="5"/>
  <c r="L634" i="5"/>
  <c r="I634" i="5"/>
  <c r="E634" i="5"/>
  <c r="N633" i="5"/>
  <c r="O633" i="5" s="1"/>
  <c r="L633" i="5"/>
  <c r="I633" i="5"/>
  <c r="E633" i="5"/>
  <c r="N632" i="5"/>
  <c r="O632" i="5" s="1"/>
  <c r="L632" i="5"/>
  <c r="I632" i="5"/>
  <c r="E632" i="5"/>
  <c r="O631" i="5"/>
  <c r="N631" i="5"/>
  <c r="L631" i="5"/>
  <c r="I631" i="5"/>
  <c r="E631" i="5"/>
  <c r="O630" i="5"/>
  <c r="N630" i="5"/>
  <c r="L630" i="5"/>
  <c r="I630" i="5"/>
  <c r="E630" i="5"/>
  <c r="N629" i="5"/>
  <c r="O629" i="5" s="1"/>
  <c r="L629" i="5"/>
  <c r="I629" i="5"/>
  <c r="E629" i="5"/>
  <c r="O628" i="5"/>
  <c r="N628" i="5"/>
  <c r="L628" i="5"/>
  <c r="I628" i="5"/>
  <c r="E628" i="5"/>
  <c r="N627" i="5"/>
  <c r="O627" i="5" s="1"/>
  <c r="L627" i="5"/>
  <c r="I627" i="5"/>
  <c r="E627" i="5"/>
  <c r="O626" i="5"/>
  <c r="N626" i="5"/>
  <c r="L626" i="5"/>
  <c r="I626" i="5"/>
  <c r="E626" i="5"/>
  <c r="N625" i="5"/>
  <c r="O625" i="5" s="1"/>
  <c r="L625" i="5"/>
  <c r="I625" i="5"/>
  <c r="E625" i="5"/>
  <c r="N624" i="5"/>
  <c r="O624" i="5" s="1"/>
  <c r="L624" i="5"/>
  <c r="I624" i="5"/>
  <c r="E624" i="5"/>
  <c r="O623" i="5"/>
  <c r="N623" i="5"/>
  <c r="L623" i="5"/>
  <c r="I623" i="5"/>
  <c r="E623" i="5"/>
  <c r="O622" i="5"/>
  <c r="N622" i="5"/>
  <c r="L622" i="5"/>
  <c r="I622" i="5"/>
  <c r="E622" i="5"/>
  <c r="N621" i="5"/>
  <c r="O621" i="5" s="1"/>
  <c r="L621" i="5"/>
  <c r="I621" i="5"/>
  <c r="E621" i="5"/>
  <c r="O620" i="5"/>
  <c r="N620" i="5"/>
  <c r="L620" i="5"/>
  <c r="I620" i="5"/>
  <c r="E620" i="5"/>
  <c r="N619" i="5"/>
  <c r="O619" i="5" s="1"/>
  <c r="L619" i="5"/>
  <c r="I619" i="5"/>
  <c r="E619" i="5"/>
  <c r="O618" i="5"/>
  <c r="N618" i="5"/>
  <c r="L618" i="5"/>
  <c r="I618" i="5"/>
  <c r="E618" i="5"/>
  <c r="N617" i="5"/>
  <c r="O617" i="5" s="1"/>
  <c r="L617" i="5"/>
  <c r="I617" i="5"/>
  <c r="E617" i="5"/>
  <c r="N616" i="5"/>
  <c r="O616" i="5" s="1"/>
  <c r="L616" i="5"/>
  <c r="I616" i="5"/>
  <c r="E616" i="5"/>
  <c r="O615" i="5"/>
  <c r="N615" i="5"/>
  <c r="L615" i="5"/>
  <c r="I615" i="5"/>
  <c r="E615" i="5"/>
  <c r="O614" i="5"/>
  <c r="N614" i="5"/>
  <c r="L614" i="5"/>
  <c r="I614" i="5"/>
  <c r="E614" i="5"/>
  <c r="N613" i="5"/>
  <c r="O613" i="5" s="1"/>
  <c r="L613" i="5"/>
  <c r="I613" i="5"/>
  <c r="E613" i="5"/>
  <c r="O612" i="5"/>
  <c r="N612" i="5"/>
  <c r="L612" i="5"/>
  <c r="I612" i="5"/>
  <c r="E612" i="5"/>
  <c r="N611" i="5"/>
  <c r="O611" i="5" s="1"/>
  <c r="L611" i="5"/>
  <c r="I611" i="5"/>
  <c r="E611" i="5"/>
  <c r="O610" i="5"/>
  <c r="N610" i="5"/>
  <c r="L610" i="5"/>
  <c r="I610" i="5"/>
  <c r="E610" i="5"/>
  <c r="N609" i="5"/>
  <c r="O609" i="5" s="1"/>
  <c r="L609" i="5"/>
  <c r="I609" i="5"/>
  <c r="E609" i="5"/>
  <c r="N608" i="5"/>
  <c r="O608" i="5" s="1"/>
  <c r="L608" i="5"/>
  <c r="I608" i="5"/>
  <c r="E608" i="5"/>
  <c r="O607" i="5"/>
  <c r="N607" i="5"/>
  <c r="L607" i="5"/>
  <c r="I607" i="5"/>
  <c r="E607" i="5"/>
  <c r="O606" i="5"/>
  <c r="N606" i="5"/>
  <c r="L606" i="5"/>
  <c r="I606" i="5"/>
  <c r="E606" i="5"/>
  <c r="N605" i="5"/>
  <c r="O605" i="5" s="1"/>
  <c r="L605" i="5"/>
  <c r="I605" i="5"/>
  <c r="E605" i="5"/>
  <c r="O604" i="5"/>
  <c r="N604" i="5"/>
  <c r="L604" i="5"/>
  <c r="I604" i="5"/>
  <c r="E604" i="5"/>
  <c r="N603" i="5"/>
  <c r="O603" i="5" s="1"/>
  <c r="L603" i="5"/>
  <c r="I603" i="5"/>
  <c r="E603" i="5"/>
  <c r="O602" i="5"/>
  <c r="N602" i="5"/>
  <c r="L602" i="5"/>
  <c r="I602" i="5"/>
  <c r="E602" i="5"/>
  <c r="N601" i="5"/>
  <c r="O601" i="5" s="1"/>
  <c r="L601" i="5"/>
  <c r="I601" i="5"/>
  <c r="E601" i="5"/>
  <c r="O600" i="5"/>
  <c r="N600" i="5"/>
  <c r="L600" i="5"/>
  <c r="I600" i="5"/>
  <c r="E600" i="5"/>
  <c r="O599" i="5"/>
  <c r="N599" i="5"/>
  <c r="L599" i="5"/>
  <c r="I599" i="5"/>
  <c r="E599" i="5"/>
  <c r="N598" i="5"/>
  <c r="O598" i="5" s="1"/>
  <c r="L598" i="5"/>
  <c r="I598" i="5"/>
  <c r="E598" i="5"/>
  <c r="N597" i="5"/>
  <c r="O597" i="5" s="1"/>
  <c r="L597" i="5"/>
  <c r="I597" i="5"/>
  <c r="E597" i="5"/>
  <c r="O596" i="5"/>
  <c r="N596" i="5"/>
  <c r="L596" i="5"/>
  <c r="I596" i="5"/>
  <c r="E596" i="5"/>
  <c r="N595" i="5"/>
  <c r="O595" i="5" s="1"/>
  <c r="L595" i="5"/>
  <c r="I595" i="5"/>
  <c r="E595" i="5"/>
  <c r="O594" i="5"/>
  <c r="N594" i="5"/>
  <c r="L594" i="5"/>
  <c r="I594" i="5"/>
  <c r="E594" i="5"/>
  <c r="N593" i="5"/>
  <c r="O593" i="5" s="1"/>
  <c r="L593" i="5"/>
  <c r="I593" i="5"/>
  <c r="E593" i="5"/>
  <c r="O592" i="5"/>
  <c r="N592" i="5"/>
  <c r="L592" i="5"/>
  <c r="I592" i="5"/>
  <c r="E592" i="5"/>
  <c r="O591" i="5"/>
  <c r="N591" i="5"/>
  <c r="L591" i="5"/>
  <c r="I591" i="5"/>
  <c r="E591" i="5"/>
  <c r="O590" i="5"/>
  <c r="N590" i="5"/>
  <c r="L590" i="5"/>
  <c r="I590" i="5"/>
  <c r="E590" i="5"/>
  <c r="N589" i="5"/>
  <c r="O589" i="5" s="1"/>
  <c r="L589" i="5"/>
  <c r="I589" i="5"/>
  <c r="E589" i="5"/>
  <c r="O588" i="5"/>
  <c r="N588" i="5"/>
  <c r="L588" i="5"/>
  <c r="I588" i="5"/>
  <c r="E588" i="5"/>
  <c r="N587" i="5"/>
  <c r="O587" i="5" s="1"/>
  <c r="L587" i="5"/>
  <c r="I587" i="5"/>
  <c r="E587" i="5"/>
  <c r="O586" i="5"/>
  <c r="N586" i="5"/>
  <c r="L586" i="5"/>
  <c r="I586" i="5"/>
  <c r="E586" i="5"/>
  <c r="N585" i="5"/>
  <c r="O585" i="5" s="1"/>
  <c r="L585" i="5"/>
  <c r="I585" i="5"/>
  <c r="E585" i="5"/>
  <c r="O584" i="5"/>
  <c r="N584" i="5"/>
  <c r="L584" i="5"/>
  <c r="I584" i="5"/>
  <c r="E584" i="5"/>
  <c r="O583" i="5"/>
  <c r="N583" i="5"/>
  <c r="L583" i="5"/>
  <c r="I583" i="5"/>
  <c r="E583" i="5"/>
  <c r="N582" i="5"/>
  <c r="O582" i="5" s="1"/>
  <c r="L582" i="5"/>
  <c r="I582" i="5"/>
  <c r="E582" i="5"/>
  <c r="N581" i="5"/>
  <c r="O581" i="5" s="1"/>
  <c r="L581" i="5"/>
  <c r="I581" i="5"/>
  <c r="E581" i="5"/>
  <c r="O580" i="5"/>
  <c r="N580" i="5"/>
  <c r="L580" i="5"/>
  <c r="I580" i="5"/>
  <c r="E580" i="5"/>
  <c r="N579" i="5"/>
  <c r="O579" i="5" s="1"/>
  <c r="L579" i="5"/>
  <c r="I579" i="5"/>
  <c r="E579" i="5"/>
  <c r="O578" i="5"/>
  <c r="N578" i="5"/>
  <c r="L578" i="5"/>
  <c r="I578" i="5"/>
  <c r="E578" i="5"/>
  <c r="N577" i="5"/>
  <c r="O577" i="5" s="1"/>
  <c r="L577" i="5"/>
  <c r="I577" i="5"/>
  <c r="E577" i="5"/>
  <c r="O576" i="5"/>
  <c r="N576" i="5"/>
  <c r="L576" i="5"/>
  <c r="I576" i="5"/>
  <c r="E576" i="5"/>
  <c r="O575" i="5"/>
  <c r="N575" i="5"/>
  <c r="L575" i="5"/>
  <c r="I575" i="5"/>
  <c r="E575" i="5"/>
  <c r="O574" i="5"/>
  <c r="N574" i="5"/>
  <c r="L574" i="5"/>
  <c r="I574" i="5"/>
  <c r="E574" i="5"/>
  <c r="N573" i="5"/>
  <c r="O573" i="5" s="1"/>
  <c r="L573" i="5"/>
  <c r="I573" i="5"/>
  <c r="E573" i="5"/>
  <c r="O572" i="5"/>
  <c r="N572" i="5"/>
  <c r="L572" i="5"/>
  <c r="I572" i="5"/>
  <c r="E572" i="5"/>
  <c r="N571" i="5"/>
  <c r="O571" i="5" s="1"/>
  <c r="L571" i="5"/>
  <c r="I571" i="5"/>
  <c r="E571" i="5"/>
  <c r="N570" i="5"/>
  <c r="O570" i="5" s="1"/>
  <c r="L570" i="5"/>
  <c r="I570" i="5"/>
  <c r="E570" i="5"/>
  <c r="N569" i="5"/>
  <c r="O569" i="5" s="1"/>
  <c r="L569" i="5"/>
  <c r="I569" i="5"/>
  <c r="E569" i="5"/>
  <c r="O568" i="5"/>
  <c r="N568" i="5"/>
  <c r="L568" i="5"/>
  <c r="I568" i="5"/>
  <c r="E568" i="5"/>
  <c r="O567" i="5"/>
  <c r="N567" i="5"/>
  <c r="L567" i="5"/>
  <c r="I567" i="5"/>
  <c r="E567" i="5"/>
  <c r="O566" i="5"/>
  <c r="N566" i="5"/>
  <c r="L566" i="5"/>
  <c r="I566" i="5"/>
  <c r="E566" i="5"/>
  <c r="N565" i="5"/>
  <c r="O565" i="5" s="1"/>
  <c r="L565" i="5"/>
  <c r="I565" i="5"/>
  <c r="E565" i="5"/>
  <c r="O564" i="5"/>
  <c r="N564" i="5"/>
  <c r="L564" i="5"/>
  <c r="I564" i="5"/>
  <c r="E564" i="5"/>
  <c r="N563" i="5"/>
  <c r="O563" i="5" s="1"/>
  <c r="L563" i="5"/>
  <c r="I563" i="5"/>
  <c r="E563" i="5"/>
  <c r="N562" i="5"/>
  <c r="O562" i="5" s="1"/>
  <c r="L562" i="5"/>
  <c r="I562" i="5"/>
  <c r="E562" i="5"/>
  <c r="N561" i="5"/>
  <c r="O561" i="5" s="1"/>
  <c r="L561" i="5"/>
  <c r="I561" i="5"/>
  <c r="E561" i="5"/>
  <c r="O560" i="5"/>
  <c r="N560" i="5"/>
  <c r="L560" i="5"/>
  <c r="I560" i="5"/>
  <c r="E560" i="5"/>
  <c r="O559" i="5"/>
  <c r="N559" i="5"/>
  <c r="L559" i="5"/>
  <c r="I559" i="5"/>
  <c r="E559" i="5"/>
  <c r="O558" i="5"/>
  <c r="N558" i="5"/>
  <c r="L558" i="5"/>
  <c r="I558" i="5"/>
  <c r="E558" i="5"/>
  <c r="N557" i="5"/>
  <c r="O557" i="5" s="1"/>
  <c r="L557" i="5"/>
  <c r="I557" i="5"/>
  <c r="E557" i="5"/>
  <c r="O556" i="5"/>
  <c r="N556" i="5"/>
  <c r="L556" i="5"/>
  <c r="I556" i="5"/>
  <c r="E556" i="5"/>
  <c r="N555" i="5"/>
  <c r="O555" i="5" s="1"/>
  <c r="L555" i="5"/>
  <c r="I555" i="5"/>
  <c r="E555" i="5"/>
  <c r="N554" i="5"/>
  <c r="O554" i="5" s="1"/>
  <c r="L554" i="5"/>
  <c r="I554" i="5"/>
  <c r="E554" i="5"/>
  <c r="N553" i="5"/>
  <c r="O553" i="5" s="1"/>
  <c r="L553" i="5"/>
  <c r="I553" i="5"/>
  <c r="E553" i="5"/>
  <c r="O552" i="5"/>
  <c r="N552" i="5"/>
  <c r="L552" i="5"/>
  <c r="I552" i="5"/>
  <c r="E552" i="5"/>
  <c r="O551" i="5"/>
  <c r="N551" i="5"/>
  <c r="L551" i="5"/>
  <c r="I551" i="5"/>
  <c r="E551" i="5"/>
  <c r="O550" i="5"/>
  <c r="N550" i="5"/>
  <c r="L550" i="5"/>
  <c r="I550" i="5"/>
  <c r="E550" i="5"/>
  <c r="N549" i="5"/>
  <c r="O549" i="5" s="1"/>
  <c r="L549" i="5"/>
  <c r="I549" i="5"/>
  <c r="E549" i="5"/>
  <c r="O548" i="5"/>
  <c r="N548" i="5"/>
  <c r="L548" i="5"/>
  <c r="I548" i="5"/>
  <c r="E548" i="5"/>
  <c r="N547" i="5"/>
  <c r="O547" i="5" s="1"/>
  <c r="L547" i="5"/>
  <c r="I547" i="5"/>
  <c r="E547" i="5"/>
  <c r="O546" i="5"/>
  <c r="N546" i="5"/>
  <c r="L546" i="5"/>
  <c r="I546" i="5"/>
  <c r="E546" i="5"/>
  <c r="N545" i="5"/>
  <c r="O545" i="5" s="1"/>
  <c r="L545" i="5"/>
  <c r="I545" i="5"/>
  <c r="E545" i="5"/>
  <c r="O544" i="5"/>
  <c r="N544" i="5"/>
  <c r="L544" i="5"/>
  <c r="I544" i="5"/>
  <c r="E544" i="5"/>
  <c r="O543" i="5"/>
  <c r="N543" i="5"/>
  <c r="L543" i="5"/>
  <c r="I543" i="5"/>
  <c r="E543" i="5"/>
  <c r="O542" i="5"/>
  <c r="N542" i="5"/>
  <c r="L542" i="5"/>
  <c r="I542" i="5"/>
  <c r="E542" i="5"/>
  <c r="N541" i="5"/>
  <c r="O541" i="5" s="1"/>
  <c r="L541" i="5"/>
  <c r="I541" i="5"/>
  <c r="E541" i="5"/>
  <c r="N540" i="5"/>
  <c r="O540" i="5" s="1"/>
  <c r="L540" i="5"/>
  <c r="I540" i="5"/>
  <c r="E540" i="5"/>
  <c r="O539" i="5"/>
  <c r="N539" i="5"/>
  <c r="L539" i="5"/>
  <c r="I539" i="5"/>
  <c r="E539" i="5"/>
  <c r="O538" i="5"/>
  <c r="N538" i="5"/>
  <c r="L538" i="5"/>
  <c r="I538" i="5"/>
  <c r="E538" i="5"/>
  <c r="N537" i="5"/>
  <c r="O537" i="5" s="1"/>
  <c r="L537" i="5"/>
  <c r="I537" i="5"/>
  <c r="E537" i="5"/>
  <c r="O536" i="5"/>
  <c r="N536" i="5"/>
  <c r="L536" i="5"/>
  <c r="I536" i="5"/>
  <c r="E536" i="5"/>
  <c r="N535" i="5"/>
  <c r="O535" i="5" s="1"/>
  <c r="L535" i="5"/>
  <c r="I535" i="5"/>
  <c r="E535" i="5"/>
  <c r="O534" i="5"/>
  <c r="N534" i="5"/>
  <c r="L534" i="5"/>
  <c r="I534" i="5"/>
  <c r="E534" i="5"/>
  <c r="N533" i="5"/>
  <c r="O533" i="5" s="1"/>
  <c r="L533" i="5"/>
  <c r="I533" i="5"/>
  <c r="E533" i="5"/>
  <c r="O532" i="5"/>
  <c r="N532" i="5"/>
  <c r="L532" i="5"/>
  <c r="I532" i="5"/>
  <c r="E532" i="5"/>
  <c r="O531" i="5"/>
  <c r="N531" i="5"/>
  <c r="L531" i="5"/>
  <c r="I531" i="5"/>
  <c r="E531" i="5"/>
  <c r="N530" i="5"/>
  <c r="O530" i="5" s="1"/>
  <c r="L530" i="5"/>
  <c r="I530" i="5"/>
  <c r="E530" i="5"/>
  <c r="N529" i="5"/>
  <c r="O529" i="5" s="1"/>
  <c r="L529" i="5"/>
  <c r="I529" i="5"/>
  <c r="E529" i="5"/>
  <c r="O528" i="5"/>
  <c r="N528" i="5"/>
  <c r="L528" i="5"/>
  <c r="I528" i="5"/>
  <c r="E528" i="5"/>
  <c r="N527" i="5"/>
  <c r="O527" i="5" s="1"/>
  <c r="L527" i="5"/>
  <c r="I527" i="5"/>
  <c r="E527" i="5"/>
  <c r="O526" i="5"/>
  <c r="N526" i="5"/>
  <c r="L526" i="5"/>
  <c r="I526" i="5"/>
  <c r="E526" i="5"/>
  <c r="N525" i="5"/>
  <c r="O525" i="5" s="1"/>
  <c r="L525" i="5"/>
  <c r="I525" i="5"/>
  <c r="E525" i="5"/>
  <c r="O524" i="5"/>
  <c r="N524" i="5"/>
  <c r="L524" i="5"/>
  <c r="I524" i="5"/>
  <c r="E524" i="5"/>
  <c r="O523" i="5"/>
  <c r="N523" i="5"/>
  <c r="L523" i="5"/>
  <c r="I523" i="5"/>
  <c r="E523" i="5"/>
  <c r="N522" i="5"/>
  <c r="O522" i="5" s="1"/>
  <c r="L522" i="5"/>
  <c r="I522" i="5"/>
  <c r="E522" i="5"/>
  <c r="N521" i="5"/>
  <c r="O521" i="5" s="1"/>
  <c r="L521" i="5"/>
  <c r="I521" i="5"/>
  <c r="E521" i="5"/>
  <c r="O520" i="5"/>
  <c r="N520" i="5"/>
  <c r="L520" i="5"/>
  <c r="I520" i="5"/>
  <c r="E520" i="5"/>
  <c r="N519" i="5"/>
  <c r="O519" i="5" s="1"/>
  <c r="L519" i="5"/>
  <c r="I519" i="5"/>
  <c r="E519" i="5"/>
  <c r="O518" i="5"/>
  <c r="N518" i="5"/>
  <c r="L518" i="5"/>
  <c r="I518" i="5"/>
  <c r="E518" i="5"/>
  <c r="N517" i="5"/>
  <c r="O517" i="5" s="1"/>
  <c r="L517" i="5"/>
  <c r="I517" i="5"/>
  <c r="E517" i="5"/>
  <c r="O516" i="5"/>
  <c r="N516" i="5"/>
  <c r="L516" i="5"/>
  <c r="I516" i="5"/>
  <c r="E516" i="5"/>
  <c r="O515" i="5"/>
  <c r="N515" i="5"/>
  <c r="L515" i="5"/>
  <c r="I515" i="5"/>
  <c r="E515" i="5"/>
  <c r="O514" i="5"/>
  <c r="N514" i="5"/>
  <c r="L514" i="5"/>
  <c r="I514" i="5"/>
  <c r="E514" i="5"/>
  <c r="N513" i="5"/>
  <c r="O513" i="5" s="1"/>
  <c r="L513" i="5"/>
  <c r="I513" i="5"/>
  <c r="E513" i="5"/>
  <c r="O512" i="5"/>
  <c r="N512" i="5"/>
  <c r="L512" i="5"/>
  <c r="I512" i="5"/>
  <c r="E512" i="5"/>
  <c r="N511" i="5"/>
  <c r="O511" i="5" s="1"/>
  <c r="L511" i="5"/>
  <c r="I511" i="5"/>
  <c r="E511" i="5"/>
  <c r="O510" i="5"/>
  <c r="N510" i="5"/>
  <c r="L510" i="5"/>
  <c r="I510" i="5"/>
  <c r="E510" i="5"/>
  <c r="N509" i="5"/>
  <c r="O509" i="5" s="1"/>
  <c r="L509" i="5"/>
  <c r="I509" i="5"/>
  <c r="E509" i="5"/>
  <c r="O508" i="5"/>
  <c r="N508" i="5"/>
  <c r="L508" i="5"/>
  <c r="I508" i="5"/>
  <c r="E508" i="5"/>
  <c r="O507" i="5"/>
  <c r="N507" i="5"/>
  <c r="L507" i="5"/>
  <c r="I507" i="5"/>
  <c r="E507" i="5"/>
  <c r="N506" i="5"/>
  <c r="O506" i="5" s="1"/>
  <c r="L506" i="5"/>
  <c r="I506" i="5"/>
  <c r="E506" i="5"/>
  <c r="N505" i="5"/>
  <c r="O505" i="5" s="1"/>
  <c r="L505" i="5"/>
  <c r="I505" i="5"/>
  <c r="E505" i="5"/>
  <c r="O504" i="5"/>
  <c r="N504" i="5"/>
  <c r="L504" i="5"/>
  <c r="I504" i="5"/>
  <c r="E504" i="5"/>
  <c r="N503" i="5"/>
  <c r="O503" i="5" s="1"/>
  <c r="L503" i="5"/>
  <c r="I503" i="5"/>
  <c r="E503" i="5"/>
  <c r="O502" i="5"/>
  <c r="N502" i="5"/>
  <c r="L502" i="5"/>
  <c r="I502" i="5"/>
  <c r="E502" i="5"/>
  <c r="N501" i="5"/>
  <c r="O501" i="5" s="1"/>
  <c r="L501" i="5"/>
  <c r="I501" i="5"/>
  <c r="E501" i="5"/>
  <c r="O500" i="5"/>
  <c r="N500" i="5"/>
  <c r="L500" i="5"/>
  <c r="I500" i="5"/>
  <c r="E500" i="5"/>
  <c r="O499" i="5"/>
  <c r="N499" i="5"/>
  <c r="L499" i="5"/>
  <c r="I499" i="5"/>
  <c r="E499" i="5"/>
  <c r="O498" i="5"/>
  <c r="N498" i="5"/>
  <c r="L498" i="5"/>
  <c r="I498" i="5"/>
  <c r="E498" i="5"/>
  <c r="N497" i="5"/>
  <c r="O497" i="5" s="1"/>
  <c r="L497" i="5"/>
  <c r="I497" i="5"/>
  <c r="E497" i="5"/>
  <c r="O496" i="5"/>
  <c r="N496" i="5"/>
  <c r="L496" i="5"/>
  <c r="I496" i="5"/>
  <c r="E496" i="5"/>
  <c r="N495" i="5"/>
  <c r="O495" i="5" s="1"/>
  <c r="L495" i="5"/>
  <c r="I495" i="5"/>
  <c r="E495" i="5"/>
  <c r="O494" i="5"/>
  <c r="N494" i="5"/>
  <c r="L494" i="5"/>
  <c r="I494" i="5"/>
  <c r="E494" i="5"/>
  <c r="N493" i="5"/>
  <c r="O493" i="5" s="1"/>
  <c r="L493" i="5"/>
  <c r="I493" i="5"/>
  <c r="E493" i="5"/>
  <c r="O492" i="5"/>
  <c r="N492" i="5"/>
  <c r="M492" i="5"/>
  <c r="L492" i="5"/>
  <c r="I492" i="5"/>
  <c r="E492" i="5"/>
  <c r="N491" i="5"/>
  <c r="O491" i="5" s="1"/>
  <c r="L491" i="5"/>
  <c r="I491" i="5"/>
  <c r="E491" i="5"/>
  <c r="N490" i="5"/>
  <c r="O490" i="5" s="1"/>
  <c r="L490" i="5"/>
  <c r="I490" i="5"/>
  <c r="E490" i="5"/>
  <c r="N489" i="5"/>
  <c r="O489" i="5" s="1"/>
  <c r="L489" i="5"/>
  <c r="I489" i="5"/>
  <c r="E489" i="5"/>
  <c r="O488" i="5"/>
  <c r="N488" i="5"/>
  <c r="L488" i="5"/>
  <c r="I488" i="5"/>
  <c r="E488" i="5"/>
  <c r="N487" i="5"/>
  <c r="O487" i="5" s="1"/>
  <c r="L487" i="5"/>
  <c r="I487" i="5"/>
  <c r="E487" i="5"/>
  <c r="O486" i="5"/>
  <c r="N486" i="5"/>
  <c r="L486" i="5"/>
  <c r="I486" i="5"/>
  <c r="E486" i="5"/>
  <c r="N485" i="5"/>
  <c r="O485" i="5" s="1"/>
  <c r="L485" i="5"/>
  <c r="I485" i="5"/>
  <c r="E485" i="5"/>
  <c r="O484" i="5"/>
  <c r="N484" i="5"/>
  <c r="L484" i="5"/>
  <c r="I484" i="5"/>
  <c r="E484" i="5"/>
  <c r="O483" i="5"/>
  <c r="N483" i="5"/>
  <c r="L483" i="5"/>
  <c r="I483" i="5"/>
  <c r="E483" i="5"/>
  <c r="N482" i="5"/>
  <c r="O482" i="5" s="1"/>
  <c r="L482" i="5"/>
  <c r="I482" i="5"/>
  <c r="E482" i="5"/>
  <c r="N481" i="5"/>
  <c r="O481" i="5" s="1"/>
  <c r="L481" i="5"/>
  <c r="I481" i="5"/>
  <c r="E481" i="5"/>
  <c r="O480" i="5"/>
  <c r="N480" i="5"/>
  <c r="L480" i="5"/>
  <c r="I480" i="5"/>
  <c r="E480" i="5"/>
  <c r="N479" i="5"/>
  <c r="O479" i="5" s="1"/>
  <c r="L479" i="5"/>
  <c r="I479" i="5"/>
  <c r="E479" i="5"/>
  <c r="O478" i="5"/>
  <c r="N478" i="5"/>
  <c r="L478" i="5"/>
  <c r="I478" i="5"/>
  <c r="E478" i="5"/>
  <c r="N477" i="5"/>
  <c r="O477" i="5" s="1"/>
  <c r="L477" i="5"/>
  <c r="I477" i="5"/>
  <c r="E477" i="5"/>
  <c r="O476" i="5"/>
  <c r="N476" i="5"/>
  <c r="L476" i="5"/>
  <c r="I476" i="5"/>
  <c r="E476" i="5"/>
  <c r="N475" i="5"/>
  <c r="O475" i="5" s="1"/>
  <c r="L475" i="5"/>
  <c r="I475" i="5"/>
  <c r="E475" i="5"/>
  <c r="O474" i="5"/>
  <c r="N474" i="5"/>
  <c r="L474" i="5"/>
  <c r="I474" i="5"/>
  <c r="E474" i="5"/>
  <c r="N473" i="5"/>
  <c r="O473" i="5" s="1"/>
  <c r="L473" i="5"/>
  <c r="I473" i="5"/>
  <c r="E473" i="5"/>
  <c r="O472" i="5"/>
  <c r="N472" i="5"/>
  <c r="L472" i="5"/>
  <c r="I472" i="5"/>
  <c r="E472" i="5"/>
  <c r="N471" i="5"/>
  <c r="O471" i="5" s="1"/>
  <c r="L471" i="5"/>
  <c r="I471" i="5"/>
  <c r="E471" i="5"/>
  <c r="O470" i="5"/>
  <c r="N470" i="5"/>
  <c r="L470" i="5"/>
  <c r="I470" i="5"/>
  <c r="E470" i="5"/>
  <c r="N469" i="5"/>
  <c r="O469" i="5" s="1"/>
  <c r="L469" i="5"/>
  <c r="I469" i="5"/>
  <c r="E469" i="5"/>
  <c r="O468" i="5"/>
  <c r="N468" i="5"/>
  <c r="L468" i="5"/>
  <c r="I468" i="5"/>
  <c r="E468" i="5"/>
  <c r="N467" i="5"/>
  <c r="O467" i="5" s="1"/>
  <c r="L467" i="5"/>
  <c r="I467" i="5"/>
  <c r="E467" i="5"/>
  <c r="N466" i="5"/>
  <c r="O466" i="5" s="1"/>
  <c r="L466" i="5"/>
  <c r="I466" i="5"/>
  <c r="E466" i="5"/>
  <c r="N465" i="5"/>
  <c r="O465" i="5" s="1"/>
  <c r="L465" i="5"/>
  <c r="I465" i="5"/>
  <c r="E465" i="5"/>
  <c r="O464" i="5"/>
  <c r="N464" i="5"/>
  <c r="L464" i="5"/>
  <c r="I464" i="5"/>
  <c r="E464" i="5"/>
  <c r="N463" i="5"/>
  <c r="O463" i="5" s="1"/>
  <c r="L463" i="5"/>
  <c r="I463" i="5"/>
  <c r="E463" i="5"/>
  <c r="O462" i="5"/>
  <c r="N462" i="5"/>
  <c r="L462" i="5"/>
  <c r="I462" i="5"/>
  <c r="E462" i="5"/>
  <c r="N461" i="5"/>
  <c r="O461" i="5" s="1"/>
  <c r="L461" i="5"/>
  <c r="I461" i="5"/>
  <c r="E461" i="5"/>
  <c r="O460" i="5"/>
  <c r="N460" i="5"/>
  <c r="L460" i="5"/>
  <c r="I460" i="5"/>
  <c r="E460" i="5"/>
  <c r="N459" i="5"/>
  <c r="O459" i="5" s="1"/>
  <c r="L459" i="5"/>
  <c r="I459" i="5"/>
  <c r="E459" i="5"/>
  <c r="O458" i="5"/>
  <c r="N458" i="5"/>
  <c r="L458" i="5"/>
  <c r="I458" i="5"/>
  <c r="E458" i="5"/>
  <c r="N457" i="5"/>
  <c r="O457" i="5" s="1"/>
  <c r="L457" i="5"/>
  <c r="I457" i="5"/>
  <c r="E457" i="5"/>
  <c r="O456" i="5"/>
  <c r="N456" i="5"/>
  <c r="L456" i="5"/>
  <c r="I456" i="5"/>
  <c r="E456" i="5"/>
  <c r="N455" i="5"/>
  <c r="O455" i="5" s="1"/>
  <c r="L455" i="5"/>
  <c r="I455" i="5"/>
  <c r="E455" i="5"/>
  <c r="O454" i="5"/>
  <c r="N454" i="5"/>
  <c r="L454" i="5"/>
  <c r="I454" i="5"/>
  <c r="E454" i="5"/>
  <c r="N453" i="5"/>
  <c r="O453" i="5" s="1"/>
  <c r="L453" i="5"/>
  <c r="I453" i="5"/>
  <c r="E453" i="5"/>
  <c r="O452" i="5"/>
  <c r="N452" i="5"/>
  <c r="L452" i="5"/>
  <c r="I452" i="5"/>
  <c r="E452" i="5"/>
  <c r="O451" i="5"/>
  <c r="N451" i="5"/>
  <c r="L451" i="5"/>
  <c r="I451" i="5"/>
  <c r="E451" i="5"/>
  <c r="N450" i="5"/>
  <c r="O450" i="5" s="1"/>
  <c r="L450" i="5"/>
  <c r="I450" i="5"/>
  <c r="E450" i="5"/>
  <c r="N449" i="5"/>
  <c r="O449" i="5" s="1"/>
  <c r="L449" i="5"/>
  <c r="I449" i="5"/>
  <c r="E449" i="5"/>
  <c r="O448" i="5"/>
  <c r="N448" i="5"/>
  <c r="L448" i="5"/>
  <c r="I448" i="5"/>
  <c r="E448" i="5"/>
  <c r="N447" i="5"/>
  <c r="O447" i="5" s="1"/>
  <c r="L447" i="5"/>
  <c r="I447" i="5"/>
  <c r="E447" i="5"/>
  <c r="O446" i="5"/>
  <c r="N446" i="5"/>
  <c r="L446" i="5"/>
  <c r="I446" i="5"/>
  <c r="E446" i="5"/>
  <c r="N445" i="5"/>
  <c r="O445" i="5" s="1"/>
  <c r="L445" i="5"/>
  <c r="I445" i="5"/>
  <c r="E445" i="5"/>
  <c r="O444" i="5"/>
  <c r="N444" i="5"/>
  <c r="L444" i="5"/>
  <c r="I444" i="5"/>
  <c r="E444" i="5"/>
  <c r="N443" i="5"/>
  <c r="O443" i="5" s="1"/>
  <c r="L443" i="5"/>
  <c r="I443" i="5"/>
  <c r="E443" i="5"/>
  <c r="O442" i="5"/>
  <c r="N442" i="5"/>
  <c r="L442" i="5"/>
  <c r="I442" i="5"/>
  <c r="E442" i="5"/>
  <c r="N441" i="5"/>
  <c r="O441" i="5" s="1"/>
  <c r="L441" i="5"/>
  <c r="I441" i="5"/>
  <c r="E441" i="5"/>
  <c r="O440" i="5"/>
  <c r="N440" i="5"/>
  <c r="L440" i="5"/>
  <c r="I440" i="5"/>
  <c r="E440" i="5"/>
  <c r="N439" i="5"/>
  <c r="O439" i="5" s="1"/>
  <c r="L439" i="5"/>
  <c r="I439" i="5"/>
  <c r="E439" i="5"/>
  <c r="O438" i="5"/>
  <c r="N438" i="5"/>
  <c r="L438" i="5"/>
  <c r="I438" i="5"/>
  <c r="E438" i="5"/>
  <c r="N437" i="5"/>
  <c r="O437" i="5" s="1"/>
  <c r="L437" i="5"/>
  <c r="I437" i="5"/>
  <c r="E437" i="5"/>
  <c r="O436" i="5"/>
  <c r="N436" i="5"/>
  <c r="L436" i="5"/>
  <c r="I436" i="5"/>
  <c r="E436" i="5"/>
  <c r="O435" i="5"/>
  <c r="N435" i="5"/>
  <c r="L435" i="5"/>
  <c r="I435" i="5"/>
  <c r="E435" i="5"/>
  <c r="N434" i="5"/>
  <c r="O434" i="5" s="1"/>
  <c r="L434" i="5"/>
  <c r="I434" i="5"/>
  <c r="E434" i="5"/>
  <c r="N433" i="5"/>
  <c r="O433" i="5" s="1"/>
  <c r="L433" i="5"/>
  <c r="I433" i="5"/>
  <c r="E433" i="5"/>
  <c r="O432" i="5"/>
  <c r="N432" i="5"/>
  <c r="L432" i="5"/>
  <c r="I432" i="5"/>
  <c r="E432" i="5"/>
  <c r="N431" i="5"/>
  <c r="O431" i="5" s="1"/>
  <c r="L431" i="5"/>
  <c r="I431" i="5"/>
  <c r="E431" i="5"/>
  <c r="O430" i="5"/>
  <c r="N430" i="5"/>
  <c r="L430" i="5"/>
  <c r="I430" i="5"/>
  <c r="E430" i="5"/>
  <c r="N429" i="5"/>
  <c r="O429" i="5" s="1"/>
  <c r="L429" i="5"/>
  <c r="I429" i="5"/>
  <c r="E429" i="5"/>
  <c r="O428" i="5"/>
  <c r="N428" i="5"/>
  <c r="L428" i="5"/>
  <c r="I428" i="5"/>
  <c r="E428" i="5"/>
  <c r="O427" i="5"/>
  <c r="N427" i="5"/>
  <c r="L427" i="5"/>
  <c r="I427" i="5"/>
  <c r="E427" i="5"/>
  <c r="O426" i="5"/>
  <c r="N426" i="5"/>
  <c r="L426" i="5"/>
  <c r="I426" i="5"/>
  <c r="E426" i="5"/>
  <c r="N425" i="5"/>
  <c r="O425" i="5" s="1"/>
  <c r="L425" i="5"/>
  <c r="I425" i="5"/>
  <c r="E425" i="5"/>
  <c r="N424" i="5"/>
  <c r="O424" i="5" s="1"/>
  <c r="L424" i="5"/>
  <c r="I424" i="5"/>
  <c r="E424" i="5"/>
  <c r="O423" i="5"/>
  <c r="N423" i="5"/>
  <c r="L423" i="5"/>
  <c r="I423" i="5"/>
  <c r="E423" i="5"/>
  <c r="N422" i="5"/>
  <c r="O422" i="5" s="1"/>
  <c r="L422" i="5"/>
  <c r="I422" i="5"/>
  <c r="E422" i="5"/>
  <c r="N421" i="5"/>
  <c r="O421" i="5" s="1"/>
  <c r="L421" i="5"/>
  <c r="I421" i="5"/>
  <c r="E421" i="5"/>
  <c r="N420" i="5"/>
  <c r="O420" i="5" s="1"/>
  <c r="L420" i="5"/>
  <c r="I420" i="5"/>
  <c r="E420" i="5"/>
  <c r="O419" i="5"/>
  <c r="N419" i="5"/>
  <c r="L419" i="5"/>
  <c r="I419" i="5"/>
  <c r="E419" i="5"/>
  <c r="O418" i="5"/>
  <c r="N418" i="5"/>
  <c r="L418" i="5"/>
  <c r="I418" i="5"/>
  <c r="E418" i="5"/>
  <c r="N417" i="5"/>
  <c r="O417" i="5" s="1"/>
  <c r="L417" i="5"/>
  <c r="I417" i="5"/>
  <c r="E417" i="5"/>
  <c r="N416" i="5"/>
  <c r="O416" i="5" s="1"/>
  <c r="L416" i="5"/>
  <c r="I416" i="5"/>
  <c r="E416" i="5"/>
  <c r="O415" i="5"/>
  <c r="N415" i="5"/>
  <c r="L415" i="5"/>
  <c r="I415" i="5"/>
  <c r="E415" i="5"/>
  <c r="N414" i="5"/>
  <c r="O414" i="5" s="1"/>
  <c r="L414" i="5"/>
  <c r="I414" i="5"/>
  <c r="E414" i="5"/>
  <c r="N413" i="5"/>
  <c r="O413" i="5" s="1"/>
  <c r="L413" i="5"/>
  <c r="I413" i="5"/>
  <c r="E413" i="5"/>
  <c r="N412" i="5"/>
  <c r="O412" i="5" s="1"/>
  <c r="L412" i="5"/>
  <c r="I412" i="5"/>
  <c r="E412" i="5"/>
  <c r="O411" i="5"/>
  <c r="N411" i="5"/>
  <c r="L411" i="5"/>
  <c r="I411" i="5"/>
  <c r="E411" i="5"/>
  <c r="O410" i="5"/>
  <c r="N410" i="5"/>
  <c r="L410" i="5"/>
  <c r="I410" i="5"/>
  <c r="E410" i="5"/>
  <c r="N409" i="5"/>
  <c r="O409" i="5" s="1"/>
  <c r="L409" i="5"/>
  <c r="I409" i="5"/>
  <c r="E409" i="5"/>
  <c r="N408" i="5"/>
  <c r="O408" i="5" s="1"/>
  <c r="L408" i="5"/>
  <c r="I408" i="5"/>
  <c r="E408" i="5"/>
  <c r="O407" i="5"/>
  <c r="N407" i="5"/>
  <c r="L407" i="5"/>
  <c r="I407" i="5"/>
  <c r="E407" i="5"/>
  <c r="N406" i="5"/>
  <c r="O406" i="5" s="1"/>
  <c r="L406" i="5"/>
  <c r="I406" i="5"/>
  <c r="E406" i="5"/>
  <c r="N405" i="5"/>
  <c r="O405" i="5" s="1"/>
  <c r="L405" i="5"/>
  <c r="I405" i="5"/>
  <c r="E405" i="5"/>
  <c r="N404" i="5"/>
  <c r="O404" i="5" s="1"/>
  <c r="L404" i="5"/>
  <c r="I404" i="5"/>
  <c r="E404" i="5"/>
  <c r="O403" i="5"/>
  <c r="N403" i="5"/>
  <c r="L403" i="5"/>
  <c r="I403" i="5"/>
  <c r="E403" i="5"/>
  <c r="O402" i="5"/>
  <c r="N402" i="5"/>
  <c r="L402" i="5"/>
  <c r="I402" i="5"/>
  <c r="E402" i="5"/>
  <c r="N401" i="5"/>
  <c r="O401" i="5" s="1"/>
  <c r="L401" i="5"/>
  <c r="I401" i="5"/>
  <c r="E401" i="5"/>
  <c r="N400" i="5"/>
  <c r="O400" i="5" s="1"/>
  <c r="L400" i="5"/>
  <c r="I400" i="5"/>
  <c r="E400" i="5"/>
  <c r="O399" i="5"/>
  <c r="N399" i="5"/>
  <c r="L399" i="5"/>
  <c r="I399" i="5"/>
  <c r="E399" i="5"/>
  <c r="N398" i="5"/>
  <c r="O398" i="5" s="1"/>
  <c r="L398" i="5"/>
  <c r="I398" i="5"/>
  <c r="E398" i="5"/>
  <c r="N397" i="5"/>
  <c r="O397" i="5" s="1"/>
  <c r="L397" i="5"/>
  <c r="I397" i="5"/>
  <c r="E397" i="5"/>
  <c r="N396" i="5"/>
  <c r="O396" i="5" s="1"/>
  <c r="L396" i="5"/>
  <c r="I396" i="5"/>
  <c r="E396" i="5"/>
  <c r="O395" i="5"/>
  <c r="N395" i="5"/>
  <c r="L395" i="5"/>
  <c r="I395" i="5"/>
  <c r="E395" i="5"/>
  <c r="O394" i="5"/>
  <c r="N394" i="5"/>
  <c r="L394" i="5"/>
  <c r="I394" i="5"/>
  <c r="E394" i="5"/>
  <c r="N393" i="5"/>
  <c r="O393" i="5" s="1"/>
  <c r="L393" i="5"/>
  <c r="I393" i="5"/>
  <c r="E393" i="5"/>
  <c r="N392" i="5"/>
  <c r="O392" i="5" s="1"/>
  <c r="L392" i="5"/>
  <c r="I392" i="5"/>
  <c r="E392" i="5"/>
  <c r="O391" i="5"/>
  <c r="N391" i="5"/>
  <c r="L391" i="5"/>
  <c r="I391" i="5"/>
  <c r="E391" i="5"/>
  <c r="N390" i="5"/>
  <c r="O390" i="5" s="1"/>
  <c r="L390" i="5"/>
  <c r="I390" i="5"/>
  <c r="E390" i="5"/>
  <c r="N389" i="5"/>
  <c r="O389" i="5" s="1"/>
  <c r="L389" i="5"/>
  <c r="I389" i="5"/>
  <c r="E389" i="5"/>
  <c r="N388" i="5"/>
  <c r="O388" i="5" s="1"/>
  <c r="L388" i="5"/>
  <c r="I388" i="5"/>
  <c r="E388" i="5"/>
  <c r="O387" i="5"/>
  <c r="N387" i="5"/>
  <c r="L387" i="5"/>
  <c r="I387" i="5"/>
  <c r="E387" i="5"/>
  <c r="O386" i="5"/>
  <c r="N386" i="5"/>
  <c r="L386" i="5"/>
  <c r="I386" i="5"/>
  <c r="E386" i="5"/>
  <c r="N385" i="5"/>
  <c r="O385" i="5" s="1"/>
  <c r="L385" i="5"/>
  <c r="I385" i="5"/>
  <c r="E385" i="5"/>
  <c r="N384" i="5"/>
  <c r="O384" i="5" s="1"/>
  <c r="L384" i="5"/>
  <c r="I384" i="5"/>
  <c r="E384" i="5"/>
  <c r="O383" i="5"/>
  <c r="N383" i="5"/>
  <c r="L383" i="5"/>
  <c r="I383" i="5"/>
  <c r="E383" i="5"/>
  <c r="N382" i="5"/>
  <c r="O382" i="5" s="1"/>
  <c r="L382" i="5"/>
  <c r="I382" i="5"/>
  <c r="E382" i="5"/>
  <c r="N381" i="5"/>
  <c r="O381" i="5" s="1"/>
  <c r="L381" i="5"/>
  <c r="I381" i="5"/>
  <c r="E381" i="5"/>
  <c r="N380" i="5"/>
  <c r="O380" i="5" s="1"/>
  <c r="L380" i="5"/>
  <c r="I380" i="5"/>
  <c r="E380" i="5"/>
  <c r="O379" i="5"/>
  <c r="N379" i="5"/>
  <c r="L379" i="5"/>
  <c r="I379" i="5"/>
  <c r="E379" i="5"/>
  <c r="O378" i="5"/>
  <c r="N378" i="5"/>
  <c r="L378" i="5"/>
  <c r="I378" i="5"/>
  <c r="E378" i="5"/>
  <c r="N377" i="5"/>
  <c r="O377" i="5" s="1"/>
  <c r="L377" i="5"/>
  <c r="I377" i="5"/>
  <c r="E377" i="5"/>
  <c r="N376" i="5"/>
  <c r="O376" i="5" s="1"/>
  <c r="L376" i="5"/>
  <c r="I376" i="5"/>
  <c r="E376" i="5"/>
  <c r="O375" i="5"/>
  <c r="N375" i="5"/>
  <c r="L375" i="5"/>
  <c r="I375" i="5"/>
  <c r="E375" i="5"/>
  <c r="N374" i="5"/>
  <c r="O374" i="5" s="1"/>
  <c r="L374" i="5"/>
  <c r="I374" i="5"/>
  <c r="E374" i="5"/>
  <c r="N373" i="5"/>
  <c r="O373" i="5" s="1"/>
  <c r="L373" i="5"/>
  <c r="I373" i="5"/>
  <c r="E373" i="5"/>
  <c r="N372" i="5"/>
  <c r="O372" i="5" s="1"/>
  <c r="L372" i="5"/>
  <c r="I372" i="5"/>
  <c r="E372" i="5"/>
  <c r="O371" i="5"/>
  <c r="N371" i="5"/>
  <c r="L371" i="5"/>
  <c r="I371" i="5"/>
  <c r="E371" i="5"/>
  <c r="O370" i="5"/>
  <c r="N370" i="5"/>
  <c r="L370" i="5"/>
  <c r="I370" i="5"/>
  <c r="E370" i="5"/>
  <c r="N369" i="5"/>
  <c r="O369" i="5" s="1"/>
  <c r="L369" i="5"/>
  <c r="I369" i="5"/>
  <c r="E369" i="5"/>
  <c r="N368" i="5"/>
  <c r="O368" i="5" s="1"/>
  <c r="L368" i="5"/>
  <c r="I368" i="5"/>
  <c r="E368" i="5"/>
  <c r="O367" i="5"/>
  <c r="N367" i="5"/>
  <c r="L367" i="5"/>
  <c r="I367" i="5"/>
  <c r="E367" i="5"/>
  <c r="N366" i="5"/>
  <c r="O366" i="5" s="1"/>
  <c r="L366" i="5"/>
  <c r="I366" i="5"/>
  <c r="E366" i="5"/>
  <c r="N365" i="5"/>
  <c r="O365" i="5" s="1"/>
  <c r="L365" i="5"/>
  <c r="I365" i="5"/>
  <c r="E365" i="5"/>
  <c r="N364" i="5"/>
  <c r="O364" i="5" s="1"/>
  <c r="L364" i="5"/>
  <c r="I364" i="5"/>
  <c r="E364" i="5"/>
  <c r="O363" i="5"/>
  <c r="N363" i="5"/>
  <c r="L363" i="5"/>
  <c r="I363" i="5"/>
  <c r="E363" i="5"/>
  <c r="O362" i="5"/>
  <c r="N362" i="5"/>
  <c r="L362" i="5"/>
  <c r="I362" i="5"/>
  <c r="E362" i="5"/>
  <c r="N361" i="5"/>
  <c r="O361" i="5" s="1"/>
  <c r="L361" i="5"/>
  <c r="I361" i="5"/>
  <c r="E361" i="5"/>
  <c r="N360" i="5"/>
  <c r="O360" i="5" s="1"/>
  <c r="L360" i="5"/>
  <c r="I360" i="5"/>
  <c r="E360" i="5"/>
  <c r="O359" i="5"/>
  <c r="N359" i="5"/>
  <c r="L359" i="5"/>
  <c r="I359" i="5"/>
  <c r="E359" i="5"/>
  <c r="N358" i="5"/>
  <c r="O358" i="5" s="1"/>
  <c r="L358" i="5"/>
  <c r="I358" i="5"/>
  <c r="E358" i="5"/>
  <c r="N357" i="5"/>
  <c r="O357" i="5" s="1"/>
  <c r="L357" i="5"/>
  <c r="I357" i="5"/>
  <c r="E357" i="5"/>
  <c r="N356" i="5"/>
  <c r="O356" i="5" s="1"/>
  <c r="L356" i="5"/>
  <c r="I356" i="5"/>
  <c r="E356" i="5"/>
  <c r="O355" i="5"/>
  <c r="N355" i="5"/>
  <c r="L355" i="5"/>
  <c r="I355" i="5"/>
  <c r="E355" i="5"/>
  <c r="O354" i="5"/>
  <c r="N354" i="5"/>
  <c r="L354" i="5"/>
  <c r="I354" i="5"/>
  <c r="E354" i="5"/>
  <c r="N353" i="5"/>
  <c r="O353" i="5" s="1"/>
  <c r="L353" i="5"/>
  <c r="I353" i="5"/>
  <c r="E353" i="5"/>
  <c r="N352" i="5"/>
  <c r="O352" i="5" s="1"/>
  <c r="L352" i="5"/>
  <c r="I352" i="5"/>
  <c r="E352" i="5"/>
  <c r="O351" i="5"/>
  <c r="N351" i="5"/>
  <c r="L351" i="5"/>
  <c r="I351" i="5"/>
  <c r="E351" i="5"/>
  <c r="N350" i="5"/>
  <c r="O350" i="5" s="1"/>
  <c r="L350" i="5"/>
  <c r="I350" i="5"/>
  <c r="E350" i="5"/>
  <c r="N349" i="5"/>
  <c r="O349" i="5" s="1"/>
  <c r="L349" i="5"/>
  <c r="I349" i="5"/>
  <c r="E349" i="5"/>
  <c r="N348" i="5"/>
  <c r="O348" i="5" s="1"/>
  <c r="L348" i="5"/>
  <c r="I348" i="5"/>
  <c r="E348" i="5"/>
  <c r="O347" i="5"/>
  <c r="N347" i="5"/>
  <c r="L347" i="5"/>
  <c r="I347" i="5"/>
  <c r="E347" i="5"/>
  <c r="O346" i="5"/>
  <c r="N346" i="5"/>
  <c r="L346" i="5"/>
  <c r="I346" i="5"/>
  <c r="E346" i="5"/>
  <c r="N345" i="5"/>
  <c r="O345" i="5" s="1"/>
  <c r="L345" i="5"/>
  <c r="I345" i="5"/>
  <c r="E345" i="5"/>
  <c r="N344" i="5"/>
  <c r="O344" i="5" s="1"/>
  <c r="L344" i="5"/>
  <c r="I344" i="5"/>
  <c r="E344" i="5"/>
  <c r="O343" i="5"/>
  <c r="N343" i="5"/>
  <c r="L343" i="5"/>
  <c r="I343" i="5"/>
  <c r="E343" i="5"/>
  <c r="N342" i="5"/>
  <c r="O342" i="5" s="1"/>
  <c r="L342" i="5"/>
  <c r="I342" i="5"/>
  <c r="E342" i="5"/>
  <c r="N341" i="5"/>
  <c r="O341" i="5" s="1"/>
  <c r="L341" i="5"/>
  <c r="I341" i="5"/>
  <c r="E341" i="5"/>
  <c r="N340" i="5"/>
  <c r="O340" i="5" s="1"/>
  <c r="L340" i="5"/>
  <c r="I340" i="5"/>
  <c r="E340" i="5"/>
  <c r="O339" i="5"/>
  <c r="N339" i="5"/>
  <c r="L339" i="5"/>
  <c r="I339" i="5"/>
  <c r="E339" i="5"/>
  <c r="O338" i="5"/>
  <c r="N338" i="5"/>
  <c r="L338" i="5"/>
  <c r="I338" i="5"/>
  <c r="E338" i="5"/>
  <c r="N337" i="5"/>
  <c r="O337" i="5" s="1"/>
  <c r="L337" i="5"/>
  <c r="I337" i="5"/>
  <c r="E337" i="5"/>
  <c r="O336" i="5"/>
  <c r="N336" i="5"/>
  <c r="L336" i="5"/>
  <c r="I336" i="5"/>
  <c r="E336" i="5"/>
  <c r="N335" i="5"/>
  <c r="O335" i="5" s="1"/>
  <c r="L335" i="5"/>
  <c r="I335" i="5"/>
  <c r="E335" i="5"/>
  <c r="O334" i="5"/>
  <c r="N334" i="5"/>
  <c r="L334" i="5"/>
  <c r="I334" i="5"/>
  <c r="E334" i="5"/>
  <c r="O333" i="5"/>
  <c r="N333" i="5"/>
  <c r="L333" i="5"/>
  <c r="I333" i="5"/>
  <c r="E333" i="5"/>
  <c r="O332" i="5"/>
  <c r="N332" i="5"/>
  <c r="L332" i="5"/>
  <c r="I332" i="5"/>
  <c r="E332" i="5"/>
  <c r="O331" i="5"/>
  <c r="N331" i="5"/>
  <c r="L331" i="5"/>
  <c r="I331" i="5"/>
  <c r="E331" i="5"/>
  <c r="N330" i="5"/>
  <c r="O330" i="5" s="1"/>
  <c r="L330" i="5"/>
  <c r="I330" i="5"/>
  <c r="E330" i="5"/>
  <c r="N329" i="5"/>
  <c r="O329" i="5" s="1"/>
  <c r="L329" i="5"/>
  <c r="I329" i="5"/>
  <c r="E329" i="5"/>
  <c r="O328" i="5"/>
  <c r="N328" i="5"/>
  <c r="L328" i="5"/>
  <c r="I328" i="5"/>
  <c r="E328" i="5"/>
  <c r="N327" i="5"/>
  <c r="O327" i="5" s="1"/>
  <c r="L327" i="5"/>
  <c r="I327" i="5"/>
  <c r="E327" i="5"/>
  <c r="O326" i="5"/>
  <c r="N326" i="5"/>
  <c r="L326" i="5"/>
  <c r="I326" i="5"/>
  <c r="E326" i="5"/>
  <c r="O325" i="5"/>
  <c r="N325" i="5"/>
  <c r="L325" i="5"/>
  <c r="I325" i="5"/>
  <c r="E325" i="5"/>
  <c r="O324" i="5"/>
  <c r="N324" i="5"/>
  <c r="L324" i="5"/>
  <c r="I324" i="5"/>
  <c r="E324" i="5"/>
  <c r="O323" i="5"/>
  <c r="N323" i="5"/>
  <c r="L323" i="5"/>
  <c r="I323" i="5"/>
  <c r="E323" i="5"/>
  <c r="N322" i="5"/>
  <c r="O322" i="5" s="1"/>
  <c r="L322" i="5"/>
  <c r="I322" i="5"/>
  <c r="E322" i="5"/>
  <c r="N321" i="5"/>
  <c r="O321" i="5" s="1"/>
  <c r="L321" i="5"/>
  <c r="I321" i="5"/>
  <c r="E321" i="5"/>
  <c r="O320" i="5"/>
  <c r="N320" i="5"/>
  <c r="L320" i="5"/>
  <c r="I320" i="5"/>
  <c r="E320" i="5"/>
  <c r="N319" i="5"/>
  <c r="O319" i="5" s="1"/>
  <c r="L319" i="5"/>
  <c r="I319" i="5"/>
  <c r="E319" i="5"/>
  <c r="O318" i="5"/>
  <c r="N318" i="5"/>
  <c r="L318" i="5"/>
  <c r="I318" i="5"/>
  <c r="E318" i="5"/>
  <c r="O317" i="5"/>
  <c r="N317" i="5"/>
  <c r="L317" i="5"/>
  <c r="I317" i="5"/>
  <c r="E317" i="5"/>
  <c r="N316" i="5"/>
  <c r="O316" i="5" s="1"/>
  <c r="L316" i="5"/>
  <c r="I316" i="5"/>
  <c r="E316" i="5"/>
  <c r="N315" i="5"/>
  <c r="O315" i="5" s="1"/>
  <c r="L315" i="5"/>
  <c r="I315" i="5"/>
  <c r="E315" i="5"/>
  <c r="N314" i="5"/>
  <c r="O314" i="5" s="1"/>
  <c r="L314" i="5"/>
  <c r="I314" i="5"/>
  <c r="E314" i="5"/>
  <c r="N313" i="5"/>
  <c r="O313" i="5" s="1"/>
  <c r="L313" i="5"/>
  <c r="I313" i="5"/>
  <c r="E313" i="5"/>
  <c r="O312" i="5"/>
  <c r="N312" i="5"/>
  <c r="L312" i="5"/>
  <c r="I312" i="5"/>
  <c r="E312" i="5"/>
  <c r="N311" i="5"/>
  <c r="O311" i="5" s="1"/>
  <c r="L311" i="5"/>
  <c r="I311" i="5"/>
  <c r="E311" i="5"/>
  <c r="O310" i="5"/>
  <c r="N310" i="5"/>
  <c r="L310" i="5"/>
  <c r="I310" i="5"/>
  <c r="E310" i="5"/>
  <c r="N309" i="5"/>
  <c r="O309" i="5" s="1"/>
  <c r="L309" i="5"/>
  <c r="I309" i="5"/>
  <c r="E309" i="5"/>
  <c r="O308" i="5"/>
  <c r="N308" i="5"/>
  <c r="L308" i="5"/>
  <c r="I308" i="5"/>
  <c r="E308" i="5"/>
  <c r="N307" i="5"/>
  <c r="O307" i="5" s="1"/>
  <c r="L307" i="5"/>
  <c r="I307" i="5"/>
  <c r="E307" i="5"/>
  <c r="N306" i="5"/>
  <c r="O306" i="5" s="1"/>
  <c r="L306" i="5"/>
  <c r="I306" i="5"/>
  <c r="E306" i="5"/>
  <c r="N305" i="5"/>
  <c r="O305" i="5" s="1"/>
  <c r="L305" i="5"/>
  <c r="I305" i="5"/>
  <c r="E305" i="5"/>
  <c r="O304" i="5"/>
  <c r="N304" i="5"/>
  <c r="L304" i="5"/>
  <c r="I304" i="5"/>
  <c r="E304" i="5"/>
  <c r="N303" i="5"/>
  <c r="O303" i="5" s="1"/>
  <c r="L303" i="5"/>
  <c r="I303" i="5"/>
  <c r="E303" i="5"/>
  <c r="O302" i="5"/>
  <c r="N302" i="5"/>
  <c r="L302" i="5"/>
  <c r="I302" i="5"/>
  <c r="E302" i="5"/>
  <c r="N301" i="5"/>
  <c r="O301" i="5" s="1"/>
  <c r="L301" i="5"/>
  <c r="I301" i="5"/>
  <c r="E301" i="5"/>
  <c r="N300" i="5"/>
  <c r="O300" i="5" s="1"/>
  <c r="L300" i="5"/>
  <c r="I300" i="5"/>
  <c r="E300" i="5"/>
  <c r="O299" i="5"/>
  <c r="N299" i="5"/>
  <c r="L299" i="5"/>
  <c r="I299" i="5"/>
  <c r="E299" i="5"/>
  <c r="N298" i="5"/>
  <c r="O298" i="5" s="1"/>
  <c r="L298" i="5"/>
  <c r="I298" i="5"/>
  <c r="E298" i="5"/>
  <c r="N297" i="5"/>
  <c r="O297" i="5" s="1"/>
  <c r="L297" i="5"/>
  <c r="I297" i="5"/>
  <c r="E297" i="5"/>
  <c r="O296" i="5"/>
  <c r="N296" i="5"/>
  <c r="L296" i="5"/>
  <c r="I296" i="5"/>
  <c r="E296" i="5"/>
  <c r="N295" i="5"/>
  <c r="O295" i="5" s="1"/>
  <c r="L295" i="5"/>
  <c r="I295" i="5"/>
  <c r="E295" i="5"/>
  <c r="O294" i="5"/>
  <c r="N294" i="5"/>
  <c r="L294" i="5"/>
  <c r="I294" i="5"/>
  <c r="E294" i="5"/>
  <c r="O293" i="5"/>
  <c r="N293" i="5"/>
  <c r="L293" i="5"/>
  <c r="I293" i="5"/>
  <c r="E293" i="5"/>
  <c r="N292" i="5"/>
  <c r="O292" i="5" s="1"/>
  <c r="L292" i="5"/>
  <c r="I292" i="5"/>
  <c r="E292" i="5"/>
  <c r="N291" i="5"/>
  <c r="O291" i="5" s="1"/>
  <c r="L291" i="5"/>
  <c r="I291" i="5"/>
  <c r="E291" i="5"/>
  <c r="N290" i="5"/>
  <c r="O290" i="5" s="1"/>
  <c r="L290" i="5"/>
  <c r="I290" i="5"/>
  <c r="E290" i="5"/>
  <c r="N289" i="5"/>
  <c r="O289" i="5" s="1"/>
  <c r="L289" i="5"/>
  <c r="I289" i="5"/>
  <c r="E289" i="5"/>
  <c r="O288" i="5"/>
  <c r="N288" i="5"/>
  <c r="L288" i="5"/>
  <c r="I288" i="5"/>
  <c r="J288" i="5" s="1"/>
  <c r="K288" i="5" s="1"/>
  <c r="E288" i="5"/>
  <c r="N287" i="5"/>
  <c r="O287" i="5" s="1"/>
  <c r="L287" i="5"/>
  <c r="I287" i="5"/>
  <c r="E287" i="5"/>
  <c r="O286" i="5"/>
  <c r="N286" i="5"/>
  <c r="L286" i="5"/>
  <c r="I286" i="5"/>
  <c r="E286" i="5"/>
  <c r="O285" i="5"/>
  <c r="N285" i="5"/>
  <c r="L285" i="5"/>
  <c r="I285" i="5"/>
  <c r="E285" i="5"/>
  <c r="N284" i="5"/>
  <c r="O284" i="5" s="1"/>
  <c r="L284" i="5"/>
  <c r="I284" i="5"/>
  <c r="E284" i="5"/>
  <c r="N283" i="5"/>
  <c r="O283" i="5" s="1"/>
  <c r="L283" i="5"/>
  <c r="I283" i="5"/>
  <c r="E283" i="5"/>
  <c r="O282" i="5"/>
  <c r="N282" i="5"/>
  <c r="L282" i="5"/>
  <c r="I282" i="5"/>
  <c r="E282" i="5"/>
  <c r="N281" i="5"/>
  <c r="O281" i="5" s="1"/>
  <c r="L281" i="5"/>
  <c r="I281" i="5"/>
  <c r="E281" i="5"/>
  <c r="O280" i="5"/>
  <c r="N280" i="5"/>
  <c r="L280" i="5"/>
  <c r="I280" i="5"/>
  <c r="E280" i="5"/>
  <c r="N279" i="5"/>
  <c r="O279" i="5" s="1"/>
  <c r="L279" i="5"/>
  <c r="I279" i="5"/>
  <c r="E279" i="5"/>
  <c r="O278" i="5"/>
  <c r="N278" i="5"/>
  <c r="L278" i="5"/>
  <c r="I278" i="5"/>
  <c r="E278" i="5"/>
  <c r="N277" i="5"/>
  <c r="O277" i="5" s="1"/>
  <c r="L277" i="5"/>
  <c r="I277" i="5"/>
  <c r="E277" i="5"/>
  <c r="O276" i="5"/>
  <c r="N276" i="5"/>
  <c r="L276" i="5"/>
  <c r="I276" i="5"/>
  <c r="E276" i="5"/>
  <c r="N275" i="5"/>
  <c r="O275" i="5" s="1"/>
  <c r="L275" i="5"/>
  <c r="I275" i="5"/>
  <c r="E275" i="5"/>
  <c r="N274" i="5"/>
  <c r="O274" i="5" s="1"/>
  <c r="L274" i="5"/>
  <c r="I274" i="5"/>
  <c r="E274" i="5"/>
  <c r="O273" i="5"/>
  <c r="N273" i="5"/>
  <c r="L273" i="5"/>
  <c r="I273" i="5"/>
  <c r="E273" i="5"/>
  <c r="N272" i="5"/>
  <c r="O272" i="5" s="1"/>
  <c r="L272" i="5"/>
  <c r="I272" i="5"/>
  <c r="E272" i="5"/>
  <c r="O271" i="5"/>
  <c r="N271" i="5"/>
  <c r="L271" i="5"/>
  <c r="I271" i="5"/>
  <c r="E271" i="5"/>
  <c r="O270" i="5"/>
  <c r="N270" i="5"/>
  <c r="L270" i="5"/>
  <c r="I270" i="5"/>
  <c r="E270" i="5"/>
  <c r="N269" i="5"/>
  <c r="O269" i="5" s="1"/>
  <c r="L269" i="5"/>
  <c r="I269" i="5"/>
  <c r="E269" i="5"/>
  <c r="O268" i="5"/>
  <c r="N268" i="5"/>
  <c r="L268" i="5"/>
  <c r="I268" i="5"/>
  <c r="E268" i="5"/>
  <c r="N267" i="5"/>
  <c r="O267" i="5" s="1"/>
  <c r="L267" i="5"/>
  <c r="I267" i="5"/>
  <c r="E267" i="5"/>
  <c r="N266" i="5"/>
  <c r="O266" i="5" s="1"/>
  <c r="L266" i="5"/>
  <c r="I266" i="5"/>
  <c r="E266" i="5"/>
  <c r="O265" i="5"/>
  <c r="N265" i="5"/>
  <c r="L265" i="5"/>
  <c r="I265" i="5"/>
  <c r="E265" i="5"/>
  <c r="N264" i="5"/>
  <c r="O264" i="5" s="1"/>
  <c r="L264" i="5"/>
  <c r="I264" i="5"/>
  <c r="E264" i="5"/>
  <c r="O263" i="5"/>
  <c r="N263" i="5"/>
  <c r="L263" i="5"/>
  <c r="I263" i="5"/>
  <c r="E263" i="5"/>
  <c r="O262" i="5"/>
  <c r="N262" i="5"/>
  <c r="L262" i="5"/>
  <c r="I262" i="5"/>
  <c r="E262" i="5"/>
  <c r="N261" i="5"/>
  <c r="O261" i="5" s="1"/>
  <c r="L261" i="5"/>
  <c r="I261" i="5"/>
  <c r="E261" i="5"/>
  <c r="O260" i="5"/>
  <c r="N260" i="5"/>
  <c r="L260" i="5"/>
  <c r="I260" i="5"/>
  <c r="E260" i="5"/>
  <c r="N259" i="5"/>
  <c r="O259" i="5" s="1"/>
  <c r="L259" i="5"/>
  <c r="I259" i="5"/>
  <c r="E259" i="5"/>
  <c r="N258" i="5"/>
  <c r="O258" i="5" s="1"/>
  <c r="L258" i="5"/>
  <c r="I258" i="5"/>
  <c r="E258" i="5"/>
  <c r="O257" i="5"/>
  <c r="N257" i="5"/>
  <c r="L257" i="5"/>
  <c r="I257" i="5"/>
  <c r="E257" i="5"/>
  <c r="N256" i="5"/>
  <c r="O256" i="5" s="1"/>
  <c r="L256" i="5"/>
  <c r="I256" i="5"/>
  <c r="E256" i="5"/>
  <c r="O255" i="5"/>
  <c r="N255" i="5"/>
  <c r="L255" i="5"/>
  <c r="I255" i="5"/>
  <c r="E255" i="5"/>
  <c r="O254" i="5"/>
  <c r="N254" i="5"/>
  <c r="L254" i="5"/>
  <c r="I254" i="5"/>
  <c r="E254" i="5"/>
  <c r="N253" i="5"/>
  <c r="O253" i="5" s="1"/>
  <c r="L253" i="5"/>
  <c r="I253" i="5"/>
  <c r="E253" i="5"/>
  <c r="O252" i="5"/>
  <c r="N252" i="5"/>
  <c r="L252" i="5"/>
  <c r="I252" i="5"/>
  <c r="E252" i="5"/>
  <c r="N251" i="5"/>
  <c r="O251" i="5" s="1"/>
  <c r="L251" i="5"/>
  <c r="I251" i="5"/>
  <c r="E251" i="5"/>
  <c r="N250" i="5"/>
  <c r="O250" i="5" s="1"/>
  <c r="L250" i="5"/>
  <c r="I250" i="5"/>
  <c r="E250" i="5"/>
  <c r="O249" i="5"/>
  <c r="N249" i="5"/>
  <c r="L249" i="5"/>
  <c r="I249" i="5"/>
  <c r="E249" i="5"/>
  <c r="N248" i="5"/>
  <c r="O248" i="5" s="1"/>
  <c r="L248" i="5"/>
  <c r="I248" i="5"/>
  <c r="E248" i="5"/>
  <c r="O247" i="5"/>
  <c r="N247" i="5"/>
  <c r="L247" i="5"/>
  <c r="I247" i="5"/>
  <c r="E247" i="5"/>
  <c r="O246" i="5"/>
  <c r="N246" i="5"/>
  <c r="L246" i="5"/>
  <c r="I246" i="5"/>
  <c r="E246" i="5"/>
  <c r="N245" i="5"/>
  <c r="O245" i="5" s="1"/>
  <c r="L245" i="5"/>
  <c r="I245" i="5"/>
  <c r="E245" i="5"/>
  <c r="O244" i="5"/>
  <c r="N244" i="5"/>
  <c r="L244" i="5"/>
  <c r="I244" i="5"/>
  <c r="E244" i="5"/>
  <c r="N243" i="5"/>
  <c r="O243" i="5" s="1"/>
  <c r="L243" i="5"/>
  <c r="I243" i="5"/>
  <c r="E243" i="5"/>
  <c r="N242" i="5"/>
  <c r="O242" i="5" s="1"/>
  <c r="L242" i="5"/>
  <c r="I242" i="5"/>
  <c r="E242" i="5"/>
  <c r="O241" i="5"/>
  <c r="N241" i="5"/>
  <c r="L241" i="5"/>
  <c r="I241" i="5"/>
  <c r="E241" i="5"/>
  <c r="N240" i="5"/>
  <c r="O240" i="5" s="1"/>
  <c r="L240" i="5"/>
  <c r="I240" i="5"/>
  <c r="E240" i="5"/>
  <c r="O239" i="5"/>
  <c r="N239" i="5"/>
  <c r="L239" i="5"/>
  <c r="I239" i="5"/>
  <c r="E239" i="5"/>
  <c r="O238" i="5"/>
  <c r="N238" i="5"/>
  <c r="L238" i="5"/>
  <c r="I238" i="5"/>
  <c r="E238" i="5"/>
  <c r="N237" i="5"/>
  <c r="O237" i="5" s="1"/>
  <c r="L237" i="5"/>
  <c r="I237" i="5"/>
  <c r="E237" i="5"/>
  <c r="O236" i="5"/>
  <c r="N236" i="5"/>
  <c r="L236" i="5"/>
  <c r="I236" i="5"/>
  <c r="E236" i="5"/>
  <c r="N235" i="5"/>
  <c r="O235" i="5" s="1"/>
  <c r="L235" i="5"/>
  <c r="I235" i="5"/>
  <c r="E235" i="5"/>
  <c r="N234" i="5"/>
  <c r="O234" i="5" s="1"/>
  <c r="L234" i="5"/>
  <c r="I234" i="5"/>
  <c r="E234" i="5"/>
  <c r="O233" i="5"/>
  <c r="N233" i="5"/>
  <c r="L233" i="5"/>
  <c r="I233" i="5"/>
  <c r="E233" i="5"/>
  <c r="N232" i="5"/>
  <c r="O232" i="5" s="1"/>
  <c r="L232" i="5"/>
  <c r="I232" i="5"/>
  <c r="E232" i="5"/>
  <c r="O231" i="5"/>
  <c r="N231" i="5"/>
  <c r="L231" i="5"/>
  <c r="I231" i="5"/>
  <c r="E231" i="5"/>
  <c r="O230" i="5"/>
  <c r="N230" i="5"/>
  <c r="L230" i="5"/>
  <c r="I230" i="5"/>
  <c r="E230" i="5"/>
  <c r="N229" i="5"/>
  <c r="O229" i="5" s="1"/>
  <c r="L229" i="5"/>
  <c r="I229" i="5"/>
  <c r="E229" i="5"/>
  <c r="O228" i="5"/>
  <c r="N228" i="5"/>
  <c r="L228" i="5"/>
  <c r="M228" i="5" s="1"/>
  <c r="I228" i="5"/>
  <c r="E228" i="5"/>
  <c r="N227" i="5"/>
  <c r="O227" i="5" s="1"/>
  <c r="L227" i="5"/>
  <c r="I227" i="5"/>
  <c r="E227" i="5"/>
  <c r="N226" i="5"/>
  <c r="O226" i="5" s="1"/>
  <c r="L226" i="5"/>
  <c r="I226" i="5"/>
  <c r="E226" i="5"/>
  <c r="O225" i="5"/>
  <c r="N225" i="5"/>
  <c r="L225" i="5"/>
  <c r="I225" i="5"/>
  <c r="E225" i="5"/>
  <c r="N224" i="5"/>
  <c r="O224" i="5" s="1"/>
  <c r="L224" i="5"/>
  <c r="I224" i="5"/>
  <c r="E224" i="5"/>
  <c r="O223" i="5"/>
  <c r="N223" i="5"/>
  <c r="L223" i="5"/>
  <c r="I223" i="5"/>
  <c r="E223" i="5"/>
  <c r="O222" i="5"/>
  <c r="N222" i="5"/>
  <c r="L222" i="5"/>
  <c r="I222" i="5"/>
  <c r="E222" i="5"/>
  <c r="N221" i="5"/>
  <c r="O221" i="5" s="1"/>
  <c r="L221" i="5"/>
  <c r="I221" i="5"/>
  <c r="E221" i="5"/>
  <c r="O220" i="5"/>
  <c r="N220" i="5"/>
  <c r="L220" i="5"/>
  <c r="M220" i="5" s="1"/>
  <c r="I220" i="5"/>
  <c r="E220" i="5"/>
  <c r="N219" i="5"/>
  <c r="O219" i="5" s="1"/>
  <c r="L219" i="5"/>
  <c r="I219" i="5"/>
  <c r="E219" i="5"/>
  <c r="N218" i="5"/>
  <c r="O218" i="5" s="1"/>
  <c r="L218" i="5"/>
  <c r="I218" i="5"/>
  <c r="E218" i="5"/>
  <c r="O217" i="5"/>
  <c r="N217" i="5"/>
  <c r="L217" i="5"/>
  <c r="I217" i="5"/>
  <c r="E217" i="5"/>
  <c r="N216" i="5"/>
  <c r="O216" i="5" s="1"/>
  <c r="L216" i="5"/>
  <c r="I216" i="5"/>
  <c r="E216" i="5"/>
  <c r="O215" i="5"/>
  <c r="N215" i="5"/>
  <c r="L215" i="5"/>
  <c r="I215" i="5"/>
  <c r="E215" i="5"/>
  <c r="O214" i="5"/>
  <c r="N214" i="5"/>
  <c r="L214" i="5"/>
  <c r="I214" i="5"/>
  <c r="E214" i="5"/>
  <c r="N213" i="5"/>
  <c r="O213" i="5" s="1"/>
  <c r="L213" i="5"/>
  <c r="I213" i="5"/>
  <c r="E213" i="5"/>
  <c r="O212" i="5"/>
  <c r="N212" i="5"/>
  <c r="L212" i="5"/>
  <c r="I212" i="5"/>
  <c r="E212" i="5"/>
  <c r="N211" i="5"/>
  <c r="O211" i="5" s="1"/>
  <c r="L211" i="5"/>
  <c r="I211" i="5"/>
  <c r="E211" i="5"/>
  <c r="N210" i="5"/>
  <c r="O210" i="5" s="1"/>
  <c r="L210" i="5"/>
  <c r="I210" i="5"/>
  <c r="E210" i="5"/>
  <c r="O209" i="5"/>
  <c r="N209" i="5"/>
  <c r="L209" i="5"/>
  <c r="I209" i="5"/>
  <c r="E209" i="5"/>
  <c r="N208" i="5"/>
  <c r="O208" i="5" s="1"/>
  <c r="L208" i="5"/>
  <c r="I208" i="5"/>
  <c r="E208" i="5"/>
  <c r="O207" i="5"/>
  <c r="N207" i="5"/>
  <c r="L207" i="5"/>
  <c r="I207" i="5"/>
  <c r="E207" i="5"/>
  <c r="O206" i="5"/>
  <c r="N206" i="5"/>
  <c r="L206" i="5"/>
  <c r="I206" i="5"/>
  <c r="E206" i="5"/>
  <c r="N205" i="5"/>
  <c r="O205" i="5" s="1"/>
  <c r="L205" i="5"/>
  <c r="I205" i="5"/>
  <c r="E205" i="5"/>
  <c r="O204" i="5"/>
  <c r="N204" i="5"/>
  <c r="L204" i="5"/>
  <c r="I204" i="5"/>
  <c r="E204" i="5"/>
  <c r="N203" i="5"/>
  <c r="O203" i="5" s="1"/>
  <c r="L203" i="5"/>
  <c r="I203" i="5"/>
  <c r="E203" i="5"/>
  <c r="N202" i="5"/>
  <c r="O202" i="5" s="1"/>
  <c r="L202" i="5"/>
  <c r="I202" i="5"/>
  <c r="E202" i="5"/>
  <c r="O201" i="5"/>
  <c r="N201" i="5"/>
  <c r="L201" i="5"/>
  <c r="I201" i="5"/>
  <c r="E201" i="5"/>
  <c r="N200" i="5"/>
  <c r="O200" i="5" s="1"/>
  <c r="L200" i="5"/>
  <c r="I200" i="5"/>
  <c r="E200" i="5"/>
  <c r="O199" i="5"/>
  <c r="N199" i="5"/>
  <c r="L199" i="5"/>
  <c r="I199" i="5"/>
  <c r="E199" i="5"/>
  <c r="O198" i="5"/>
  <c r="N198" i="5"/>
  <c r="L198" i="5"/>
  <c r="I198" i="5"/>
  <c r="E198" i="5"/>
  <c r="N197" i="5"/>
  <c r="O197" i="5" s="1"/>
  <c r="L197" i="5"/>
  <c r="I197" i="5"/>
  <c r="E197" i="5"/>
  <c r="O196" i="5"/>
  <c r="N196" i="5"/>
  <c r="L196" i="5"/>
  <c r="M196" i="5" s="1"/>
  <c r="I196" i="5"/>
  <c r="E196" i="5"/>
  <c r="N195" i="5"/>
  <c r="O195" i="5" s="1"/>
  <c r="L195" i="5"/>
  <c r="I195" i="5"/>
  <c r="E195" i="5"/>
  <c r="N194" i="5"/>
  <c r="O194" i="5" s="1"/>
  <c r="L194" i="5"/>
  <c r="I194" i="5"/>
  <c r="E194" i="5"/>
  <c r="O193" i="5"/>
  <c r="N193" i="5"/>
  <c r="L193" i="5"/>
  <c r="I193" i="5"/>
  <c r="E193" i="5"/>
  <c r="N192" i="5"/>
  <c r="O192" i="5" s="1"/>
  <c r="L192" i="5"/>
  <c r="I192" i="5"/>
  <c r="E192" i="5"/>
  <c r="O191" i="5"/>
  <c r="N191" i="5"/>
  <c r="L191" i="5"/>
  <c r="I191" i="5"/>
  <c r="E191" i="5"/>
  <c r="O190" i="5"/>
  <c r="N190" i="5"/>
  <c r="L190" i="5"/>
  <c r="I190" i="5"/>
  <c r="E190" i="5"/>
  <c r="N189" i="5"/>
  <c r="O189" i="5" s="1"/>
  <c r="L189" i="5"/>
  <c r="I189" i="5"/>
  <c r="E189" i="5"/>
  <c r="O188" i="5"/>
  <c r="N188" i="5"/>
  <c r="L188" i="5"/>
  <c r="I188" i="5"/>
  <c r="E188" i="5"/>
  <c r="N187" i="5"/>
  <c r="O187" i="5" s="1"/>
  <c r="L187" i="5"/>
  <c r="I187" i="5"/>
  <c r="E187" i="5"/>
  <c r="N186" i="5"/>
  <c r="O186" i="5" s="1"/>
  <c r="L186" i="5"/>
  <c r="I186" i="5"/>
  <c r="E186" i="5"/>
  <c r="O185" i="5"/>
  <c r="N185" i="5"/>
  <c r="L185" i="5"/>
  <c r="I185" i="5"/>
  <c r="E185" i="5"/>
  <c r="N184" i="5"/>
  <c r="O184" i="5" s="1"/>
  <c r="L184" i="5"/>
  <c r="I184" i="5"/>
  <c r="E184" i="5"/>
  <c r="O183" i="5"/>
  <c r="N183" i="5"/>
  <c r="L183" i="5"/>
  <c r="I183" i="5"/>
  <c r="E183" i="5"/>
  <c r="O182" i="5"/>
  <c r="N182" i="5"/>
  <c r="L182" i="5"/>
  <c r="I182" i="5"/>
  <c r="E182" i="5"/>
  <c r="N181" i="5"/>
  <c r="O181" i="5" s="1"/>
  <c r="L181" i="5"/>
  <c r="I181" i="5"/>
  <c r="E181" i="5"/>
  <c r="O180" i="5"/>
  <c r="N180" i="5"/>
  <c r="L180" i="5"/>
  <c r="M180" i="5" s="1"/>
  <c r="I180" i="5"/>
  <c r="E180" i="5"/>
  <c r="N179" i="5"/>
  <c r="O179" i="5" s="1"/>
  <c r="L179" i="5"/>
  <c r="I179" i="5"/>
  <c r="E179" i="5"/>
  <c r="N178" i="5"/>
  <c r="O178" i="5" s="1"/>
  <c r="L178" i="5"/>
  <c r="I178" i="5"/>
  <c r="E178" i="5"/>
  <c r="O177" i="5"/>
  <c r="N177" i="5"/>
  <c r="L177" i="5"/>
  <c r="I177" i="5"/>
  <c r="E177" i="5"/>
  <c r="N176" i="5"/>
  <c r="O176" i="5" s="1"/>
  <c r="L176" i="5"/>
  <c r="I176" i="5"/>
  <c r="E176" i="5"/>
  <c r="O175" i="5"/>
  <c r="N175" i="5"/>
  <c r="L175" i="5"/>
  <c r="I175" i="5"/>
  <c r="E175" i="5"/>
  <c r="O174" i="5"/>
  <c r="N174" i="5"/>
  <c r="L174" i="5"/>
  <c r="I174" i="5"/>
  <c r="E174" i="5"/>
  <c r="N173" i="5"/>
  <c r="O173" i="5" s="1"/>
  <c r="L173" i="5"/>
  <c r="I173" i="5"/>
  <c r="E173" i="5"/>
  <c r="O172" i="5"/>
  <c r="N172" i="5"/>
  <c r="L172" i="5"/>
  <c r="I172" i="5"/>
  <c r="E172" i="5"/>
  <c r="N171" i="5"/>
  <c r="O171" i="5" s="1"/>
  <c r="L171" i="5"/>
  <c r="M171" i="5" s="1"/>
  <c r="I171" i="5"/>
  <c r="E171" i="5"/>
  <c r="N170" i="5"/>
  <c r="O170" i="5" s="1"/>
  <c r="L170" i="5"/>
  <c r="I170" i="5"/>
  <c r="E170" i="5"/>
  <c r="O169" i="5"/>
  <c r="N169" i="5"/>
  <c r="L169" i="5"/>
  <c r="I169" i="5"/>
  <c r="E169" i="5"/>
  <c r="N168" i="5"/>
  <c r="O168" i="5" s="1"/>
  <c r="L168" i="5"/>
  <c r="I168" i="5"/>
  <c r="E168" i="5"/>
  <c r="O167" i="5"/>
  <c r="N167" i="5"/>
  <c r="L167" i="5"/>
  <c r="I167" i="5"/>
  <c r="E167" i="5"/>
  <c r="O166" i="5"/>
  <c r="N166" i="5"/>
  <c r="L166" i="5"/>
  <c r="I166" i="5"/>
  <c r="E166" i="5"/>
  <c r="N165" i="5"/>
  <c r="O165" i="5" s="1"/>
  <c r="L165" i="5"/>
  <c r="I165" i="5"/>
  <c r="E165" i="5"/>
  <c r="O164" i="5"/>
  <c r="N164" i="5"/>
  <c r="L164" i="5"/>
  <c r="M164" i="5" s="1"/>
  <c r="I164" i="5"/>
  <c r="E164" i="5"/>
  <c r="N163" i="5"/>
  <c r="O163" i="5" s="1"/>
  <c r="L163" i="5"/>
  <c r="I163" i="5"/>
  <c r="E163" i="5"/>
  <c r="N162" i="5"/>
  <c r="O162" i="5" s="1"/>
  <c r="L162" i="5"/>
  <c r="I162" i="5"/>
  <c r="E162" i="5"/>
  <c r="O161" i="5"/>
  <c r="N161" i="5"/>
  <c r="L161" i="5"/>
  <c r="I161" i="5"/>
  <c r="E161" i="5"/>
  <c r="N160" i="5"/>
  <c r="O160" i="5" s="1"/>
  <c r="L160" i="5"/>
  <c r="I160" i="5"/>
  <c r="E160" i="5"/>
  <c r="O159" i="5"/>
  <c r="N159" i="5"/>
  <c r="L159" i="5"/>
  <c r="I159" i="5"/>
  <c r="E159" i="5"/>
  <c r="O158" i="5"/>
  <c r="N158" i="5"/>
  <c r="L158" i="5"/>
  <c r="I158" i="5"/>
  <c r="E158" i="5"/>
  <c r="N157" i="5"/>
  <c r="O157" i="5" s="1"/>
  <c r="L157" i="5"/>
  <c r="I157" i="5"/>
  <c r="E157" i="5"/>
  <c r="O156" i="5"/>
  <c r="N156" i="5"/>
  <c r="L156" i="5"/>
  <c r="I156" i="5"/>
  <c r="E156" i="5"/>
  <c r="N155" i="5"/>
  <c r="O155" i="5" s="1"/>
  <c r="L155" i="5"/>
  <c r="I155" i="5"/>
  <c r="E155" i="5"/>
  <c r="N154" i="5"/>
  <c r="O154" i="5" s="1"/>
  <c r="L154" i="5"/>
  <c r="I154" i="5"/>
  <c r="E154" i="5"/>
  <c r="O153" i="5"/>
  <c r="N153" i="5"/>
  <c r="L153" i="5"/>
  <c r="I153" i="5"/>
  <c r="E153" i="5"/>
  <c r="N152" i="5"/>
  <c r="O152" i="5" s="1"/>
  <c r="L152" i="5"/>
  <c r="I152" i="5"/>
  <c r="E152" i="5"/>
  <c r="O151" i="5"/>
  <c r="N151" i="5"/>
  <c r="L151" i="5"/>
  <c r="I151" i="5"/>
  <c r="E151" i="5"/>
  <c r="O150" i="5"/>
  <c r="N150" i="5"/>
  <c r="L150" i="5"/>
  <c r="I150" i="5"/>
  <c r="E150" i="5"/>
  <c r="N149" i="5"/>
  <c r="O149" i="5" s="1"/>
  <c r="L149" i="5"/>
  <c r="I149" i="5"/>
  <c r="E149" i="5"/>
  <c r="O148" i="5"/>
  <c r="N148" i="5"/>
  <c r="L148" i="5"/>
  <c r="M148" i="5" s="1"/>
  <c r="I148" i="5"/>
  <c r="E148" i="5"/>
  <c r="N147" i="5"/>
  <c r="O147" i="5" s="1"/>
  <c r="L147" i="5"/>
  <c r="I147" i="5"/>
  <c r="E147" i="5"/>
  <c r="N146" i="5"/>
  <c r="O146" i="5" s="1"/>
  <c r="L146" i="5"/>
  <c r="I146" i="5"/>
  <c r="E146" i="5"/>
  <c r="O145" i="5"/>
  <c r="N145" i="5"/>
  <c r="L145" i="5"/>
  <c r="I145" i="5"/>
  <c r="E145" i="5"/>
  <c r="N144" i="5"/>
  <c r="O144" i="5" s="1"/>
  <c r="L144" i="5"/>
  <c r="I144" i="5"/>
  <c r="E144" i="5"/>
  <c r="O143" i="5"/>
  <c r="N143" i="5"/>
  <c r="L143" i="5"/>
  <c r="I143" i="5"/>
  <c r="E143" i="5"/>
  <c r="N142" i="5"/>
  <c r="O142" i="5" s="1"/>
  <c r="L142" i="5"/>
  <c r="I142" i="5"/>
  <c r="E142" i="5"/>
  <c r="O141" i="5"/>
  <c r="N141" i="5"/>
  <c r="L141" i="5"/>
  <c r="I141" i="5"/>
  <c r="E141" i="5"/>
  <c r="N140" i="5"/>
  <c r="O140" i="5" s="1"/>
  <c r="L140" i="5"/>
  <c r="I140" i="5"/>
  <c r="E140" i="5"/>
  <c r="N139" i="5"/>
  <c r="O139" i="5" s="1"/>
  <c r="L139" i="5"/>
  <c r="I139" i="5"/>
  <c r="E139" i="5"/>
  <c r="N138" i="5"/>
  <c r="O138" i="5" s="1"/>
  <c r="L138" i="5"/>
  <c r="I138" i="5"/>
  <c r="E138" i="5"/>
  <c r="O137" i="5"/>
  <c r="N137" i="5"/>
  <c r="L137" i="5"/>
  <c r="I137" i="5"/>
  <c r="E137" i="5"/>
  <c r="N136" i="5"/>
  <c r="O136" i="5" s="1"/>
  <c r="L136" i="5"/>
  <c r="I136" i="5"/>
  <c r="E136" i="5"/>
  <c r="O135" i="5"/>
  <c r="N135" i="5"/>
  <c r="L135" i="5"/>
  <c r="I135" i="5"/>
  <c r="E135" i="5"/>
  <c r="O134" i="5"/>
  <c r="N134" i="5"/>
  <c r="L134" i="5"/>
  <c r="I134" i="5"/>
  <c r="E134" i="5"/>
  <c r="N133" i="5"/>
  <c r="O133" i="5" s="1"/>
  <c r="L133" i="5"/>
  <c r="I133" i="5"/>
  <c r="E133" i="5"/>
  <c r="O132" i="5"/>
  <c r="N132" i="5"/>
  <c r="L132" i="5"/>
  <c r="I132" i="5"/>
  <c r="M132" i="5" s="1"/>
  <c r="E132" i="5"/>
  <c r="N131" i="5"/>
  <c r="O131" i="5" s="1"/>
  <c r="L131" i="5"/>
  <c r="M131" i="5" s="1"/>
  <c r="I131" i="5"/>
  <c r="E131" i="5"/>
  <c r="N130" i="5"/>
  <c r="O130" i="5" s="1"/>
  <c r="L130" i="5"/>
  <c r="M130" i="5" s="1"/>
  <c r="I130" i="5"/>
  <c r="E130" i="5"/>
  <c r="O129" i="5"/>
  <c r="N129" i="5"/>
  <c r="L129" i="5"/>
  <c r="I129" i="5"/>
  <c r="E129" i="5"/>
  <c r="N128" i="5"/>
  <c r="O128" i="5" s="1"/>
  <c r="L128" i="5"/>
  <c r="I128" i="5"/>
  <c r="E128" i="5"/>
  <c r="O127" i="5"/>
  <c r="N127" i="5"/>
  <c r="L127" i="5"/>
  <c r="I127" i="5"/>
  <c r="E127" i="5"/>
  <c r="N126" i="5"/>
  <c r="O126" i="5" s="1"/>
  <c r="L126" i="5"/>
  <c r="I126" i="5"/>
  <c r="E126" i="5"/>
  <c r="O125" i="5"/>
  <c r="N125" i="5"/>
  <c r="L125" i="5"/>
  <c r="I125" i="5"/>
  <c r="E125" i="5"/>
  <c r="N124" i="5"/>
  <c r="O124" i="5" s="1"/>
  <c r="L124" i="5"/>
  <c r="I124" i="5"/>
  <c r="E124" i="5"/>
  <c r="N123" i="5"/>
  <c r="O123" i="5" s="1"/>
  <c r="L123" i="5"/>
  <c r="I123" i="5"/>
  <c r="E123" i="5"/>
  <c r="N122" i="5"/>
  <c r="O122" i="5" s="1"/>
  <c r="L122" i="5"/>
  <c r="I122" i="5"/>
  <c r="E122" i="5"/>
  <c r="O121" i="5"/>
  <c r="N121" i="5"/>
  <c r="L121" i="5"/>
  <c r="I121" i="5"/>
  <c r="E121" i="5"/>
  <c r="N120" i="5"/>
  <c r="O120" i="5" s="1"/>
  <c r="L120" i="5"/>
  <c r="I120" i="5"/>
  <c r="E120" i="5"/>
  <c r="O119" i="5"/>
  <c r="N119" i="5"/>
  <c r="L119" i="5"/>
  <c r="I119" i="5"/>
  <c r="E119" i="5"/>
  <c r="O118" i="5"/>
  <c r="N118" i="5"/>
  <c r="L118" i="5"/>
  <c r="I118" i="5"/>
  <c r="E118" i="5"/>
  <c r="N117" i="5"/>
  <c r="O117" i="5" s="1"/>
  <c r="L117" i="5"/>
  <c r="I117" i="5"/>
  <c r="E117" i="5"/>
  <c r="O116" i="5"/>
  <c r="N116" i="5"/>
  <c r="L116" i="5"/>
  <c r="I116" i="5"/>
  <c r="E116" i="5"/>
  <c r="N115" i="5"/>
  <c r="O115" i="5" s="1"/>
  <c r="L115" i="5"/>
  <c r="M115" i="5" s="1"/>
  <c r="I115" i="5"/>
  <c r="E115" i="5"/>
  <c r="N114" i="5"/>
  <c r="O114" i="5" s="1"/>
  <c r="L114" i="5"/>
  <c r="I114" i="5"/>
  <c r="E114" i="5"/>
  <c r="O113" i="5"/>
  <c r="N113" i="5"/>
  <c r="L113" i="5"/>
  <c r="I113" i="5"/>
  <c r="E113" i="5"/>
  <c r="N112" i="5"/>
  <c r="O112" i="5" s="1"/>
  <c r="L112" i="5"/>
  <c r="I112" i="5"/>
  <c r="E112" i="5"/>
  <c r="O111" i="5"/>
  <c r="N111" i="5"/>
  <c r="L111" i="5"/>
  <c r="I111" i="5"/>
  <c r="E111" i="5"/>
  <c r="N110" i="5"/>
  <c r="O110" i="5" s="1"/>
  <c r="L110" i="5"/>
  <c r="I110" i="5"/>
  <c r="E110" i="5"/>
  <c r="O109" i="5"/>
  <c r="N109" i="5"/>
  <c r="L109" i="5"/>
  <c r="I109" i="5"/>
  <c r="E109" i="5"/>
  <c r="N108" i="5"/>
  <c r="O108" i="5" s="1"/>
  <c r="L108" i="5"/>
  <c r="M108" i="5" s="1"/>
  <c r="I108" i="5"/>
  <c r="E108" i="5"/>
  <c r="N107" i="5"/>
  <c r="O107" i="5" s="1"/>
  <c r="L107" i="5"/>
  <c r="I107" i="5"/>
  <c r="E107" i="5"/>
  <c r="N106" i="5"/>
  <c r="O106" i="5" s="1"/>
  <c r="L106" i="5"/>
  <c r="I106" i="5"/>
  <c r="E106" i="5"/>
  <c r="O105" i="5"/>
  <c r="N105" i="5"/>
  <c r="L105" i="5"/>
  <c r="I105" i="5"/>
  <c r="E105" i="5"/>
  <c r="N104" i="5"/>
  <c r="O104" i="5" s="1"/>
  <c r="L104" i="5"/>
  <c r="I104" i="5"/>
  <c r="E104" i="5"/>
  <c r="N103" i="5"/>
  <c r="O103" i="5" s="1"/>
  <c r="L103" i="5"/>
  <c r="I103" i="5"/>
  <c r="E103" i="5"/>
  <c r="N102" i="5"/>
  <c r="O102" i="5" s="1"/>
  <c r="L102" i="5"/>
  <c r="M102" i="5" s="1"/>
  <c r="I102" i="5"/>
  <c r="E102" i="5"/>
  <c r="N101" i="5"/>
  <c r="O101" i="5" s="1"/>
  <c r="L101" i="5"/>
  <c r="M101" i="5" s="1"/>
  <c r="I101" i="5"/>
  <c r="E101" i="5"/>
  <c r="O100" i="5"/>
  <c r="N100" i="5"/>
  <c r="L100" i="5"/>
  <c r="I100" i="5"/>
  <c r="E100" i="5"/>
  <c r="N99" i="5"/>
  <c r="O99" i="5" s="1"/>
  <c r="L99" i="5"/>
  <c r="I99" i="5"/>
  <c r="E99" i="5"/>
  <c r="N98" i="5"/>
  <c r="O98" i="5" s="1"/>
  <c r="L98" i="5"/>
  <c r="I98" i="5"/>
  <c r="E98" i="5"/>
  <c r="O97" i="5"/>
  <c r="N97" i="5"/>
  <c r="L97" i="5"/>
  <c r="I97" i="5"/>
  <c r="E97" i="5"/>
  <c r="N96" i="5"/>
  <c r="O96" i="5" s="1"/>
  <c r="L96" i="5"/>
  <c r="I96" i="5"/>
  <c r="E96" i="5"/>
  <c r="N95" i="5"/>
  <c r="O95" i="5" s="1"/>
  <c r="L95" i="5"/>
  <c r="I95" i="5"/>
  <c r="E95" i="5"/>
  <c r="N94" i="5"/>
  <c r="O94" i="5" s="1"/>
  <c r="L94" i="5"/>
  <c r="M94" i="5" s="1"/>
  <c r="I94" i="5"/>
  <c r="E94" i="5"/>
  <c r="N93" i="5"/>
  <c r="O93" i="5" s="1"/>
  <c r="L93" i="5"/>
  <c r="M93" i="5" s="1"/>
  <c r="I93" i="5"/>
  <c r="E93" i="5"/>
  <c r="O92" i="5"/>
  <c r="N92" i="5"/>
  <c r="L92" i="5"/>
  <c r="I92" i="5"/>
  <c r="E92" i="5"/>
  <c r="N91" i="5"/>
  <c r="O91" i="5" s="1"/>
  <c r="L91" i="5"/>
  <c r="I91" i="5"/>
  <c r="E91" i="5"/>
  <c r="N90" i="5"/>
  <c r="O90" i="5" s="1"/>
  <c r="L90" i="5"/>
  <c r="I90" i="5"/>
  <c r="E90" i="5"/>
  <c r="O89" i="5"/>
  <c r="N89" i="5"/>
  <c r="L89" i="5"/>
  <c r="I89" i="5"/>
  <c r="E89" i="5"/>
  <c r="N88" i="5"/>
  <c r="O88" i="5" s="1"/>
  <c r="L88" i="5"/>
  <c r="I88" i="5"/>
  <c r="E88" i="5"/>
  <c r="N87" i="5"/>
  <c r="O87" i="5" s="1"/>
  <c r="L87" i="5"/>
  <c r="I87" i="5"/>
  <c r="E87" i="5"/>
  <c r="N86" i="5"/>
  <c r="O86" i="5" s="1"/>
  <c r="L86" i="5"/>
  <c r="M86" i="5" s="1"/>
  <c r="I86" i="5"/>
  <c r="E86" i="5"/>
  <c r="N85" i="5"/>
  <c r="O85" i="5" s="1"/>
  <c r="L85" i="5"/>
  <c r="M85" i="5" s="1"/>
  <c r="I85" i="5"/>
  <c r="E85" i="5"/>
  <c r="O84" i="5"/>
  <c r="N84" i="5"/>
  <c r="L84" i="5"/>
  <c r="I84" i="5"/>
  <c r="E84" i="5"/>
  <c r="N83" i="5"/>
  <c r="O83" i="5" s="1"/>
  <c r="L83" i="5"/>
  <c r="I83" i="5"/>
  <c r="E83" i="5"/>
  <c r="N82" i="5"/>
  <c r="O82" i="5" s="1"/>
  <c r="L82" i="5"/>
  <c r="I82" i="5"/>
  <c r="E82" i="5"/>
  <c r="O81" i="5"/>
  <c r="N81" i="5"/>
  <c r="L81" i="5"/>
  <c r="I81" i="5"/>
  <c r="E81" i="5"/>
  <c r="N80" i="5"/>
  <c r="O80" i="5" s="1"/>
  <c r="L80" i="5"/>
  <c r="I80" i="5"/>
  <c r="E80" i="5"/>
  <c r="N79" i="5"/>
  <c r="O79" i="5" s="1"/>
  <c r="L79" i="5"/>
  <c r="I79" i="5"/>
  <c r="E79" i="5"/>
  <c r="O78" i="5"/>
  <c r="N78" i="5"/>
  <c r="L78" i="5"/>
  <c r="M78" i="5" s="1"/>
  <c r="I78" i="5"/>
  <c r="E78" i="5"/>
  <c r="N77" i="5"/>
  <c r="O77" i="5" s="1"/>
  <c r="L77" i="5"/>
  <c r="I77" i="5"/>
  <c r="E77" i="5"/>
  <c r="O76" i="5"/>
  <c r="N76" i="5"/>
  <c r="L76" i="5"/>
  <c r="I76" i="5"/>
  <c r="E76" i="5"/>
  <c r="N75" i="5"/>
  <c r="O75" i="5" s="1"/>
  <c r="L75" i="5"/>
  <c r="I75" i="5"/>
  <c r="E75" i="5"/>
  <c r="N74" i="5"/>
  <c r="O74" i="5" s="1"/>
  <c r="L74" i="5"/>
  <c r="I74" i="5"/>
  <c r="E74" i="5"/>
  <c r="O73" i="5"/>
  <c r="N73" i="5"/>
  <c r="L73" i="5"/>
  <c r="I73" i="5"/>
  <c r="E73" i="5"/>
  <c r="N72" i="5"/>
  <c r="O72" i="5" s="1"/>
  <c r="L72" i="5"/>
  <c r="I72" i="5"/>
  <c r="E72" i="5"/>
  <c r="N71" i="5"/>
  <c r="O71" i="5" s="1"/>
  <c r="L71" i="5"/>
  <c r="I71" i="5"/>
  <c r="E71" i="5"/>
  <c r="N70" i="5"/>
  <c r="O70" i="5" s="1"/>
  <c r="L70" i="5"/>
  <c r="M70" i="5" s="1"/>
  <c r="I70" i="5"/>
  <c r="E70" i="5"/>
  <c r="O69" i="5"/>
  <c r="N69" i="5"/>
  <c r="L69" i="5"/>
  <c r="M69" i="5" s="1"/>
  <c r="I69" i="5"/>
  <c r="E69" i="5"/>
  <c r="O68" i="5"/>
  <c r="N68" i="5"/>
  <c r="L68" i="5"/>
  <c r="I68" i="5"/>
  <c r="E68" i="5"/>
  <c r="N67" i="5"/>
  <c r="O67" i="5" s="1"/>
  <c r="L67" i="5"/>
  <c r="I67" i="5"/>
  <c r="E67" i="5"/>
  <c r="N66" i="5"/>
  <c r="O66" i="5" s="1"/>
  <c r="L66" i="5"/>
  <c r="I66" i="5"/>
  <c r="E66" i="5"/>
  <c r="O65" i="5"/>
  <c r="N65" i="5"/>
  <c r="L65" i="5"/>
  <c r="I65" i="5"/>
  <c r="E65" i="5"/>
  <c r="O64" i="5"/>
  <c r="N64" i="5"/>
  <c r="L64" i="5"/>
  <c r="I64" i="5"/>
  <c r="E64" i="5"/>
  <c r="N63" i="5"/>
  <c r="O63" i="5" s="1"/>
  <c r="L63" i="5"/>
  <c r="I63" i="5"/>
  <c r="E63" i="5"/>
  <c r="N62" i="5"/>
  <c r="O62" i="5" s="1"/>
  <c r="L62" i="5"/>
  <c r="M62" i="5" s="1"/>
  <c r="I62" i="5"/>
  <c r="E62" i="5"/>
  <c r="N61" i="5"/>
  <c r="O61" i="5" s="1"/>
  <c r="L61" i="5"/>
  <c r="M61" i="5" s="1"/>
  <c r="I61" i="5"/>
  <c r="E61" i="5"/>
  <c r="O60" i="5"/>
  <c r="N60" i="5"/>
  <c r="L60" i="5"/>
  <c r="I60" i="5"/>
  <c r="E60" i="5"/>
  <c r="N59" i="5"/>
  <c r="O59" i="5" s="1"/>
  <c r="L59" i="5"/>
  <c r="I59" i="5"/>
  <c r="E59" i="5"/>
  <c r="N58" i="5"/>
  <c r="O58" i="5" s="1"/>
  <c r="L58" i="5"/>
  <c r="I58" i="5"/>
  <c r="E58" i="5"/>
  <c r="O57" i="5"/>
  <c r="N57" i="5"/>
  <c r="L57" i="5"/>
  <c r="I57" i="5"/>
  <c r="E57" i="5"/>
  <c r="N56" i="5"/>
  <c r="O56" i="5" s="1"/>
  <c r="L56" i="5"/>
  <c r="I56" i="5"/>
  <c r="E56" i="5"/>
  <c r="O55" i="5"/>
  <c r="N55" i="5"/>
  <c r="L55" i="5"/>
  <c r="I55" i="5"/>
  <c r="E55" i="5"/>
  <c r="N54" i="5"/>
  <c r="O54" i="5" s="1"/>
  <c r="L54" i="5"/>
  <c r="I54" i="5"/>
  <c r="E54" i="5"/>
  <c r="N53" i="5"/>
  <c r="O53" i="5" s="1"/>
  <c r="L53" i="5"/>
  <c r="M53" i="5" s="1"/>
  <c r="I53" i="5"/>
  <c r="E53" i="5"/>
  <c r="O52" i="5"/>
  <c r="N52" i="5"/>
  <c r="L52" i="5"/>
  <c r="I52" i="5"/>
  <c r="E52" i="5"/>
  <c r="N51" i="5"/>
  <c r="O51" i="5" s="1"/>
  <c r="L51" i="5"/>
  <c r="I51" i="5"/>
  <c r="E51" i="5"/>
  <c r="N50" i="5"/>
  <c r="O50" i="5" s="1"/>
  <c r="L50" i="5"/>
  <c r="I50" i="5"/>
  <c r="E50" i="5"/>
  <c r="O49" i="5"/>
  <c r="N49" i="5"/>
  <c r="L49" i="5"/>
  <c r="I49" i="5"/>
  <c r="E49" i="5"/>
  <c r="N48" i="5"/>
  <c r="O48" i="5" s="1"/>
  <c r="L48" i="5"/>
  <c r="I48" i="5"/>
  <c r="E48" i="5"/>
  <c r="N47" i="5"/>
  <c r="O47" i="5" s="1"/>
  <c r="L47" i="5"/>
  <c r="I47" i="5"/>
  <c r="E47" i="5"/>
  <c r="O46" i="5"/>
  <c r="N46" i="5"/>
  <c r="L46" i="5"/>
  <c r="I46" i="5"/>
  <c r="E46" i="5"/>
  <c r="N45" i="5"/>
  <c r="O45" i="5" s="1"/>
  <c r="L45" i="5"/>
  <c r="I45" i="5"/>
  <c r="E45" i="5"/>
  <c r="O44" i="5"/>
  <c r="N44" i="5"/>
  <c r="L44" i="5"/>
  <c r="I44" i="5"/>
  <c r="E44" i="5"/>
  <c r="N43" i="5"/>
  <c r="O43" i="5" s="1"/>
  <c r="L43" i="5"/>
  <c r="M43" i="5" s="1"/>
  <c r="I43" i="5"/>
  <c r="E43" i="5"/>
  <c r="N42" i="5"/>
  <c r="O42" i="5" s="1"/>
  <c r="L42" i="5"/>
  <c r="I42" i="5"/>
  <c r="E42" i="5"/>
  <c r="O41" i="5"/>
  <c r="N41" i="5"/>
  <c r="L41" i="5"/>
  <c r="I41" i="5"/>
  <c r="E41" i="5"/>
  <c r="O40" i="5"/>
  <c r="N40" i="5"/>
  <c r="L40" i="5"/>
  <c r="I40" i="5"/>
  <c r="E40" i="5"/>
  <c r="N39" i="5"/>
  <c r="O39" i="5" s="1"/>
  <c r="L39" i="5"/>
  <c r="I39" i="5"/>
  <c r="E39" i="5"/>
  <c r="O38" i="5"/>
  <c r="N38" i="5"/>
  <c r="L38" i="5"/>
  <c r="I38" i="5"/>
  <c r="E38" i="5"/>
  <c r="N37" i="5"/>
  <c r="O37" i="5" s="1"/>
  <c r="L37" i="5"/>
  <c r="M37" i="5" s="1"/>
  <c r="I37" i="5"/>
  <c r="E37" i="5"/>
  <c r="O36" i="5"/>
  <c r="N36" i="5"/>
  <c r="L36" i="5"/>
  <c r="I36" i="5"/>
  <c r="E36" i="5"/>
  <c r="N35" i="5"/>
  <c r="O35" i="5" s="1"/>
  <c r="L35" i="5"/>
  <c r="I35" i="5"/>
  <c r="M35" i="5" s="1"/>
  <c r="E35" i="5"/>
  <c r="O34" i="5"/>
  <c r="N34" i="5"/>
  <c r="L34" i="5"/>
  <c r="I34" i="5"/>
  <c r="E34" i="5"/>
  <c r="O33" i="5"/>
  <c r="N33" i="5"/>
  <c r="L33" i="5"/>
  <c r="I33" i="5"/>
  <c r="E33" i="5"/>
  <c r="O32" i="5"/>
  <c r="N32" i="5"/>
  <c r="L32" i="5"/>
  <c r="I32" i="5"/>
  <c r="E32" i="5"/>
  <c r="N31" i="5"/>
  <c r="O31" i="5" s="1"/>
  <c r="L31" i="5"/>
  <c r="I31" i="5"/>
  <c r="E31" i="5"/>
  <c r="O30" i="5"/>
  <c r="N30" i="5"/>
  <c r="L30" i="5"/>
  <c r="I30" i="5"/>
  <c r="E30" i="5"/>
  <c r="N29" i="5"/>
  <c r="O29" i="5" s="1"/>
  <c r="L29" i="5"/>
  <c r="M29" i="5" s="1"/>
  <c r="I29" i="5"/>
  <c r="E29" i="5"/>
  <c r="O28" i="5"/>
  <c r="N28" i="5"/>
  <c r="L28" i="5"/>
  <c r="I28" i="5"/>
  <c r="E28" i="5"/>
  <c r="N27" i="5"/>
  <c r="O27" i="5" s="1"/>
  <c r="L27" i="5"/>
  <c r="I27" i="5"/>
  <c r="E27" i="5"/>
  <c r="O26" i="5"/>
  <c r="N26" i="5"/>
  <c r="L26" i="5"/>
  <c r="I26" i="5"/>
  <c r="E26" i="5"/>
  <c r="O25" i="5"/>
  <c r="N25" i="5"/>
  <c r="L25" i="5"/>
  <c r="I25" i="5"/>
  <c r="E25" i="5"/>
  <c r="O24" i="5"/>
  <c r="N24" i="5"/>
  <c r="L24" i="5"/>
  <c r="I24" i="5"/>
  <c r="E24" i="5"/>
  <c r="N23" i="5"/>
  <c r="O23" i="5" s="1"/>
  <c r="L23" i="5"/>
  <c r="I23" i="5"/>
  <c r="E23" i="5"/>
  <c r="O22" i="5"/>
  <c r="N22" i="5"/>
  <c r="L22" i="5"/>
  <c r="I22" i="5"/>
  <c r="E22" i="5"/>
  <c r="N21" i="5"/>
  <c r="O21" i="5" s="1"/>
  <c r="L21" i="5"/>
  <c r="M21" i="5" s="1"/>
  <c r="I21" i="5"/>
  <c r="E21" i="5"/>
  <c r="O20" i="5"/>
  <c r="N20" i="5"/>
  <c r="L20" i="5"/>
  <c r="I20" i="5"/>
  <c r="E20" i="5"/>
  <c r="N19" i="5"/>
  <c r="O19" i="5" s="1"/>
  <c r="L19" i="5"/>
  <c r="I19" i="5"/>
  <c r="J19" i="5" s="1"/>
  <c r="K19" i="5" s="1"/>
  <c r="E19" i="5"/>
  <c r="O18" i="5"/>
  <c r="N18" i="5"/>
  <c r="L18" i="5"/>
  <c r="I18" i="5"/>
  <c r="E18" i="5"/>
  <c r="O17" i="5"/>
  <c r="N17" i="5"/>
  <c r="L17" i="5"/>
  <c r="I17" i="5"/>
  <c r="E17" i="5"/>
  <c r="O16" i="5"/>
  <c r="N16" i="5"/>
  <c r="L16" i="5"/>
  <c r="I16" i="5"/>
  <c r="E16" i="5"/>
  <c r="N15" i="5"/>
  <c r="O15" i="5" s="1"/>
  <c r="L15" i="5"/>
  <c r="I15" i="5"/>
  <c r="E15" i="5"/>
  <c r="O14" i="5"/>
  <c r="N14" i="5"/>
  <c r="L14" i="5"/>
  <c r="I14" i="5"/>
  <c r="E14" i="5"/>
  <c r="N13" i="5"/>
  <c r="O13" i="5" s="1"/>
  <c r="L13" i="5"/>
  <c r="M13" i="5" s="1"/>
  <c r="I13" i="5"/>
  <c r="E13" i="5"/>
  <c r="O12" i="5"/>
  <c r="N12" i="5"/>
  <c r="L12" i="5"/>
  <c r="I12" i="5"/>
  <c r="E12" i="5"/>
  <c r="N11" i="5"/>
  <c r="O11" i="5" s="1"/>
  <c r="L11" i="5"/>
  <c r="I11" i="5"/>
  <c r="M11" i="5" s="1"/>
  <c r="E11" i="5"/>
  <c r="O10" i="5"/>
  <c r="N10" i="5"/>
  <c r="L10" i="5"/>
  <c r="I10" i="5"/>
  <c r="E10" i="5"/>
  <c r="O9" i="5"/>
  <c r="N9" i="5"/>
  <c r="L9" i="5"/>
  <c r="I9" i="5"/>
  <c r="M9" i="5" s="1"/>
  <c r="E9" i="5"/>
  <c r="O8" i="5"/>
  <c r="N8" i="5"/>
  <c r="L8" i="5"/>
  <c r="I8" i="5"/>
  <c r="E8" i="5"/>
  <c r="N7" i="5"/>
  <c r="O7" i="5" s="1"/>
  <c r="L7" i="5"/>
  <c r="I7" i="5"/>
  <c r="E7" i="5"/>
  <c r="O6" i="5"/>
  <c r="N6" i="5"/>
  <c r="M6" i="5"/>
  <c r="L6" i="5"/>
  <c r="I6" i="5"/>
  <c r="E6" i="5"/>
  <c r="N5" i="5"/>
  <c r="O5" i="5" s="1"/>
  <c r="L5" i="5"/>
  <c r="M5" i="5" s="1"/>
  <c r="I5" i="5"/>
  <c r="E5" i="5"/>
  <c r="O4" i="5"/>
  <c r="N4" i="5"/>
  <c r="L4" i="5"/>
  <c r="I4" i="5"/>
  <c r="E4" i="5"/>
  <c r="N3" i="5"/>
  <c r="O3" i="5" s="1"/>
  <c r="L3" i="5"/>
  <c r="I3" i="5"/>
  <c r="J3" i="5" s="1"/>
  <c r="K3" i="5" s="1"/>
  <c r="E3" i="5"/>
  <c r="O2" i="5"/>
  <c r="N2" i="5"/>
  <c r="L2" i="5"/>
  <c r="I2" i="5"/>
  <c r="J500" i="5" s="1"/>
  <c r="K500" i="5" s="1"/>
  <c r="E2" i="5"/>
  <c r="M174" i="5" l="1"/>
  <c r="J183" i="5"/>
  <c r="K183" i="5" s="1"/>
  <c r="J186" i="5"/>
  <c r="K186" i="5" s="1"/>
  <c r="M187" i="5"/>
  <c r="M190" i="5"/>
  <c r="M197" i="5"/>
  <c r="J199" i="5"/>
  <c r="K199" i="5" s="1"/>
  <c r="M211" i="5"/>
  <c r="M214" i="5"/>
  <c r="M223" i="5"/>
  <c r="J225" i="5"/>
  <c r="K225" i="5" s="1"/>
  <c r="M225" i="5"/>
  <c r="M229" i="5"/>
  <c r="M255" i="5"/>
  <c r="J257" i="5"/>
  <c r="K257" i="5" s="1"/>
  <c r="M257" i="5"/>
  <c r="M261" i="5"/>
  <c r="M334" i="5"/>
  <c r="J334" i="5"/>
  <c r="K334" i="5" s="1"/>
  <c r="J337" i="5"/>
  <c r="K337" i="5" s="1"/>
  <c r="M353" i="5"/>
  <c r="M369" i="5"/>
  <c r="M385" i="5"/>
  <c r="J429" i="5"/>
  <c r="K429" i="5" s="1"/>
  <c r="M429" i="5"/>
  <c r="M455" i="5"/>
  <c r="M458" i="5"/>
  <c r="J495" i="5"/>
  <c r="K495" i="5" s="1"/>
  <c r="M512" i="5"/>
  <c r="M604" i="5"/>
  <c r="M606" i="5"/>
  <c r="J27" i="5"/>
  <c r="K27" i="5" s="1"/>
  <c r="M44" i="5"/>
  <c r="M58" i="5"/>
  <c r="M67" i="5"/>
  <c r="M90" i="5"/>
  <c r="M99" i="5"/>
  <c r="J114" i="5"/>
  <c r="K114" i="5" s="1"/>
  <c r="M119" i="5"/>
  <c r="M123" i="5"/>
  <c r="J129" i="5"/>
  <c r="K129" i="5" s="1"/>
  <c r="M129" i="5"/>
  <c r="M134" i="5"/>
  <c r="M138" i="5"/>
  <c r="M149" i="5"/>
  <c r="J151" i="5"/>
  <c r="K151" i="5" s="1"/>
  <c r="J154" i="5"/>
  <c r="K154" i="5" s="1"/>
  <c r="M155" i="5"/>
  <c r="M158" i="5"/>
  <c r="M165" i="5"/>
  <c r="J167" i="5"/>
  <c r="K167" i="5" s="1"/>
  <c r="J170" i="5"/>
  <c r="K170" i="5" s="1"/>
  <c r="M181" i="5"/>
  <c r="J996" i="5"/>
  <c r="K996" i="5" s="1"/>
  <c r="J975" i="5"/>
  <c r="K975" i="5" s="1"/>
  <c r="J995" i="5"/>
  <c r="K995" i="5" s="1"/>
  <c r="J988" i="5"/>
  <c r="K988" i="5" s="1"/>
  <c r="J979" i="5"/>
  <c r="K979" i="5" s="1"/>
  <c r="J935" i="5"/>
  <c r="K935" i="5" s="1"/>
  <c r="J928" i="5"/>
  <c r="K928" i="5" s="1"/>
  <c r="J923" i="5"/>
  <c r="K923" i="5" s="1"/>
  <c r="J973" i="5"/>
  <c r="K973" i="5" s="1"/>
  <c r="J959" i="5"/>
  <c r="K959" i="5" s="1"/>
  <c r="J952" i="5"/>
  <c r="K952" i="5" s="1"/>
  <c r="J947" i="5"/>
  <c r="K947" i="5" s="1"/>
  <c r="J997" i="5"/>
  <c r="K997" i="5" s="1"/>
  <c r="J919" i="5"/>
  <c r="K919" i="5" s="1"/>
  <c r="J989" i="5"/>
  <c r="K989" i="5" s="1"/>
  <c r="J980" i="5"/>
  <c r="K980" i="5" s="1"/>
  <c r="J971" i="5"/>
  <c r="K971" i="5" s="1"/>
  <c r="J967" i="5"/>
  <c r="K967" i="5" s="1"/>
  <c r="J955" i="5"/>
  <c r="K955" i="5" s="1"/>
  <c r="J981" i="5"/>
  <c r="K981" i="5" s="1"/>
  <c r="J913" i="5"/>
  <c r="K913" i="5" s="1"/>
  <c r="J897" i="5"/>
  <c r="K897" i="5" s="1"/>
  <c r="M888" i="5"/>
  <c r="J881" i="5"/>
  <c r="K881" i="5" s="1"/>
  <c r="M872" i="5"/>
  <c r="J865" i="5"/>
  <c r="K865" i="5" s="1"/>
  <c r="J956" i="5"/>
  <c r="K956" i="5" s="1"/>
  <c r="J943" i="5"/>
  <c r="K943" i="5" s="1"/>
  <c r="J910" i="5"/>
  <c r="K910" i="5" s="1"/>
  <c r="J907" i="5"/>
  <c r="K907" i="5" s="1"/>
  <c r="J987" i="5"/>
  <c r="K987" i="5" s="1"/>
  <c r="J939" i="5"/>
  <c r="K939" i="5" s="1"/>
  <c r="J917" i="5"/>
  <c r="K917" i="5" s="1"/>
  <c r="J901" i="5"/>
  <c r="K901" i="5" s="1"/>
  <c r="J885" i="5"/>
  <c r="K885" i="5" s="1"/>
  <c r="J869" i="5"/>
  <c r="K869" i="5" s="1"/>
  <c r="J853" i="5"/>
  <c r="K853" i="5" s="1"/>
  <c r="J965" i="5"/>
  <c r="K965" i="5" s="1"/>
  <c r="J963" i="5"/>
  <c r="K963" i="5" s="1"/>
  <c r="J924" i="5"/>
  <c r="K924" i="5" s="1"/>
  <c r="J951" i="5"/>
  <c r="K951" i="5" s="1"/>
  <c r="J927" i="5"/>
  <c r="K927" i="5" s="1"/>
  <c r="J909" i="5"/>
  <c r="K909" i="5" s="1"/>
  <c r="M907" i="5"/>
  <c r="M891" i="5"/>
  <c r="J874" i="5"/>
  <c r="K874" i="5" s="1"/>
  <c r="J857" i="5"/>
  <c r="K857" i="5" s="1"/>
  <c r="J854" i="5"/>
  <c r="K854" i="5" s="1"/>
  <c r="M836" i="5"/>
  <c r="M820" i="5"/>
  <c r="M810" i="5"/>
  <c r="M807" i="5"/>
  <c r="M804" i="5"/>
  <c r="M794" i="5"/>
  <c r="M791" i="5"/>
  <c r="M875" i="5"/>
  <c r="M767" i="5"/>
  <c r="J949" i="5"/>
  <c r="K949" i="5" s="1"/>
  <c r="J920" i="5"/>
  <c r="K920" i="5" s="1"/>
  <c r="J902" i="5"/>
  <c r="K902" i="5" s="1"/>
  <c r="J886" i="5"/>
  <c r="K886" i="5" s="1"/>
  <c r="M910" i="5"/>
  <c r="M903" i="5"/>
  <c r="M894" i="5"/>
  <c r="M887" i="5"/>
  <c r="M878" i="5"/>
  <c r="J870" i="5"/>
  <c r="K870" i="5" s="1"/>
  <c r="M868" i="5"/>
  <c r="J858" i="5"/>
  <c r="K858" i="5" s="1"/>
  <c r="J855" i="5"/>
  <c r="K855" i="5" s="1"/>
  <c r="M762" i="5"/>
  <c r="M754" i="5"/>
  <c r="J931" i="5"/>
  <c r="K931" i="5" s="1"/>
  <c r="M856" i="5"/>
  <c r="J837" i="5"/>
  <c r="K837" i="5" s="1"/>
  <c r="J821" i="5"/>
  <c r="K821" i="5" s="1"/>
  <c r="J805" i="5"/>
  <c r="K805" i="5" s="1"/>
  <c r="J789" i="5"/>
  <c r="K789" i="5" s="1"/>
  <c r="J773" i="5"/>
  <c r="K773" i="5" s="1"/>
  <c r="J925" i="5"/>
  <c r="K925" i="5" s="1"/>
  <c r="M906" i="5"/>
  <c r="J903" i="5"/>
  <c r="K903" i="5" s="1"/>
  <c r="M890" i="5"/>
  <c r="J887" i="5"/>
  <c r="K887" i="5" s="1"/>
  <c r="J871" i="5"/>
  <c r="K871" i="5" s="1"/>
  <c r="J906" i="5"/>
  <c r="K906" i="5" s="1"/>
  <c r="J849" i="5"/>
  <c r="K849" i="5" s="1"/>
  <c r="M766" i="5"/>
  <c r="M736" i="5"/>
  <c r="M725" i="5"/>
  <c r="J723" i="5"/>
  <c r="K723" i="5" s="1"/>
  <c r="J715" i="5"/>
  <c r="K715" i="5" s="1"/>
  <c r="J707" i="5"/>
  <c r="K707" i="5" s="1"/>
  <c r="J699" i="5"/>
  <c r="K699" i="5" s="1"/>
  <c r="J691" i="5"/>
  <c r="K691" i="5" s="1"/>
  <c r="J683" i="5"/>
  <c r="K683" i="5" s="1"/>
  <c r="J675" i="5"/>
  <c r="K675" i="5" s="1"/>
  <c r="J667" i="5"/>
  <c r="K667" i="5" s="1"/>
  <c r="J659" i="5"/>
  <c r="K659" i="5" s="1"/>
  <c r="J651" i="5"/>
  <c r="K651" i="5" s="1"/>
  <c r="J643" i="5"/>
  <c r="K643" i="5" s="1"/>
  <c r="J635" i="5"/>
  <c r="K635" i="5" s="1"/>
  <c r="J627" i="5"/>
  <c r="K627" i="5" s="1"/>
  <c r="J619" i="5"/>
  <c r="K619" i="5" s="1"/>
  <c r="J611" i="5"/>
  <c r="K611" i="5" s="1"/>
  <c r="J841" i="5"/>
  <c r="K841" i="5" s="1"/>
  <c r="J822" i="5"/>
  <c r="K822" i="5" s="1"/>
  <c r="J801" i="5"/>
  <c r="K801" i="5" s="1"/>
  <c r="M778" i="5"/>
  <c r="J724" i="5"/>
  <c r="K724" i="5" s="1"/>
  <c r="J604" i="5"/>
  <c r="K604" i="5" s="1"/>
  <c r="J596" i="5"/>
  <c r="K596" i="5" s="1"/>
  <c r="J588" i="5"/>
  <c r="K588" i="5" s="1"/>
  <c r="J580" i="5"/>
  <c r="K580" i="5" s="1"/>
  <c r="J572" i="5"/>
  <c r="K572" i="5" s="1"/>
  <c r="J890" i="5"/>
  <c r="K890" i="5" s="1"/>
  <c r="J793" i="5"/>
  <c r="K793" i="5" s="1"/>
  <c r="J725" i="5"/>
  <c r="K725" i="5" s="1"/>
  <c r="J915" i="5"/>
  <c r="K915" i="5" s="1"/>
  <c r="J833" i="5"/>
  <c r="K833" i="5" s="1"/>
  <c r="J769" i="5"/>
  <c r="K769" i="5" s="1"/>
  <c r="M764" i="5"/>
  <c r="J825" i="5"/>
  <c r="K825" i="5" s="1"/>
  <c r="J806" i="5"/>
  <c r="K806" i="5" s="1"/>
  <c r="M759" i="5"/>
  <c r="J727" i="5"/>
  <c r="K727" i="5" s="1"/>
  <c r="J899" i="5"/>
  <c r="K899" i="5" s="1"/>
  <c r="J785" i="5"/>
  <c r="K785" i="5" s="1"/>
  <c r="J774" i="5"/>
  <c r="K774" i="5" s="1"/>
  <c r="M772" i="5"/>
  <c r="M756" i="5"/>
  <c r="M750" i="5"/>
  <c r="M743" i="5"/>
  <c r="M734" i="5"/>
  <c r="M730" i="5"/>
  <c r="J728" i="5"/>
  <c r="K728" i="5" s="1"/>
  <c r="M722" i="5"/>
  <c r="J720" i="5"/>
  <c r="K720" i="5" s="1"/>
  <c r="M714" i="5"/>
  <c r="J712" i="5"/>
  <c r="K712" i="5" s="1"/>
  <c r="M706" i="5"/>
  <c r="J704" i="5"/>
  <c r="K704" i="5" s="1"/>
  <c r="M698" i="5"/>
  <c r="J696" i="5"/>
  <c r="K696" i="5" s="1"/>
  <c r="M690" i="5"/>
  <c r="J688" i="5"/>
  <c r="K688" i="5" s="1"/>
  <c r="J936" i="5"/>
  <c r="K936" i="5" s="1"/>
  <c r="J838" i="5"/>
  <c r="K838" i="5" s="1"/>
  <c r="J817" i="5"/>
  <c r="K817" i="5" s="1"/>
  <c r="J729" i="5"/>
  <c r="K729" i="5" s="1"/>
  <c r="J721" i="5"/>
  <c r="K721" i="5" s="1"/>
  <c r="J790" i="5"/>
  <c r="K790" i="5" s="1"/>
  <c r="M788" i="5"/>
  <c r="J726" i="5"/>
  <c r="K726" i="5" s="1"/>
  <c r="J718" i="5"/>
  <c r="K718" i="5" s="1"/>
  <c r="J710" i="5"/>
  <c r="K710" i="5" s="1"/>
  <c r="J702" i="5"/>
  <c r="K702" i="5" s="1"/>
  <c r="J694" i="5"/>
  <c r="K694" i="5" s="1"/>
  <c r="J686" i="5"/>
  <c r="K686" i="5" s="1"/>
  <c r="J654" i="5"/>
  <c r="K654" i="5" s="1"/>
  <c r="J622" i="5"/>
  <c r="K622" i="5" s="1"/>
  <c r="J584" i="5"/>
  <c r="K584" i="5" s="1"/>
  <c r="J560" i="5"/>
  <c r="K560" i="5" s="1"/>
  <c r="J540" i="5"/>
  <c r="K540" i="5" s="1"/>
  <c r="M724" i="5"/>
  <c r="M716" i="5"/>
  <c r="M708" i="5"/>
  <c r="M700" i="5"/>
  <c r="M692" i="5"/>
  <c r="M684" i="5"/>
  <c r="J672" i="5"/>
  <c r="K672" i="5" s="1"/>
  <c r="J666" i="5"/>
  <c r="K666" i="5" s="1"/>
  <c r="M664" i="5"/>
  <c r="M658" i="5"/>
  <c r="M652" i="5"/>
  <c r="J640" i="5"/>
  <c r="K640" i="5" s="1"/>
  <c r="J634" i="5"/>
  <c r="K634" i="5" s="1"/>
  <c r="M632" i="5"/>
  <c r="M626" i="5"/>
  <c r="M620" i="5"/>
  <c r="J608" i="5"/>
  <c r="K608" i="5" s="1"/>
  <c r="M602" i="5"/>
  <c r="J598" i="5"/>
  <c r="K598" i="5" s="1"/>
  <c r="J595" i="5"/>
  <c r="K595" i="5" s="1"/>
  <c r="M592" i="5"/>
  <c r="M566" i="5"/>
  <c r="M557" i="5"/>
  <c r="J556" i="5"/>
  <c r="K556" i="5" s="1"/>
  <c r="M548" i="5"/>
  <c r="J546" i="5"/>
  <c r="K546" i="5" s="1"/>
  <c r="M542" i="5"/>
  <c r="J883" i="5"/>
  <c r="K883" i="5" s="1"/>
  <c r="J678" i="5"/>
  <c r="K678" i="5" s="1"/>
  <c r="J646" i="5"/>
  <c r="K646" i="5" s="1"/>
  <c r="J614" i="5"/>
  <c r="K614" i="5" s="1"/>
  <c r="M589" i="5"/>
  <c r="J552" i="5"/>
  <c r="K552" i="5" s="1"/>
  <c r="J809" i="5"/>
  <c r="K809" i="5" s="1"/>
  <c r="M740" i="5"/>
  <c r="M682" i="5"/>
  <c r="M676" i="5"/>
  <c r="J664" i="5"/>
  <c r="K664" i="5" s="1"/>
  <c r="J658" i="5"/>
  <c r="K658" i="5" s="1"/>
  <c r="M656" i="5"/>
  <c r="M650" i="5"/>
  <c r="M644" i="5"/>
  <c r="J632" i="5"/>
  <c r="K632" i="5" s="1"/>
  <c r="J626" i="5"/>
  <c r="K626" i="5" s="1"/>
  <c r="M624" i="5"/>
  <c r="M618" i="5"/>
  <c r="M612" i="5"/>
  <c r="J602" i="5"/>
  <c r="K602" i="5" s="1"/>
  <c r="M596" i="5"/>
  <c r="J592" i="5"/>
  <c r="K592" i="5" s="1"/>
  <c r="M586" i="5"/>
  <c r="J582" i="5"/>
  <c r="K582" i="5" s="1"/>
  <c r="J579" i="5"/>
  <c r="K579" i="5" s="1"/>
  <c r="J571" i="5"/>
  <c r="K571" i="5" s="1"/>
  <c r="J566" i="5"/>
  <c r="K566" i="5" s="1"/>
  <c r="M558" i="5"/>
  <c r="J548" i="5"/>
  <c r="K548" i="5" s="1"/>
  <c r="J542" i="5"/>
  <c r="K542" i="5" s="1"/>
  <c r="J536" i="5"/>
  <c r="K536" i="5" s="1"/>
  <c r="M530" i="5"/>
  <c r="J528" i="5"/>
  <c r="K528" i="5" s="1"/>
  <c r="M522" i="5"/>
  <c r="J520" i="5"/>
  <c r="K520" i="5" s="1"/>
  <c r="M514" i="5"/>
  <c r="J512" i="5"/>
  <c r="K512" i="5" s="1"/>
  <c r="M506" i="5"/>
  <c r="M738" i="5"/>
  <c r="M728" i="5"/>
  <c r="J722" i="5"/>
  <c r="K722" i="5" s="1"/>
  <c r="M720" i="5"/>
  <c r="J714" i="5"/>
  <c r="K714" i="5" s="1"/>
  <c r="M712" i="5"/>
  <c r="J706" i="5"/>
  <c r="K706" i="5" s="1"/>
  <c r="M704" i="5"/>
  <c r="J698" i="5"/>
  <c r="K698" i="5" s="1"/>
  <c r="M696" i="5"/>
  <c r="J690" i="5"/>
  <c r="K690" i="5" s="1"/>
  <c r="M688" i="5"/>
  <c r="J670" i="5"/>
  <c r="K670" i="5" s="1"/>
  <c r="J638" i="5"/>
  <c r="K638" i="5" s="1"/>
  <c r="J606" i="5"/>
  <c r="K606" i="5" s="1"/>
  <c r="J603" i="5"/>
  <c r="K603" i="5" s="1"/>
  <c r="M600" i="5"/>
  <c r="J777" i="5"/>
  <c r="K777" i="5" s="1"/>
  <c r="M775" i="5"/>
  <c r="M751" i="5"/>
  <c r="M746" i="5"/>
  <c r="J662" i="5"/>
  <c r="K662" i="5" s="1"/>
  <c r="J630" i="5"/>
  <c r="K630" i="5" s="1"/>
  <c r="J600" i="5"/>
  <c r="K600" i="5" s="1"/>
  <c r="J590" i="5"/>
  <c r="K590" i="5" s="1"/>
  <c r="J587" i="5"/>
  <c r="K587" i="5" s="1"/>
  <c r="M584" i="5"/>
  <c r="J576" i="5"/>
  <c r="K576" i="5" s="1"/>
  <c r="M573" i="5"/>
  <c r="J568" i="5"/>
  <c r="K568" i="5" s="1"/>
  <c r="J555" i="5"/>
  <c r="K555" i="5" s="1"/>
  <c r="M545" i="5"/>
  <c r="J539" i="5"/>
  <c r="K539" i="5" s="1"/>
  <c r="J508" i="5"/>
  <c r="K508" i="5" s="1"/>
  <c r="M498" i="5"/>
  <c r="J482" i="5"/>
  <c r="K482" i="5" s="1"/>
  <c r="M468" i="5"/>
  <c r="J452" i="5"/>
  <c r="K452" i="5" s="1"/>
  <c r="J448" i="5"/>
  <c r="K448" i="5" s="1"/>
  <c r="M434" i="5"/>
  <c r="J680" i="5"/>
  <c r="K680" i="5" s="1"/>
  <c r="M660" i="5"/>
  <c r="J650" i="5"/>
  <c r="K650" i="5" s="1"/>
  <c r="M648" i="5"/>
  <c r="J642" i="5"/>
  <c r="K642" i="5" s="1"/>
  <c r="M640" i="5"/>
  <c r="M610" i="5"/>
  <c r="M581" i="5"/>
  <c r="J563" i="5"/>
  <c r="K563" i="5" s="1"/>
  <c r="J558" i="5"/>
  <c r="K558" i="5" s="1"/>
  <c r="J550" i="5"/>
  <c r="K550" i="5" s="1"/>
  <c r="J522" i="5"/>
  <c r="K522" i="5" s="1"/>
  <c r="J519" i="5"/>
  <c r="K519" i="5" s="1"/>
  <c r="M516" i="5"/>
  <c r="M502" i="5"/>
  <c r="J490" i="5"/>
  <c r="K490" i="5" s="1"/>
  <c r="J486" i="5"/>
  <c r="K486" i="5" s="1"/>
  <c r="J479" i="5"/>
  <c r="K479" i="5" s="1"/>
  <c r="M476" i="5"/>
  <c r="M472" i="5"/>
  <c r="J460" i="5"/>
  <c r="K460" i="5" s="1"/>
  <c r="J456" i="5"/>
  <c r="K456" i="5" s="1"/>
  <c r="M442" i="5"/>
  <c r="M438" i="5"/>
  <c r="J426" i="5"/>
  <c r="K426" i="5" s="1"/>
  <c r="J422" i="5"/>
  <c r="K422" i="5" s="1"/>
  <c r="J418" i="5"/>
  <c r="K418" i="5" s="1"/>
  <c r="J414" i="5"/>
  <c r="K414" i="5" s="1"/>
  <c r="J410" i="5"/>
  <c r="K410" i="5" s="1"/>
  <c r="J406" i="5"/>
  <c r="K406" i="5" s="1"/>
  <c r="J402" i="5"/>
  <c r="K402" i="5" s="1"/>
  <c r="J398" i="5"/>
  <c r="K398" i="5" s="1"/>
  <c r="J394" i="5"/>
  <c r="K394" i="5" s="1"/>
  <c r="J390" i="5"/>
  <c r="K390" i="5" s="1"/>
  <c r="J386" i="5"/>
  <c r="K386" i="5" s="1"/>
  <c r="J382" i="5"/>
  <c r="K382" i="5" s="1"/>
  <c r="J378" i="5"/>
  <c r="K378" i="5" s="1"/>
  <c r="J374" i="5"/>
  <c r="K374" i="5" s="1"/>
  <c r="J370" i="5"/>
  <c r="K370" i="5" s="1"/>
  <c r="J366" i="5"/>
  <c r="K366" i="5" s="1"/>
  <c r="J362" i="5"/>
  <c r="K362" i="5" s="1"/>
  <c r="J358" i="5"/>
  <c r="K358" i="5" s="1"/>
  <c r="J354" i="5"/>
  <c r="K354" i="5" s="1"/>
  <c r="J350" i="5"/>
  <c r="K350" i="5" s="1"/>
  <c r="J346" i="5"/>
  <c r="K346" i="5" s="1"/>
  <c r="J342" i="5"/>
  <c r="K342" i="5" s="1"/>
  <c r="J338" i="5"/>
  <c r="K338" i="5" s="1"/>
  <c r="J330" i="5"/>
  <c r="K330" i="5" s="1"/>
  <c r="M564" i="5"/>
  <c r="M556" i="5"/>
  <c r="J545" i="5"/>
  <c r="K545" i="5" s="1"/>
  <c r="M513" i="5"/>
  <c r="J498" i="5"/>
  <c r="K498" i="5" s="1"/>
  <c r="M484" i="5"/>
  <c r="J468" i="5"/>
  <c r="K468" i="5" s="1"/>
  <c r="J464" i="5"/>
  <c r="K464" i="5" s="1"/>
  <c r="M450" i="5"/>
  <c r="J434" i="5"/>
  <c r="K434" i="5" s="1"/>
  <c r="M668" i="5"/>
  <c r="J648" i="5"/>
  <c r="K648" i="5" s="1"/>
  <c r="M628" i="5"/>
  <c r="J618" i="5"/>
  <c r="K618" i="5" s="1"/>
  <c r="M616" i="5"/>
  <c r="J656" i="5"/>
  <c r="K656" i="5" s="1"/>
  <c r="M565" i="5"/>
  <c r="J564" i="5"/>
  <c r="K564" i="5" s="1"/>
  <c r="J535" i="5"/>
  <c r="K535" i="5" s="1"/>
  <c r="M500" i="5"/>
  <c r="J484" i="5"/>
  <c r="K484" i="5" s="1"/>
  <c r="J480" i="5"/>
  <c r="K480" i="5" s="1"/>
  <c r="M466" i="5"/>
  <c r="J450" i="5"/>
  <c r="K450" i="5" s="1"/>
  <c r="M436" i="5"/>
  <c r="J2" i="5"/>
  <c r="K2" i="5" s="1"/>
  <c r="M674" i="5"/>
  <c r="M666" i="5"/>
  <c r="M636" i="5"/>
  <c r="J616" i="5"/>
  <c r="K616" i="5" s="1"/>
  <c r="J532" i="5"/>
  <c r="K532" i="5" s="1"/>
  <c r="M524" i="5"/>
  <c r="J492" i="5"/>
  <c r="K492" i="5" s="1"/>
  <c r="J488" i="5"/>
  <c r="K488" i="5" s="1"/>
  <c r="M474" i="5"/>
  <c r="J458" i="5"/>
  <c r="K458" i="5" s="1"/>
  <c r="M444" i="5"/>
  <c r="J428" i="5"/>
  <c r="K428" i="5" s="1"/>
  <c r="J424" i="5"/>
  <c r="K424" i="5" s="1"/>
  <c r="J624" i="5"/>
  <c r="K624" i="5" s="1"/>
  <c r="M546" i="5"/>
  <c r="M518" i="5"/>
  <c r="M488" i="5"/>
  <c r="M478" i="5"/>
  <c r="M441" i="5"/>
  <c r="J432" i="5"/>
  <c r="K432" i="5" s="1"/>
  <c r="J421" i="5"/>
  <c r="K421" i="5" s="1"/>
  <c r="J413" i="5"/>
  <c r="K413" i="5" s="1"/>
  <c r="J405" i="5"/>
  <c r="K405" i="5" s="1"/>
  <c r="J397" i="5"/>
  <c r="K397" i="5" s="1"/>
  <c r="J389" i="5"/>
  <c r="K389" i="5" s="1"/>
  <c r="J298" i="5"/>
  <c r="K298" i="5" s="1"/>
  <c r="J282" i="5"/>
  <c r="K282" i="5" s="1"/>
  <c r="J610" i="5"/>
  <c r="K610" i="5" s="1"/>
  <c r="M608" i="5"/>
  <c r="J586" i="5"/>
  <c r="K586" i="5" s="1"/>
  <c r="M539" i="5"/>
  <c r="M529" i="5"/>
  <c r="M526" i="5"/>
  <c r="M510" i="5"/>
  <c r="J504" i="5"/>
  <c r="K504" i="5" s="1"/>
  <c r="J472" i="5"/>
  <c r="K472" i="5" s="1"/>
  <c r="J462" i="5"/>
  <c r="K462" i="5" s="1"/>
  <c r="M454" i="5"/>
  <c r="J438" i="5"/>
  <c r="K438" i="5" s="1"/>
  <c r="J306" i="5"/>
  <c r="K306" i="5" s="1"/>
  <c r="M634" i="5"/>
  <c r="M532" i="5"/>
  <c r="M505" i="5"/>
  <c r="J496" i="5"/>
  <c r="K496" i="5" s="1"/>
  <c r="M486" i="5"/>
  <c r="M473" i="5"/>
  <c r="M460" i="5"/>
  <c r="J444" i="5"/>
  <c r="K444" i="5" s="1"/>
  <c r="J427" i="5"/>
  <c r="K427" i="5" s="1"/>
  <c r="J419" i="5"/>
  <c r="K419" i="5" s="1"/>
  <c r="J411" i="5"/>
  <c r="K411" i="5" s="1"/>
  <c r="J403" i="5"/>
  <c r="K403" i="5" s="1"/>
  <c r="J395" i="5"/>
  <c r="K395" i="5" s="1"/>
  <c r="J387" i="5"/>
  <c r="K387" i="5" s="1"/>
  <c r="J379" i="5"/>
  <c r="K379" i="5" s="1"/>
  <c r="J371" i="5"/>
  <c r="K371" i="5" s="1"/>
  <c r="J363" i="5"/>
  <c r="K363" i="5" s="1"/>
  <c r="J355" i="5"/>
  <c r="K355" i="5" s="1"/>
  <c r="J347" i="5"/>
  <c r="K347" i="5" s="1"/>
  <c r="J339" i="5"/>
  <c r="K339" i="5" s="1"/>
  <c r="J332" i="5"/>
  <c r="K332" i="5" s="1"/>
  <c r="J329" i="5"/>
  <c r="K329" i="5" s="1"/>
  <c r="J314" i="5"/>
  <c r="K314" i="5" s="1"/>
  <c r="J295" i="5"/>
  <c r="K295" i="5" s="1"/>
  <c r="J516" i="5"/>
  <c r="K516" i="5" s="1"/>
  <c r="M508" i="5"/>
  <c r="J502" i="5"/>
  <c r="K502" i="5" s="1"/>
  <c r="J476" i="5"/>
  <c r="K476" i="5" s="1"/>
  <c r="J470" i="5"/>
  <c r="K470" i="5" s="1"/>
  <c r="J463" i="5"/>
  <c r="K463" i="5" s="1"/>
  <c r="M452" i="5"/>
  <c r="J436" i="5"/>
  <c r="K436" i="5" s="1"/>
  <c r="M428" i="5"/>
  <c r="J322" i="5"/>
  <c r="K322" i="5" s="1"/>
  <c r="J292" i="5"/>
  <c r="K292" i="5" s="1"/>
  <c r="J284" i="5"/>
  <c r="K284" i="5" s="1"/>
  <c r="M275" i="5"/>
  <c r="M267" i="5"/>
  <c r="M259" i="5"/>
  <c r="M251" i="5"/>
  <c r="M243" i="5"/>
  <c r="J682" i="5"/>
  <c r="K682" i="5" s="1"/>
  <c r="M680" i="5"/>
  <c r="M520" i="5"/>
  <c r="J514" i="5"/>
  <c r="K514" i="5" s="1"/>
  <c r="J506" i="5"/>
  <c r="K506" i="5" s="1"/>
  <c r="M490" i="5"/>
  <c r="J474" i="5"/>
  <c r="K474" i="5" s="1"/>
  <c r="M456" i="5"/>
  <c r="J423" i="5"/>
  <c r="K423" i="5" s="1"/>
  <c r="J415" i="5"/>
  <c r="K415" i="5" s="1"/>
  <c r="J407" i="5"/>
  <c r="K407" i="5" s="1"/>
  <c r="J399" i="5"/>
  <c r="K399" i="5" s="1"/>
  <c r="J391" i="5"/>
  <c r="K391" i="5" s="1"/>
  <c r="J383" i="5"/>
  <c r="K383" i="5" s="1"/>
  <c r="J375" i="5"/>
  <c r="K375" i="5" s="1"/>
  <c r="J367" i="5"/>
  <c r="K367" i="5" s="1"/>
  <c r="J359" i="5"/>
  <c r="K359" i="5" s="1"/>
  <c r="J351" i="5"/>
  <c r="K351" i="5" s="1"/>
  <c r="J343" i="5"/>
  <c r="K343" i="5" s="1"/>
  <c r="J316" i="5"/>
  <c r="K316" i="5" s="1"/>
  <c r="M270" i="5"/>
  <c r="M262" i="5"/>
  <c r="M254" i="5"/>
  <c r="M246" i="5"/>
  <c r="M238" i="5"/>
  <c r="J10" i="5"/>
  <c r="K10" i="5" s="1"/>
  <c r="J18" i="5"/>
  <c r="K18" i="5" s="1"/>
  <c r="J26" i="5"/>
  <c r="K26" i="5" s="1"/>
  <c r="J34" i="5"/>
  <c r="K34" i="5" s="1"/>
  <c r="J41" i="5"/>
  <c r="K41" i="5" s="1"/>
  <c r="J47" i="5"/>
  <c r="K47" i="5" s="1"/>
  <c r="J51" i="5"/>
  <c r="K51" i="5" s="1"/>
  <c r="J56" i="5"/>
  <c r="K56" i="5" s="1"/>
  <c r="M56" i="5"/>
  <c r="J60" i="5"/>
  <c r="K60" i="5" s="1"/>
  <c r="J65" i="5"/>
  <c r="K65" i="5" s="1"/>
  <c r="M65" i="5"/>
  <c r="M71" i="5"/>
  <c r="J74" i="5"/>
  <c r="K74" i="5" s="1"/>
  <c r="J79" i="5"/>
  <c r="K79" i="5" s="1"/>
  <c r="J83" i="5"/>
  <c r="K83" i="5" s="1"/>
  <c r="J88" i="5"/>
  <c r="K88" i="5" s="1"/>
  <c r="M88" i="5"/>
  <c r="J92" i="5"/>
  <c r="K92" i="5" s="1"/>
  <c r="J97" i="5"/>
  <c r="K97" i="5" s="1"/>
  <c r="M97" i="5"/>
  <c r="M103" i="5"/>
  <c r="J106" i="5"/>
  <c r="K106" i="5" s="1"/>
  <c r="M111" i="5"/>
  <c r="J121" i="5"/>
  <c r="K121" i="5" s="1"/>
  <c r="M121" i="5"/>
  <c r="M126" i="5"/>
  <c r="J140" i="5"/>
  <c r="K140" i="5" s="1"/>
  <c r="J144" i="5"/>
  <c r="K144" i="5" s="1"/>
  <c r="M144" i="5"/>
  <c r="J204" i="5"/>
  <c r="K204" i="5" s="1"/>
  <c r="J210" i="5"/>
  <c r="K210" i="5" s="1"/>
  <c r="M210" i="5"/>
  <c r="J236" i="5"/>
  <c r="K236" i="5" s="1"/>
  <c r="J242" i="5"/>
  <c r="K242" i="5" s="1"/>
  <c r="M242" i="5"/>
  <c r="M260" i="5"/>
  <c r="J268" i="5"/>
  <c r="K268" i="5" s="1"/>
  <c r="J274" i="5"/>
  <c r="K274" i="5" s="1"/>
  <c r="M274" i="5"/>
  <c r="J280" i="5"/>
  <c r="K280" i="5" s="1"/>
  <c r="J286" i="5"/>
  <c r="K286" i="5" s="1"/>
  <c r="J289" i="5"/>
  <c r="K289" i="5" s="1"/>
  <c r="M297" i="5"/>
  <c r="J297" i="5"/>
  <c r="K297" i="5" s="1"/>
  <c r="J300" i="5"/>
  <c r="K300" i="5" s="1"/>
  <c r="J305" i="5"/>
  <c r="K305" i="5" s="1"/>
  <c r="M307" i="5"/>
  <c r="J307" i="5"/>
  <c r="K307" i="5" s="1"/>
  <c r="M326" i="5"/>
  <c r="J326" i="5"/>
  <c r="K326" i="5" s="1"/>
  <c r="M336" i="5"/>
  <c r="J353" i="5"/>
  <c r="K353" i="5" s="1"/>
  <c r="J369" i="5"/>
  <c r="K369" i="5" s="1"/>
  <c r="J385" i="5"/>
  <c r="K385" i="5" s="1"/>
  <c r="J401" i="5"/>
  <c r="K401" i="5" s="1"/>
  <c r="J417" i="5"/>
  <c r="K417" i="5" s="1"/>
  <c r="M448" i="5"/>
  <c r="J455" i="5"/>
  <c r="K455" i="5" s="1"/>
  <c r="M550" i="5"/>
  <c r="M587" i="5"/>
  <c r="J594" i="5"/>
  <c r="K594" i="5" s="1"/>
  <c r="M597" i="5"/>
  <c r="M14" i="5"/>
  <c r="M30" i="5"/>
  <c r="J42" i="5"/>
  <c r="K42" i="5" s="1"/>
  <c r="M4" i="5"/>
  <c r="J17" i="5"/>
  <c r="K17" i="5" s="1"/>
  <c r="J33" i="5"/>
  <c r="K33" i="5" s="1"/>
  <c r="M66" i="5"/>
  <c r="M98" i="5"/>
  <c r="M118" i="5"/>
  <c r="J136" i="5"/>
  <c r="K136" i="5" s="1"/>
  <c r="M136" i="5"/>
  <c r="M167" i="5"/>
  <c r="M219" i="5"/>
  <c r="M263" i="5"/>
  <c r="M315" i="5"/>
  <c r="J315" i="5"/>
  <c r="K315" i="5" s="1"/>
  <c r="J431" i="5"/>
  <c r="K431" i="5" s="1"/>
  <c r="M494" i="5"/>
  <c r="J494" i="5"/>
  <c r="K494" i="5" s="1"/>
  <c r="M497" i="5"/>
  <c r="M547" i="5"/>
  <c r="M580" i="5"/>
  <c r="M741" i="5"/>
  <c r="M3" i="5"/>
  <c r="J8" i="5"/>
  <c r="K8" i="5" s="1"/>
  <c r="J16" i="5"/>
  <c r="K16" i="5" s="1"/>
  <c r="M19" i="5"/>
  <c r="J24" i="5"/>
  <c r="K24" i="5" s="1"/>
  <c r="M27" i="5"/>
  <c r="J32" i="5"/>
  <c r="K32" i="5" s="1"/>
  <c r="J40" i="5"/>
  <c r="K40" i="5" s="1"/>
  <c r="M40" i="5"/>
  <c r="M42" i="5"/>
  <c r="J46" i="5"/>
  <c r="K46" i="5" s="1"/>
  <c r="M47" i="5"/>
  <c r="J50" i="5"/>
  <c r="K50" i="5" s="1"/>
  <c r="J55" i="5"/>
  <c r="K55" i="5" s="1"/>
  <c r="J59" i="5"/>
  <c r="K59" i="5" s="1"/>
  <c r="J64" i="5"/>
  <c r="K64" i="5" s="1"/>
  <c r="M64" i="5"/>
  <c r="J68" i="5"/>
  <c r="K68" i="5" s="1"/>
  <c r="J73" i="5"/>
  <c r="K73" i="5" s="1"/>
  <c r="M73" i="5"/>
  <c r="M79" i="5"/>
  <c r="J82" i="5"/>
  <c r="K82" i="5" s="1"/>
  <c r="J87" i="5"/>
  <c r="K87" i="5" s="1"/>
  <c r="J91" i="5"/>
  <c r="K91" i="5" s="1"/>
  <c r="J96" i="5"/>
  <c r="K96" i="5" s="1"/>
  <c r="M96" i="5"/>
  <c r="J100" i="5"/>
  <c r="K100" i="5" s="1"/>
  <c r="J105" i="5"/>
  <c r="K105" i="5" s="1"/>
  <c r="M105" i="5"/>
  <c r="M110" i="5"/>
  <c r="M114" i="5"/>
  <c r="J124" i="5"/>
  <c r="K124" i="5" s="1"/>
  <c r="J128" i="5"/>
  <c r="K128" i="5" s="1"/>
  <c r="M128" i="5"/>
  <c r="M133" i="5"/>
  <c r="M140" i="5"/>
  <c r="J143" i="5"/>
  <c r="K143" i="5" s="1"/>
  <c r="J153" i="5"/>
  <c r="K153" i="5" s="1"/>
  <c r="M153" i="5"/>
  <c r="M154" i="5"/>
  <c r="J156" i="5"/>
  <c r="K156" i="5" s="1"/>
  <c r="J169" i="5"/>
  <c r="K169" i="5" s="1"/>
  <c r="M169" i="5"/>
  <c r="M170" i="5"/>
  <c r="J172" i="5"/>
  <c r="K172" i="5" s="1"/>
  <c r="J185" i="5"/>
  <c r="K185" i="5" s="1"/>
  <c r="M185" i="5"/>
  <c r="M186" i="5"/>
  <c r="J188" i="5"/>
  <c r="K188" i="5" s="1"/>
  <c r="M204" i="5"/>
  <c r="J212" i="5"/>
  <c r="K212" i="5" s="1"/>
  <c r="J218" i="5"/>
  <c r="K218" i="5" s="1"/>
  <c r="M218" i="5"/>
  <c r="M236" i="5"/>
  <c r="J244" i="5"/>
  <c r="K244" i="5" s="1"/>
  <c r="J250" i="5"/>
  <c r="K250" i="5" s="1"/>
  <c r="M250" i="5"/>
  <c r="M268" i="5"/>
  <c r="J276" i="5"/>
  <c r="K276" i="5" s="1"/>
  <c r="J296" i="5"/>
  <c r="K296" i="5" s="1"/>
  <c r="M348" i="5"/>
  <c r="J348" i="5"/>
  <c r="K348" i="5" s="1"/>
  <c r="M364" i="5"/>
  <c r="J364" i="5"/>
  <c r="K364" i="5" s="1"/>
  <c r="M380" i="5"/>
  <c r="J380" i="5"/>
  <c r="K380" i="5" s="1"/>
  <c r="M396" i="5"/>
  <c r="J396" i="5"/>
  <c r="K396" i="5" s="1"/>
  <c r="M412" i="5"/>
  <c r="J412" i="5"/>
  <c r="K412" i="5" s="1"/>
  <c r="J440" i="5"/>
  <c r="K440" i="5" s="1"/>
  <c r="M480" i="5"/>
  <c r="J511" i="5"/>
  <c r="K511" i="5" s="1"/>
  <c r="J7" i="5"/>
  <c r="K7" i="5" s="1"/>
  <c r="J31" i="5"/>
  <c r="K31" i="5" s="1"/>
  <c r="J39" i="5"/>
  <c r="K39" i="5" s="1"/>
  <c r="M74" i="5"/>
  <c r="J116" i="5"/>
  <c r="K116" i="5" s="1"/>
  <c r="J120" i="5"/>
  <c r="K120" i="5" s="1"/>
  <c r="M120" i="5"/>
  <c r="M125" i="5"/>
  <c r="J135" i="5"/>
  <c r="K135" i="5" s="1"/>
  <c r="J146" i="5"/>
  <c r="K146" i="5" s="1"/>
  <c r="M147" i="5"/>
  <c r="M150" i="5"/>
  <c r="M157" i="5"/>
  <c r="J159" i="5"/>
  <c r="K159" i="5" s="1"/>
  <c r="J162" i="5"/>
  <c r="K162" i="5" s="1"/>
  <c r="M163" i="5"/>
  <c r="M166" i="5"/>
  <c r="M173" i="5"/>
  <c r="J175" i="5"/>
  <c r="K175" i="5" s="1"/>
  <c r="J178" i="5"/>
  <c r="K178" i="5" s="1"/>
  <c r="M179" i="5"/>
  <c r="M182" i="5"/>
  <c r="M189" i="5"/>
  <c r="J191" i="5"/>
  <c r="K191" i="5" s="1"/>
  <c r="J194" i="5"/>
  <c r="K194" i="5" s="1"/>
  <c r="M195" i="5"/>
  <c r="M198" i="5"/>
  <c r="M207" i="5"/>
  <c r="J209" i="5"/>
  <c r="K209" i="5" s="1"/>
  <c r="M209" i="5"/>
  <c r="M213" i="5"/>
  <c r="M227" i="5"/>
  <c r="M230" i="5"/>
  <c r="M239" i="5"/>
  <c r="J241" i="5"/>
  <c r="K241" i="5" s="1"/>
  <c r="M241" i="5"/>
  <c r="M245" i="5"/>
  <c r="M271" i="5"/>
  <c r="J273" i="5"/>
  <c r="K273" i="5" s="1"/>
  <c r="M273" i="5"/>
  <c r="M279" i="5"/>
  <c r="J279" i="5"/>
  <c r="K279" i="5" s="1"/>
  <c r="J312" i="5"/>
  <c r="K312" i="5" s="1"/>
  <c r="M345" i="5"/>
  <c r="M361" i="5"/>
  <c r="M377" i="5"/>
  <c r="M433" i="5"/>
  <c r="M447" i="5"/>
  <c r="J447" i="5"/>
  <c r="K447" i="5" s="1"/>
  <c r="J466" i="5"/>
  <c r="K466" i="5" s="1"/>
  <c r="J489" i="5"/>
  <c r="K489" i="5" s="1"/>
  <c r="M489" i="5"/>
  <c r="J530" i="5"/>
  <c r="K530" i="5" s="1"/>
  <c r="J537" i="5"/>
  <c r="K537" i="5" s="1"/>
  <c r="M537" i="5"/>
  <c r="M642" i="5"/>
  <c r="J644" i="5"/>
  <c r="K644" i="5" s="1"/>
  <c r="M679" i="5"/>
  <c r="J679" i="5"/>
  <c r="K679" i="5" s="1"/>
  <c r="J11" i="5"/>
  <c r="K11" i="5" s="1"/>
  <c r="J35" i="5"/>
  <c r="K35" i="5" s="1"/>
  <c r="M76" i="5"/>
  <c r="M12" i="5"/>
  <c r="J25" i="5"/>
  <c r="K25" i="5" s="1"/>
  <c r="M52" i="5"/>
  <c r="M75" i="5"/>
  <c r="J132" i="5"/>
  <c r="K132" i="5" s="1"/>
  <c r="J201" i="5"/>
  <c r="K201" i="5" s="1"/>
  <c r="M201" i="5"/>
  <c r="M205" i="5"/>
  <c r="M231" i="5"/>
  <c r="M288" i="5"/>
  <c r="J15" i="5"/>
  <c r="K15" i="5" s="1"/>
  <c r="M26" i="5"/>
  <c r="M34" i="5"/>
  <c r="M51" i="5"/>
  <c r="M83" i="5"/>
  <c r="J6" i="5"/>
  <c r="K6" i="5" s="1"/>
  <c r="J14" i="5"/>
  <c r="K14" i="5" s="1"/>
  <c r="M17" i="5"/>
  <c r="J22" i="5"/>
  <c r="K22" i="5" s="1"/>
  <c r="M25" i="5"/>
  <c r="J30" i="5"/>
  <c r="K30" i="5" s="1"/>
  <c r="M33" i="5"/>
  <c r="J38" i="5"/>
  <c r="K38" i="5" s="1"/>
  <c r="J44" i="5"/>
  <c r="K44" i="5" s="1"/>
  <c r="M46" i="5"/>
  <c r="J49" i="5"/>
  <c r="K49" i="5" s="1"/>
  <c r="M49" i="5"/>
  <c r="M55" i="5"/>
  <c r="J58" i="5"/>
  <c r="K58" i="5" s="1"/>
  <c r="J63" i="5"/>
  <c r="K63" i="5" s="1"/>
  <c r="J67" i="5"/>
  <c r="K67" i="5" s="1"/>
  <c r="J72" i="5"/>
  <c r="K72" i="5" s="1"/>
  <c r="M72" i="5"/>
  <c r="J76" i="5"/>
  <c r="K76" i="5" s="1"/>
  <c r="J81" i="5"/>
  <c r="K81" i="5" s="1"/>
  <c r="M81" i="5"/>
  <c r="M87" i="5"/>
  <c r="J90" i="5"/>
  <c r="K90" i="5" s="1"/>
  <c r="J95" i="5"/>
  <c r="K95" i="5" s="1"/>
  <c r="J99" i="5"/>
  <c r="K99" i="5" s="1"/>
  <c r="J104" i="5"/>
  <c r="K104" i="5" s="1"/>
  <c r="M104" i="5"/>
  <c r="J108" i="5"/>
  <c r="K108" i="5" s="1"/>
  <c r="J112" i="5"/>
  <c r="K112" i="5" s="1"/>
  <c r="M112" i="5"/>
  <c r="M117" i="5"/>
  <c r="M124" i="5"/>
  <c r="J127" i="5"/>
  <c r="K127" i="5" s="1"/>
  <c r="J138" i="5"/>
  <c r="K138" i="5" s="1"/>
  <c r="M143" i="5"/>
  <c r="M156" i="5"/>
  <c r="M172" i="5"/>
  <c r="M188" i="5"/>
  <c r="M212" i="5"/>
  <c r="J220" i="5"/>
  <c r="K220" i="5" s="1"/>
  <c r="J226" i="5"/>
  <c r="K226" i="5" s="1"/>
  <c r="M226" i="5"/>
  <c r="M244" i="5"/>
  <c r="J252" i="5"/>
  <c r="K252" i="5" s="1"/>
  <c r="J258" i="5"/>
  <c r="K258" i="5" s="1"/>
  <c r="M258" i="5"/>
  <c r="M276" i="5"/>
  <c r="J345" i="5"/>
  <c r="K345" i="5" s="1"/>
  <c r="J361" i="5"/>
  <c r="K361" i="5" s="1"/>
  <c r="J377" i="5"/>
  <c r="K377" i="5" s="1"/>
  <c r="J393" i="5"/>
  <c r="K393" i="5" s="1"/>
  <c r="J409" i="5"/>
  <c r="K409" i="5" s="1"/>
  <c r="J425" i="5"/>
  <c r="K425" i="5" s="1"/>
  <c r="J442" i="5"/>
  <c r="K442" i="5" s="1"/>
  <c r="M470" i="5"/>
  <c r="M482" i="5"/>
  <c r="M527" i="5"/>
  <c r="M672" i="5"/>
  <c r="J674" i="5"/>
  <c r="K674" i="5" s="1"/>
  <c r="J9" i="5"/>
  <c r="K9" i="5" s="1"/>
  <c r="M20" i="5"/>
  <c r="M36" i="5"/>
  <c r="J113" i="5"/>
  <c r="K113" i="5" s="1"/>
  <c r="M113" i="5"/>
  <c r="M151" i="5"/>
  <c r="M199" i="5"/>
  <c r="M222" i="5"/>
  <c r="M237" i="5"/>
  <c r="J265" i="5"/>
  <c r="K265" i="5" s="1"/>
  <c r="M265" i="5"/>
  <c r="M511" i="5"/>
  <c r="M10" i="5"/>
  <c r="J23" i="5"/>
  <c r="K23" i="5" s="1"/>
  <c r="M41" i="5"/>
  <c r="M106" i="5"/>
  <c r="J5" i="5"/>
  <c r="K5" i="5" s="1"/>
  <c r="M8" i="5"/>
  <c r="J13" i="5"/>
  <c r="K13" i="5" s="1"/>
  <c r="M16" i="5"/>
  <c r="J21" i="5"/>
  <c r="K21" i="5" s="1"/>
  <c r="M24" i="5"/>
  <c r="J29" i="5"/>
  <c r="K29" i="5" s="1"/>
  <c r="M32" i="5"/>
  <c r="J37" i="5"/>
  <c r="K37" i="5" s="1"/>
  <c r="J43" i="5"/>
  <c r="K43" i="5" s="1"/>
  <c r="M50" i="5"/>
  <c r="M59" i="5"/>
  <c r="M68" i="5"/>
  <c r="M82" i="5"/>
  <c r="M91" i="5"/>
  <c r="M100" i="5"/>
  <c r="M109" i="5"/>
  <c r="M116" i="5"/>
  <c r="J119" i="5"/>
  <c r="K119" i="5" s="1"/>
  <c r="J130" i="5"/>
  <c r="K130" i="5" s="1"/>
  <c r="M135" i="5"/>
  <c r="M139" i="5"/>
  <c r="J145" i="5"/>
  <c r="K145" i="5" s="1"/>
  <c r="M145" i="5"/>
  <c r="M159" i="5"/>
  <c r="M175" i="5"/>
  <c r="M191" i="5"/>
  <c r="M203" i="5"/>
  <c r="M206" i="5"/>
  <c r="M215" i="5"/>
  <c r="J217" i="5"/>
  <c r="K217" i="5" s="1"/>
  <c r="M217" i="5"/>
  <c r="M221" i="5"/>
  <c r="M235" i="5"/>
  <c r="M247" i="5"/>
  <c r="J249" i="5"/>
  <c r="K249" i="5" s="1"/>
  <c r="M249" i="5"/>
  <c r="M253" i="5"/>
  <c r="M303" i="5"/>
  <c r="J303" i="5"/>
  <c r="K303" i="5" s="1"/>
  <c r="J308" i="5"/>
  <c r="K308" i="5" s="1"/>
  <c r="M311" i="5"/>
  <c r="J319" i="5"/>
  <c r="K319" i="5" s="1"/>
  <c r="M327" i="5"/>
  <c r="J327" i="5"/>
  <c r="K327" i="5" s="1"/>
  <c r="J527" i="5"/>
  <c r="K527" i="5" s="1"/>
  <c r="M22" i="5"/>
  <c r="M38" i="5"/>
  <c r="M28" i="5"/>
  <c r="M84" i="5"/>
  <c r="M107" i="5"/>
  <c r="M122" i="5"/>
  <c r="M141" i="5"/>
  <c r="M183" i="5"/>
  <c r="J233" i="5"/>
  <c r="K233" i="5" s="1"/>
  <c r="M233" i="5"/>
  <c r="M269" i="5"/>
  <c r="M304" i="5"/>
  <c r="J304" i="5"/>
  <c r="K304" i="5" s="1"/>
  <c r="J336" i="5"/>
  <c r="K336" i="5" s="1"/>
  <c r="M2" i="5"/>
  <c r="M18" i="5"/>
  <c r="M60" i="5"/>
  <c r="M92" i="5"/>
  <c r="J4" i="5"/>
  <c r="K4" i="5" s="1"/>
  <c r="M7" i="5"/>
  <c r="J12" i="5"/>
  <c r="K12" i="5" s="1"/>
  <c r="M15" i="5"/>
  <c r="J20" i="5"/>
  <c r="K20" i="5" s="1"/>
  <c r="M23" i="5"/>
  <c r="J28" i="5"/>
  <c r="K28" i="5" s="1"/>
  <c r="M31" i="5"/>
  <c r="J36" i="5"/>
  <c r="K36" i="5" s="1"/>
  <c r="M39" i="5"/>
  <c r="M45" i="5"/>
  <c r="J48" i="5"/>
  <c r="K48" i="5" s="1"/>
  <c r="M48" i="5"/>
  <c r="J52" i="5"/>
  <c r="K52" i="5" s="1"/>
  <c r="M54" i="5"/>
  <c r="J57" i="5"/>
  <c r="K57" i="5" s="1"/>
  <c r="M57" i="5"/>
  <c r="M63" i="5"/>
  <c r="J66" i="5"/>
  <c r="K66" i="5" s="1"/>
  <c r="J71" i="5"/>
  <c r="K71" i="5" s="1"/>
  <c r="J75" i="5"/>
  <c r="K75" i="5" s="1"/>
  <c r="M77" i="5"/>
  <c r="J80" i="5"/>
  <c r="K80" i="5" s="1"/>
  <c r="M80" i="5"/>
  <c r="J84" i="5"/>
  <c r="K84" i="5" s="1"/>
  <c r="J89" i="5"/>
  <c r="K89" i="5" s="1"/>
  <c r="M89" i="5"/>
  <c r="M95" i="5"/>
  <c r="J98" i="5"/>
  <c r="K98" i="5" s="1"/>
  <c r="J103" i="5"/>
  <c r="K103" i="5" s="1"/>
  <c r="J111" i="5"/>
  <c r="K111" i="5" s="1"/>
  <c r="J122" i="5"/>
  <c r="K122" i="5" s="1"/>
  <c r="M127" i="5"/>
  <c r="J137" i="5"/>
  <c r="K137" i="5" s="1"/>
  <c r="M137" i="5"/>
  <c r="M142" i="5"/>
  <c r="M146" i="5"/>
  <c r="J148" i="5"/>
  <c r="K148" i="5" s="1"/>
  <c r="J161" i="5"/>
  <c r="K161" i="5" s="1"/>
  <c r="M161" i="5"/>
  <c r="M162" i="5"/>
  <c r="J164" i="5"/>
  <c r="K164" i="5" s="1"/>
  <c r="J177" i="5"/>
  <c r="K177" i="5" s="1"/>
  <c r="M177" i="5"/>
  <c r="M178" i="5"/>
  <c r="J180" i="5"/>
  <c r="K180" i="5" s="1"/>
  <c r="J193" i="5"/>
  <c r="K193" i="5" s="1"/>
  <c r="M193" i="5"/>
  <c r="M194" i="5"/>
  <c r="J196" i="5"/>
  <c r="K196" i="5" s="1"/>
  <c r="J202" i="5"/>
  <c r="K202" i="5" s="1"/>
  <c r="M202" i="5"/>
  <c r="J228" i="5"/>
  <c r="K228" i="5" s="1"/>
  <c r="J234" i="5"/>
  <c r="K234" i="5" s="1"/>
  <c r="M234" i="5"/>
  <c r="M252" i="5"/>
  <c r="J260" i="5"/>
  <c r="K260" i="5" s="1"/>
  <c r="J266" i="5"/>
  <c r="K266" i="5" s="1"/>
  <c r="M266" i="5"/>
  <c r="M281" i="5"/>
  <c r="J281" i="5"/>
  <c r="K281" i="5" s="1"/>
  <c r="J290" i="5"/>
  <c r="K290" i="5" s="1"/>
  <c r="J311" i="5"/>
  <c r="K311" i="5" s="1"/>
  <c r="J324" i="5"/>
  <c r="K324" i="5" s="1"/>
  <c r="M340" i="5"/>
  <c r="J340" i="5"/>
  <c r="K340" i="5" s="1"/>
  <c r="M356" i="5"/>
  <c r="J356" i="5"/>
  <c r="K356" i="5" s="1"/>
  <c r="M372" i="5"/>
  <c r="J372" i="5"/>
  <c r="K372" i="5" s="1"/>
  <c r="M388" i="5"/>
  <c r="J388" i="5"/>
  <c r="K388" i="5" s="1"/>
  <c r="M404" i="5"/>
  <c r="J404" i="5"/>
  <c r="K404" i="5" s="1"/>
  <c r="M420" i="5"/>
  <c r="J420" i="5"/>
  <c r="K420" i="5" s="1"/>
  <c r="M432" i="5"/>
  <c r="J524" i="5"/>
  <c r="K524" i="5" s="1"/>
  <c r="M560" i="5"/>
  <c r="M562" i="5"/>
  <c r="J562" i="5"/>
  <c r="K562" i="5" s="1"/>
  <c r="J107" i="5"/>
  <c r="K107" i="5" s="1"/>
  <c r="J115" i="5"/>
  <c r="K115" i="5" s="1"/>
  <c r="J123" i="5"/>
  <c r="K123" i="5" s="1"/>
  <c r="J131" i="5"/>
  <c r="K131" i="5" s="1"/>
  <c r="J139" i="5"/>
  <c r="K139" i="5" s="1"/>
  <c r="J147" i="5"/>
  <c r="K147" i="5" s="1"/>
  <c r="J155" i="5"/>
  <c r="K155" i="5" s="1"/>
  <c r="J163" i="5"/>
  <c r="K163" i="5" s="1"/>
  <c r="J171" i="5"/>
  <c r="K171" i="5" s="1"/>
  <c r="J179" i="5"/>
  <c r="K179" i="5" s="1"/>
  <c r="J187" i="5"/>
  <c r="K187" i="5" s="1"/>
  <c r="J195" i="5"/>
  <c r="K195" i="5" s="1"/>
  <c r="J203" i="5"/>
  <c r="K203" i="5" s="1"/>
  <c r="J211" i="5"/>
  <c r="K211" i="5" s="1"/>
  <c r="J219" i="5"/>
  <c r="K219" i="5" s="1"/>
  <c r="J227" i="5"/>
  <c r="K227" i="5" s="1"/>
  <c r="J235" i="5"/>
  <c r="K235" i="5" s="1"/>
  <c r="J243" i="5"/>
  <c r="K243" i="5" s="1"/>
  <c r="J251" i="5"/>
  <c r="K251" i="5" s="1"/>
  <c r="J259" i="5"/>
  <c r="K259" i="5" s="1"/>
  <c r="J267" i="5"/>
  <c r="K267" i="5" s="1"/>
  <c r="J275" i="5"/>
  <c r="K275" i="5" s="1"/>
  <c r="M280" i="5"/>
  <c r="M285" i="5"/>
  <c r="J285" i="5"/>
  <c r="K285" i="5" s="1"/>
  <c r="M289" i="5"/>
  <c r="M296" i="5"/>
  <c r="M319" i="5"/>
  <c r="M323" i="5"/>
  <c r="J323" i="5"/>
  <c r="K323" i="5" s="1"/>
  <c r="M440" i="5"/>
  <c r="J461" i="5"/>
  <c r="K461" i="5" s="1"/>
  <c r="M461" i="5"/>
  <c r="M464" i="5"/>
  <c r="M487" i="5"/>
  <c r="J487" i="5"/>
  <c r="K487" i="5" s="1"/>
  <c r="J533" i="5"/>
  <c r="K533" i="5" s="1"/>
  <c r="J152" i="5"/>
  <c r="K152" i="5" s="1"/>
  <c r="J160" i="5"/>
  <c r="K160" i="5" s="1"/>
  <c r="J168" i="5"/>
  <c r="K168" i="5" s="1"/>
  <c r="J176" i="5"/>
  <c r="K176" i="5" s="1"/>
  <c r="J184" i="5"/>
  <c r="K184" i="5" s="1"/>
  <c r="J192" i="5"/>
  <c r="K192" i="5" s="1"/>
  <c r="J200" i="5"/>
  <c r="K200" i="5" s="1"/>
  <c r="J208" i="5"/>
  <c r="K208" i="5" s="1"/>
  <c r="J216" i="5"/>
  <c r="K216" i="5" s="1"/>
  <c r="J224" i="5"/>
  <c r="K224" i="5" s="1"/>
  <c r="J232" i="5"/>
  <c r="K232" i="5" s="1"/>
  <c r="J240" i="5"/>
  <c r="K240" i="5" s="1"/>
  <c r="J248" i="5"/>
  <c r="K248" i="5" s="1"/>
  <c r="J256" i="5"/>
  <c r="K256" i="5" s="1"/>
  <c r="J264" i="5"/>
  <c r="K264" i="5" s="1"/>
  <c r="J272" i="5"/>
  <c r="K272" i="5" s="1"/>
  <c r="M295" i="5"/>
  <c r="M299" i="5"/>
  <c r="J299" i="5"/>
  <c r="K299" i="5" s="1"/>
  <c r="M318" i="5"/>
  <c r="J318" i="5"/>
  <c r="K318" i="5" s="1"/>
  <c r="M430" i="5"/>
  <c r="J430" i="5"/>
  <c r="K430" i="5" s="1"/>
  <c r="J454" i="5"/>
  <c r="K454" i="5" s="1"/>
  <c r="J481" i="5"/>
  <c r="K481" i="5" s="1"/>
  <c r="M481" i="5"/>
  <c r="M491" i="5"/>
  <c r="J491" i="5"/>
  <c r="K491" i="5" s="1"/>
  <c r="J510" i="5"/>
  <c r="K510" i="5" s="1"/>
  <c r="J549" i="5"/>
  <c r="K549" i="5" s="1"/>
  <c r="M549" i="5"/>
  <c r="M568" i="5"/>
  <c r="M570" i="5"/>
  <c r="M671" i="5"/>
  <c r="J671" i="5"/>
  <c r="K671" i="5" s="1"/>
  <c r="J207" i="5"/>
  <c r="K207" i="5" s="1"/>
  <c r="J215" i="5"/>
  <c r="K215" i="5" s="1"/>
  <c r="J223" i="5"/>
  <c r="K223" i="5" s="1"/>
  <c r="J231" i="5"/>
  <c r="K231" i="5" s="1"/>
  <c r="J239" i="5"/>
  <c r="K239" i="5" s="1"/>
  <c r="J247" i="5"/>
  <c r="K247" i="5" s="1"/>
  <c r="J255" i="5"/>
  <c r="K255" i="5" s="1"/>
  <c r="J263" i="5"/>
  <c r="K263" i="5" s="1"/>
  <c r="J271" i="5"/>
  <c r="K271" i="5" s="1"/>
  <c r="M278" i="5"/>
  <c r="M283" i="5"/>
  <c r="J283" i="5"/>
  <c r="K283" i="5" s="1"/>
  <c r="M287" i="5"/>
  <c r="M291" i="5"/>
  <c r="J291" i="5"/>
  <c r="K291" i="5" s="1"/>
  <c r="M310" i="5"/>
  <c r="J310" i="5"/>
  <c r="K310" i="5" s="1"/>
  <c r="M321" i="5"/>
  <c r="M328" i="5"/>
  <c r="M335" i="5"/>
  <c r="M451" i="5"/>
  <c r="J451" i="5"/>
  <c r="K451" i="5" s="1"/>
  <c r="J457" i="5"/>
  <c r="K457" i="5" s="1"/>
  <c r="M457" i="5"/>
  <c r="M462" i="5"/>
  <c r="J478" i="5"/>
  <c r="K478" i="5" s="1"/>
  <c r="M507" i="5"/>
  <c r="J507" i="5"/>
  <c r="K507" i="5" s="1"/>
  <c r="J518" i="5"/>
  <c r="K518" i="5" s="1"/>
  <c r="J521" i="5"/>
  <c r="K521" i="5" s="1"/>
  <c r="M521" i="5"/>
  <c r="J534" i="5"/>
  <c r="K534" i="5" s="1"/>
  <c r="M534" i="5"/>
  <c r="J636" i="5"/>
  <c r="K636" i="5" s="1"/>
  <c r="J54" i="5"/>
  <c r="K54" i="5" s="1"/>
  <c r="J62" i="5"/>
  <c r="K62" i="5" s="1"/>
  <c r="J70" i="5"/>
  <c r="K70" i="5" s="1"/>
  <c r="J78" i="5"/>
  <c r="K78" i="5" s="1"/>
  <c r="J86" i="5"/>
  <c r="K86" i="5" s="1"/>
  <c r="J94" i="5"/>
  <c r="K94" i="5" s="1"/>
  <c r="J102" i="5"/>
  <c r="K102" i="5" s="1"/>
  <c r="J110" i="5"/>
  <c r="K110" i="5" s="1"/>
  <c r="J118" i="5"/>
  <c r="K118" i="5" s="1"/>
  <c r="J126" i="5"/>
  <c r="K126" i="5" s="1"/>
  <c r="J134" i="5"/>
  <c r="K134" i="5" s="1"/>
  <c r="J142" i="5"/>
  <c r="K142" i="5" s="1"/>
  <c r="J150" i="5"/>
  <c r="K150" i="5" s="1"/>
  <c r="J158" i="5"/>
  <c r="K158" i="5" s="1"/>
  <c r="J166" i="5"/>
  <c r="K166" i="5" s="1"/>
  <c r="J174" i="5"/>
  <c r="K174" i="5" s="1"/>
  <c r="J182" i="5"/>
  <c r="K182" i="5" s="1"/>
  <c r="J190" i="5"/>
  <c r="K190" i="5" s="1"/>
  <c r="J198" i="5"/>
  <c r="K198" i="5" s="1"/>
  <c r="J206" i="5"/>
  <c r="K206" i="5" s="1"/>
  <c r="J214" i="5"/>
  <c r="K214" i="5" s="1"/>
  <c r="J222" i="5"/>
  <c r="K222" i="5" s="1"/>
  <c r="J230" i="5"/>
  <c r="K230" i="5" s="1"/>
  <c r="J238" i="5"/>
  <c r="K238" i="5" s="1"/>
  <c r="J246" i="5"/>
  <c r="K246" i="5" s="1"/>
  <c r="J254" i="5"/>
  <c r="K254" i="5" s="1"/>
  <c r="J262" i="5"/>
  <c r="K262" i="5" s="1"/>
  <c r="J270" i="5"/>
  <c r="K270" i="5" s="1"/>
  <c r="J278" i="5"/>
  <c r="K278" i="5" s="1"/>
  <c r="J287" i="5"/>
  <c r="K287" i="5" s="1"/>
  <c r="M302" i="5"/>
  <c r="J302" i="5"/>
  <c r="K302" i="5" s="1"/>
  <c r="M313" i="5"/>
  <c r="M320" i="5"/>
  <c r="J321" i="5"/>
  <c r="K321" i="5" s="1"/>
  <c r="J328" i="5"/>
  <c r="K328" i="5" s="1"/>
  <c r="J335" i="5"/>
  <c r="K335" i="5" s="1"/>
  <c r="M341" i="5"/>
  <c r="M344" i="5"/>
  <c r="J344" i="5"/>
  <c r="K344" i="5" s="1"/>
  <c r="M349" i="5"/>
  <c r="M352" i="5"/>
  <c r="J352" i="5"/>
  <c r="K352" i="5" s="1"/>
  <c r="M357" i="5"/>
  <c r="M360" i="5"/>
  <c r="J360" i="5"/>
  <c r="K360" i="5" s="1"/>
  <c r="M365" i="5"/>
  <c r="M368" i="5"/>
  <c r="J368" i="5"/>
  <c r="K368" i="5" s="1"/>
  <c r="M373" i="5"/>
  <c r="M376" i="5"/>
  <c r="J376" i="5"/>
  <c r="K376" i="5" s="1"/>
  <c r="M381" i="5"/>
  <c r="M384" i="5"/>
  <c r="J384" i="5"/>
  <c r="K384" i="5" s="1"/>
  <c r="M392" i="5"/>
  <c r="J392" i="5"/>
  <c r="K392" i="5" s="1"/>
  <c r="M400" i="5"/>
  <c r="J400" i="5"/>
  <c r="K400" i="5" s="1"/>
  <c r="M408" i="5"/>
  <c r="J408" i="5"/>
  <c r="K408" i="5" s="1"/>
  <c r="M416" i="5"/>
  <c r="J416" i="5"/>
  <c r="K416" i="5" s="1"/>
  <c r="M424" i="5"/>
  <c r="M446" i="5"/>
  <c r="M449" i="5"/>
  <c r="M465" i="5"/>
  <c r="J493" i="5"/>
  <c r="K493" i="5" s="1"/>
  <c r="M493" i="5"/>
  <c r="M496" i="5"/>
  <c r="M531" i="5"/>
  <c r="J531" i="5"/>
  <c r="K531" i="5" s="1"/>
  <c r="J541" i="5"/>
  <c r="K541" i="5" s="1"/>
  <c r="J45" i="5"/>
  <c r="K45" i="5" s="1"/>
  <c r="J53" i="5"/>
  <c r="K53" i="5" s="1"/>
  <c r="J61" i="5"/>
  <c r="K61" i="5" s="1"/>
  <c r="J69" i="5"/>
  <c r="K69" i="5" s="1"/>
  <c r="J77" i="5"/>
  <c r="K77" i="5" s="1"/>
  <c r="J85" i="5"/>
  <c r="K85" i="5" s="1"/>
  <c r="J93" i="5"/>
  <c r="K93" i="5" s="1"/>
  <c r="J101" i="5"/>
  <c r="K101" i="5" s="1"/>
  <c r="J109" i="5"/>
  <c r="K109" i="5" s="1"/>
  <c r="J117" i="5"/>
  <c r="K117" i="5" s="1"/>
  <c r="J125" i="5"/>
  <c r="K125" i="5" s="1"/>
  <c r="J133" i="5"/>
  <c r="K133" i="5" s="1"/>
  <c r="J141" i="5"/>
  <c r="K141" i="5" s="1"/>
  <c r="J149" i="5"/>
  <c r="K149" i="5" s="1"/>
  <c r="M152" i="5"/>
  <c r="J157" i="5"/>
  <c r="K157" i="5" s="1"/>
  <c r="M160" i="5"/>
  <c r="J165" i="5"/>
  <c r="K165" i="5" s="1"/>
  <c r="M168" i="5"/>
  <c r="J173" i="5"/>
  <c r="K173" i="5" s="1"/>
  <c r="M176" i="5"/>
  <c r="J181" i="5"/>
  <c r="K181" i="5" s="1"/>
  <c r="M184" i="5"/>
  <c r="J189" i="5"/>
  <c r="K189" i="5" s="1"/>
  <c r="M192" i="5"/>
  <c r="J197" i="5"/>
  <c r="K197" i="5" s="1"/>
  <c r="M200" i="5"/>
  <c r="J205" i="5"/>
  <c r="K205" i="5" s="1"/>
  <c r="M208" i="5"/>
  <c r="J213" i="5"/>
  <c r="K213" i="5" s="1"/>
  <c r="M216" i="5"/>
  <c r="J221" i="5"/>
  <c r="K221" i="5" s="1"/>
  <c r="M224" i="5"/>
  <c r="J229" i="5"/>
  <c r="K229" i="5" s="1"/>
  <c r="M232" i="5"/>
  <c r="J237" i="5"/>
  <c r="K237" i="5" s="1"/>
  <c r="M240" i="5"/>
  <c r="J245" i="5"/>
  <c r="K245" i="5" s="1"/>
  <c r="M248" i="5"/>
  <c r="J253" i="5"/>
  <c r="K253" i="5" s="1"/>
  <c r="M256" i="5"/>
  <c r="J261" i="5"/>
  <c r="K261" i="5" s="1"/>
  <c r="M264" i="5"/>
  <c r="J269" i="5"/>
  <c r="K269" i="5" s="1"/>
  <c r="M272" i="5"/>
  <c r="M277" i="5"/>
  <c r="J277" i="5"/>
  <c r="K277" i="5" s="1"/>
  <c r="M286" i="5"/>
  <c r="M294" i="5"/>
  <c r="J294" i="5"/>
  <c r="K294" i="5" s="1"/>
  <c r="M305" i="5"/>
  <c r="M312" i="5"/>
  <c r="J313" i="5"/>
  <c r="K313" i="5" s="1"/>
  <c r="J320" i="5"/>
  <c r="K320" i="5" s="1"/>
  <c r="M331" i="5"/>
  <c r="J331" i="5"/>
  <c r="K331" i="5" s="1"/>
  <c r="J341" i="5"/>
  <c r="K341" i="5" s="1"/>
  <c r="J349" i="5"/>
  <c r="K349" i="5" s="1"/>
  <c r="J357" i="5"/>
  <c r="K357" i="5" s="1"/>
  <c r="J365" i="5"/>
  <c r="K365" i="5" s="1"/>
  <c r="J373" i="5"/>
  <c r="K373" i="5" s="1"/>
  <c r="J381" i="5"/>
  <c r="K381" i="5" s="1"/>
  <c r="M459" i="5"/>
  <c r="J459" i="5"/>
  <c r="K459" i="5" s="1"/>
  <c r="J485" i="5"/>
  <c r="K485" i="5" s="1"/>
  <c r="M485" i="5"/>
  <c r="M504" i="5"/>
  <c r="M536" i="5"/>
  <c r="M538" i="5"/>
  <c r="J538" i="5"/>
  <c r="K538" i="5" s="1"/>
  <c r="M293" i="5"/>
  <c r="M301" i="5"/>
  <c r="M309" i="5"/>
  <c r="M317" i="5"/>
  <c r="M325" i="5"/>
  <c r="M333" i="5"/>
  <c r="M439" i="5"/>
  <c r="M443" i="5"/>
  <c r="J443" i="5"/>
  <c r="K443" i="5" s="1"/>
  <c r="J473" i="5"/>
  <c r="K473" i="5" s="1"/>
  <c r="J477" i="5"/>
  <c r="K477" i="5" s="1"/>
  <c r="M477" i="5"/>
  <c r="M503" i="5"/>
  <c r="J517" i="5"/>
  <c r="K517" i="5" s="1"/>
  <c r="M517" i="5"/>
  <c r="M523" i="5"/>
  <c r="J523" i="5"/>
  <c r="K523" i="5" s="1"/>
  <c r="J526" i="5"/>
  <c r="K526" i="5" s="1"/>
  <c r="J529" i="5"/>
  <c r="K529" i="5" s="1"/>
  <c r="M535" i="5"/>
  <c r="M543" i="5"/>
  <c r="J543" i="5"/>
  <c r="K543" i="5" s="1"/>
  <c r="M552" i="5"/>
  <c r="M554" i="5"/>
  <c r="J554" i="5"/>
  <c r="K554" i="5" s="1"/>
  <c r="M572" i="5"/>
  <c r="M577" i="5"/>
  <c r="M621" i="5"/>
  <c r="J621" i="5"/>
  <c r="K621" i="5" s="1"/>
  <c r="M638" i="5"/>
  <c r="J668" i="5"/>
  <c r="K668" i="5" s="1"/>
  <c r="J676" i="5"/>
  <c r="K676" i="5" s="1"/>
  <c r="M693" i="5"/>
  <c r="J693" i="5"/>
  <c r="K693" i="5" s="1"/>
  <c r="M709" i="5"/>
  <c r="J709" i="5"/>
  <c r="K709" i="5" s="1"/>
  <c r="J750" i="5"/>
  <c r="K750" i="5" s="1"/>
  <c r="M284" i="5"/>
  <c r="M292" i="5"/>
  <c r="J293" i="5"/>
  <c r="K293" i="5" s="1"/>
  <c r="M300" i="5"/>
  <c r="J301" i="5"/>
  <c r="K301" i="5" s="1"/>
  <c r="M308" i="5"/>
  <c r="J309" i="5"/>
  <c r="K309" i="5" s="1"/>
  <c r="M316" i="5"/>
  <c r="J317" i="5"/>
  <c r="K317" i="5" s="1"/>
  <c r="M324" i="5"/>
  <c r="J325" i="5"/>
  <c r="K325" i="5" s="1"/>
  <c r="M332" i="5"/>
  <c r="J333" i="5"/>
  <c r="K333" i="5" s="1"/>
  <c r="M339" i="5"/>
  <c r="M343" i="5"/>
  <c r="M347" i="5"/>
  <c r="M351" i="5"/>
  <c r="M355" i="5"/>
  <c r="M359" i="5"/>
  <c r="M363" i="5"/>
  <c r="M367" i="5"/>
  <c r="M371" i="5"/>
  <c r="M375" i="5"/>
  <c r="M379" i="5"/>
  <c r="M383" i="5"/>
  <c r="M387" i="5"/>
  <c r="M391" i="5"/>
  <c r="M395" i="5"/>
  <c r="M399" i="5"/>
  <c r="M403" i="5"/>
  <c r="M407" i="5"/>
  <c r="M411" i="5"/>
  <c r="M415" i="5"/>
  <c r="M419" i="5"/>
  <c r="M423" i="5"/>
  <c r="M427" i="5"/>
  <c r="M431" i="5"/>
  <c r="M435" i="5"/>
  <c r="J435" i="5"/>
  <c r="K435" i="5" s="1"/>
  <c r="J439" i="5"/>
  <c r="K439" i="5" s="1"/>
  <c r="J446" i="5"/>
  <c r="K446" i="5" s="1"/>
  <c r="J465" i="5"/>
  <c r="K465" i="5" s="1"/>
  <c r="J469" i="5"/>
  <c r="K469" i="5" s="1"/>
  <c r="M469" i="5"/>
  <c r="M495" i="5"/>
  <c r="M499" i="5"/>
  <c r="J499" i="5"/>
  <c r="K499" i="5" s="1"/>
  <c r="J503" i="5"/>
  <c r="K503" i="5" s="1"/>
  <c r="J513" i="5"/>
  <c r="K513" i="5" s="1"/>
  <c r="M559" i="5"/>
  <c r="J559" i="5"/>
  <c r="K559" i="5" s="1"/>
  <c r="M567" i="5"/>
  <c r="J567" i="5"/>
  <c r="K567" i="5" s="1"/>
  <c r="M613" i="5"/>
  <c r="J613" i="5"/>
  <c r="K613" i="5" s="1"/>
  <c r="M615" i="5"/>
  <c r="J615" i="5"/>
  <c r="K615" i="5" s="1"/>
  <c r="M630" i="5"/>
  <c r="M653" i="5"/>
  <c r="J653" i="5"/>
  <c r="K653" i="5" s="1"/>
  <c r="M670" i="5"/>
  <c r="M282" i="5"/>
  <c r="M290" i="5"/>
  <c r="M298" i="5"/>
  <c r="M306" i="5"/>
  <c r="M314" i="5"/>
  <c r="M322" i="5"/>
  <c r="M330" i="5"/>
  <c r="M338" i="5"/>
  <c r="M342" i="5"/>
  <c r="M346" i="5"/>
  <c r="M350" i="5"/>
  <c r="M354" i="5"/>
  <c r="M358" i="5"/>
  <c r="M362" i="5"/>
  <c r="M366" i="5"/>
  <c r="M370" i="5"/>
  <c r="M374" i="5"/>
  <c r="M378" i="5"/>
  <c r="M382" i="5"/>
  <c r="M386" i="5"/>
  <c r="M390" i="5"/>
  <c r="M394" i="5"/>
  <c r="M398" i="5"/>
  <c r="M402" i="5"/>
  <c r="M406" i="5"/>
  <c r="M410" i="5"/>
  <c r="M414" i="5"/>
  <c r="M418" i="5"/>
  <c r="M422" i="5"/>
  <c r="M426" i="5"/>
  <c r="J449" i="5"/>
  <c r="K449" i="5" s="1"/>
  <c r="J453" i="5"/>
  <c r="K453" i="5" s="1"/>
  <c r="M453" i="5"/>
  <c r="M479" i="5"/>
  <c r="M483" i="5"/>
  <c r="J483" i="5"/>
  <c r="K483" i="5" s="1"/>
  <c r="J509" i="5"/>
  <c r="K509" i="5" s="1"/>
  <c r="M509" i="5"/>
  <c r="M519" i="5"/>
  <c r="M576" i="5"/>
  <c r="M578" i="5"/>
  <c r="M593" i="5"/>
  <c r="J593" i="5"/>
  <c r="K593" i="5" s="1"/>
  <c r="M607" i="5"/>
  <c r="J607" i="5"/>
  <c r="K607" i="5" s="1"/>
  <c r="M645" i="5"/>
  <c r="J645" i="5"/>
  <c r="K645" i="5" s="1"/>
  <c r="M329" i="5"/>
  <c r="M337" i="5"/>
  <c r="J441" i="5"/>
  <c r="K441" i="5" s="1"/>
  <c r="J445" i="5"/>
  <c r="K445" i="5" s="1"/>
  <c r="M445" i="5"/>
  <c r="M471" i="5"/>
  <c r="M475" i="5"/>
  <c r="J475" i="5"/>
  <c r="K475" i="5" s="1"/>
  <c r="J505" i="5"/>
  <c r="K505" i="5" s="1"/>
  <c r="M515" i="5"/>
  <c r="J515" i="5"/>
  <c r="K515" i="5" s="1"/>
  <c r="J525" i="5"/>
  <c r="K525" i="5" s="1"/>
  <c r="M528" i="5"/>
  <c r="M540" i="5"/>
  <c r="M569" i="5"/>
  <c r="M588" i="5"/>
  <c r="M590" i="5"/>
  <c r="J612" i="5"/>
  <c r="K612" i="5" s="1"/>
  <c r="M647" i="5"/>
  <c r="J647" i="5"/>
  <c r="K647" i="5" s="1"/>
  <c r="M662" i="5"/>
  <c r="M685" i="5"/>
  <c r="J685" i="5"/>
  <c r="K685" i="5" s="1"/>
  <c r="M701" i="5"/>
  <c r="J701" i="5"/>
  <c r="K701" i="5" s="1"/>
  <c r="M717" i="5"/>
  <c r="J717" i="5"/>
  <c r="K717" i="5" s="1"/>
  <c r="M389" i="5"/>
  <c r="M393" i="5"/>
  <c r="M397" i="5"/>
  <c r="M401" i="5"/>
  <c r="M405" i="5"/>
  <c r="M409" i="5"/>
  <c r="M413" i="5"/>
  <c r="M417" i="5"/>
  <c r="M421" i="5"/>
  <c r="M425" i="5"/>
  <c r="J433" i="5"/>
  <c r="K433" i="5" s="1"/>
  <c r="J437" i="5"/>
  <c r="K437" i="5" s="1"/>
  <c r="M437" i="5"/>
  <c r="M463" i="5"/>
  <c r="M467" i="5"/>
  <c r="J467" i="5"/>
  <c r="K467" i="5" s="1"/>
  <c r="J471" i="5"/>
  <c r="K471" i="5" s="1"/>
  <c r="J497" i="5"/>
  <c r="K497" i="5" s="1"/>
  <c r="J501" i="5"/>
  <c r="K501" i="5" s="1"/>
  <c r="M501" i="5"/>
  <c r="M544" i="5"/>
  <c r="J544" i="5"/>
  <c r="K544" i="5" s="1"/>
  <c r="M553" i="5"/>
  <c r="M575" i="5"/>
  <c r="J575" i="5"/>
  <c r="K575" i="5" s="1"/>
  <c r="J597" i="5"/>
  <c r="K597" i="5" s="1"/>
  <c r="M639" i="5"/>
  <c r="J639" i="5"/>
  <c r="K639" i="5" s="1"/>
  <c r="M677" i="5"/>
  <c r="J677" i="5"/>
  <c r="K677" i="5" s="1"/>
  <c r="M726" i="5"/>
  <c r="M525" i="5"/>
  <c r="M533" i="5"/>
  <c r="M563" i="5"/>
  <c r="M583" i="5"/>
  <c r="J583" i="5"/>
  <c r="K583" i="5" s="1"/>
  <c r="M594" i="5"/>
  <c r="M619" i="5"/>
  <c r="M633" i="5"/>
  <c r="J633" i="5"/>
  <c r="K633" i="5" s="1"/>
  <c r="M651" i="5"/>
  <c r="M665" i="5"/>
  <c r="J665" i="5"/>
  <c r="K665" i="5" s="1"/>
  <c r="M683" i="5"/>
  <c r="M691" i="5"/>
  <c r="M699" i="5"/>
  <c r="M707" i="5"/>
  <c r="M715" i="5"/>
  <c r="M723" i="5"/>
  <c r="J748" i="5"/>
  <c r="K748" i="5" s="1"/>
  <c r="M758" i="5"/>
  <c r="J553" i="5"/>
  <c r="K553" i="5" s="1"/>
  <c r="M571" i="5"/>
  <c r="M579" i="5"/>
  <c r="M582" i="5"/>
  <c r="J589" i="5"/>
  <c r="K589" i="5" s="1"/>
  <c r="M599" i="5"/>
  <c r="J599" i="5"/>
  <c r="K599" i="5" s="1"/>
  <c r="M609" i="5"/>
  <c r="J609" i="5"/>
  <c r="K609" i="5" s="1"/>
  <c r="M627" i="5"/>
  <c r="M641" i="5"/>
  <c r="J641" i="5"/>
  <c r="K641" i="5" s="1"/>
  <c r="M659" i="5"/>
  <c r="M673" i="5"/>
  <c r="J673" i="5"/>
  <c r="K673" i="5" s="1"/>
  <c r="J557" i="5"/>
  <c r="K557" i="5" s="1"/>
  <c r="M574" i="5"/>
  <c r="M603" i="5"/>
  <c r="M614" i="5"/>
  <c r="J620" i="5"/>
  <c r="K620" i="5" s="1"/>
  <c r="M623" i="5"/>
  <c r="J623" i="5"/>
  <c r="K623" i="5" s="1"/>
  <c r="M629" i="5"/>
  <c r="J629" i="5"/>
  <c r="K629" i="5" s="1"/>
  <c r="M646" i="5"/>
  <c r="J652" i="5"/>
  <c r="K652" i="5" s="1"/>
  <c r="M655" i="5"/>
  <c r="J655" i="5"/>
  <c r="K655" i="5" s="1"/>
  <c r="M661" i="5"/>
  <c r="J661" i="5"/>
  <c r="K661" i="5" s="1"/>
  <c r="M678" i="5"/>
  <c r="J684" i="5"/>
  <c r="K684" i="5" s="1"/>
  <c r="M687" i="5"/>
  <c r="J692" i="5"/>
  <c r="K692" i="5" s="1"/>
  <c r="M695" i="5"/>
  <c r="J700" i="5"/>
  <c r="K700" i="5" s="1"/>
  <c r="M703" i="5"/>
  <c r="J708" i="5"/>
  <c r="K708" i="5" s="1"/>
  <c r="M711" i="5"/>
  <c r="J716" i="5"/>
  <c r="K716" i="5" s="1"/>
  <c r="M719" i="5"/>
  <c r="J811" i="5"/>
  <c r="K811" i="5" s="1"/>
  <c r="M811" i="5"/>
  <c r="J547" i="5"/>
  <c r="K547" i="5" s="1"/>
  <c r="J561" i="5"/>
  <c r="K561" i="5" s="1"/>
  <c r="J570" i="5"/>
  <c r="K570" i="5" s="1"/>
  <c r="J574" i="5"/>
  <c r="K574" i="5" s="1"/>
  <c r="J578" i="5"/>
  <c r="K578" i="5" s="1"/>
  <c r="M585" i="5"/>
  <c r="J585" i="5"/>
  <c r="K585" i="5" s="1"/>
  <c r="M598" i="5"/>
  <c r="J605" i="5"/>
  <c r="K605" i="5" s="1"/>
  <c r="M617" i="5"/>
  <c r="J617" i="5"/>
  <c r="K617" i="5" s="1"/>
  <c r="M635" i="5"/>
  <c r="M649" i="5"/>
  <c r="J649" i="5"/>
  <c r="K649" i="5" s="1"/>
  <c r="M667" i="5"/>
  <c r="M681" i="5"/>
  <c r="J681" i="5"/>
  <c r="K681" i="5" s="1"/>
  <c r="M727" i="5"/>
  <c r="M735" i="5"/>
  <c r="M859" i="5"/>
  <c r="M871" i="5"/>
  <c r="M551" i="5"/>
  <c r="J565" i="5"/>
  <c r="K565" i="5" s="1"/>
  <c r="J581" i="5"/>
  <c r="K581" i="5" s="1"/>
  <c r="M591" i="5"/>
  <c r="J591" i="5"/>
  <c r="K591" i="5" s="1"/>
  <c r="M622" i="5"/>
  <c r="J628" i="5"/>
  <c r="K628" i="5" s="1"/>
  <c r="M631" i="5"/>
  <c r="J631" i="5"/>
  <c r="K631" i="5" s="1"/>
  <c r="M637" i="5"/>
  <c r="J637" i="5"/>
  <c r="K637" i="5" s="1"/>
  <c r="M654" i="5"/>
  <c r="J660" i="5"/>
  <c r="K660" i="5" s="1"/>
  <c r="M663" i="5"/>
  <c r="J663" i="5"/>
  <c r="K663" i="5" s="1"/>
  <c r="M669" i="5"/>
  <c r="J669" i="5"/>
  <c r="K669" i="5" s="1"/>
  <c r="M686" i="5"/>
  <c r="M689" i="5"/>
  <c r="J689" i="5"/>
  <c r="K689" i="5" s="1"/>
  <c r="M694" i="5"/>
  <c r="M697" i="5"/>
  <c r="J697" i="5"/>
  <c r="K697" i="5" s="1"/>
  <c r="M702" i="5"/>
  <c r="M705" i="5"/>
  <c r="J705" i="5"/>
  <c r="K705" i="5" s="1"/>
  <c r="M710" i="5"/>
  <c r="M713" i="5"/>
  <c r="J713" i="5"/>
  <c r="K713" i="5" s="1"/>
  <c r="M718" i="5"/>
  <c r="J739" i="5"/>
  <c r="K739" i="5" s="1"/>
  <c r="M739" i="5"/>
  <c r="M541" i="5"/>
  <c r="J551" i="5"/>
  <c r="K551" i="5" s="1"/>
  <c r="M555" i="5"/>
  <c r="M561" i="5"/>
  <c r="J569" i="5"/>
  <c r="K569" i="5" s="1"/>
  <c r="J573" i="5"/>
  <c r="K573" i="5" s="1"/>
  <c r="J577" i="5"/>
  <c r="K577" i="5" s="1"/>
  <c r="M595" i="5"/>
  <c r="M601" i="5"/>
  <c r="J601" i="5"/>
  <c r="K601" i="5" s="1"/>
  <c r="M605" i="5"/>
  <c r="M611" i="5"/>
  <c r="M625" i="5"/>
  <c r="J625" i="5"/>
  <c r="K625" i="5" s="1"/>
  <c r="M643" i="5"/>
  <c r="M657" i="5"/>
  <c r="J657" i="5"/>
  <c r="K657" i="5" s="1"/>
  <c r="M675" i="5"/>
  <c r="M721" i="5"/>
  <c r="M729" i="5"/>
  <c r="M765" i="5"/>
  <c r="J792" i="5"/>
  <c r="K792" i="5" s="1"/>
  <c r="M792" i="5"/>
  <c r="J742" i="5"/>
  <c r="K742" i="5" s="1"/>
  <c r="J753" i="5"/>
  <c r="K753" i="5" s="1"/>
  <c r="M753" i="5"/>
  <c r="J764" i="5"/>
  <c r="K764" i="5" s="1"/>
  <c r="M774" i="5"/>
  <c r="J779" i="5"/>
  <c r="K779" i="5" s="1"/>
  <c r="M779" i="5"/>
  <c r="J794" i="5"/>
  <c r="K794" i="5" s="1"/>
  <c r="M796" i="5"/>
  <c r="J800" i="5"/>
  <c r="K800" i="5" s="1"/>
  <c r="M800" i="5"/>
  <c r="M819" i="5"/>
  <c r="J819" i="5"/>
  <c r="K819" i="5" s="1"/>
  <c r="M938" i="5"/>
  <c r="J938" i="5"/>
  <c r="K938" i="5" s="1"/>
  <c r="M944" i="5"/>
  <c r="J944" i="5"/>
  <c r="K944" i="5" s="1"/>
  <c r="J733" i="5"/>
  <c r="K733" i="5" s="1"/>
  <c r="M733" i="5"/>
  <c r="M787" i="5"/>
  <c r="J787" i="5"/>
  <c r="K787" i="5" s="1"/>
  <c r="M823" i="5"/>
  <c r="M842" i="5"/>
  <c r="M844" i="5"/>
  <c r="J687" i="5"/>
  <c r="K687" i="5" s="1"/>
  <c r="J695" i="5"/>
  <c r="K695" i="5" s="1"/>
  <c r="J703" i="5"/>
  <c r="K703" i="5" s="1"/>
  <c r="J711" i="5"/>
  <c r="K711" i="5" s="1"/>
  <c r="J719" i="5"/>
  <c r="K719" i="5" s="1"/>
  <c r="J732" i="5"/>
  <c r="K732" i="5" s="1"/>
  <c r="J737" i="5"/>
  <c r="K737" i="5" s="1"/>
  <c r="M742" i="5"/>
  <c r="J745" i="5"/>
  <c r="K745" i="5" s="1"/>
  <c r="M749" i="5"/>
  <c r="J755" i="5"/>
  <c r="K755" i="5" s="1"/>
  <c r="M755" i="5"/>
  <c r="J761" i="5"/>
  <c r="K761" i="5" s="1"/>
  <c r="M761" i="5"/>
  <c r="J776" i="5"/>
  <c r="K776" i="5" s="1"/>
  <c r="M776" i="5"/>
  <c r="J808" i="5"/>
  <c r="K808" i="5" s="1"/>
  <c r="M808" i="5"/>
  <c r="M846" i="5"/>
  <c r="M858" i="5"/>
  <c r="J864" i="5"/>
  <c r="K864" i="5" s="1"/>
  <c r="M864" i="5"/>
  <c r="M771" i="5"/>
  <c r="J771" i="5"/>
  <c r="K771" i="5" s="1"/>
  <c r="J778" i="5"/>
  <c r="K778" i="5" s="1"/>
  <c r="J791" i="5"/>
  <c r="K791" i="5" s="1"/>
  <c r="J810" i="5"/>
  <c r="K810" i="5" s="1"/>
  <c r="M812" i="5"/>
  <c r="J816" i="5"/>
  <c r="K816" i="5" s="1"/>
  <c r="M816" i="5"/>
  <c r="M835" i="5"/>
  <c r="J835" i="5"/>
  <c r="K835" i="5" s="1"/>
  <c r="M862" i="5"/>
  <c r="M874" i="5"/>
  <c r="M737" i="5"/>
  <c r="J740" i="5"/>
  <c r="K740" i="5" s="1"/>
  <c r="M745" i="5"/>
  <c r="M752" i="5"/>
  <c r="J763" i="5"/>
  <c r="K763" i="5" s="1"/>
  <c r="M763" i="5"/>
  <c r="J780" i="5"/>
  <c r="K780" i="5" s="1"/>
  <c r="M780" i="5"/>
  <c r="J784" i="5"/>
  <c r="K784" i="5" s="1"/>
  <c r="M784" i="5"/>
  <c r="J795" i="5"/>
  <c r="K795" i="5" s="1"/>
  <c r="M795" i="5"/>
  <c r="M839" i="5"/>
  <c r="J731" i="5"/>
  <c r="K731" i="5" s="1"/>
  <c r="M731" i="5"/>
  <c r="M732" i="5"/>
  <c r="J735" i="5"/>
  <c r="K735" i="5" s="1"/>
  <c r="J751" i="5"/>
  <c r="K751" i="5" s="1"/>
  <c r="M757" i="5"/>
  <c r="J775" i="5"/>
  <c r="K775" i="5" s="1"/>
  <c r="M803" i="5"/>
  <c r="J803" i="5"/>
  <c r="K803" i="5" s="1"/>
  <c r="J734" i="5"/>
  <c r="K734" i="5" s="1"/>
  <c r="J743" i="5"/>
  <c r="K743" i="5" s="1"/>
  <c r="M744" i="5"/>
  <c r="J747" i="5"/>
  <c r="K747" i="5" s="1"/>
  <c r="M747" i="5"/>
  <c r="M748" i="5"/>
  <c r="J756" i="5"/>
  <c r="K756" i="5" s="1"/>
  <c r="M760" i="5"/>
  <c r="J768" i="5"/>
  <c r="K768" i="5" s="1"/>
  <c r="M768" i="5"/>
  <c r="M777" i="5"/>
  <c r="J807" i="5"/>
  <c r="K807" i="5" s="1"/>
  <c r="M826" i="5"/>
  <c r="M828" i="5"/>
  <c r="M851" i="5"/>
  <c r="J851" i="5"/>
  <c r="K851" i="5" s="1"/>
  <c r="M855" i="5"/>
  <c r="M904" i="5"/>
  <c r="J730" i="5"/>
  <c r="K730" i="5" s="1"/>
  <c r="J738" i="5"/>
  <c r="K738" i="5" s="1"/>
  <c r="J746" i="5"/>
  <c r="K746" i="5" s="1"/>
  <c r="J754" i="5"/>
  <c r="K754" i="5" s="1"/>
  <c r="J762" i="5"/>
  <c r="K762" i="5" s="1"/>
  <c r="J782" i="5"/>
  <c r="K782" i="5" s="1"/>
  <c r="J798" i="5"/>
  <c r="K798" i="5" s="1"/>
  <c r="J814" i="5"/>
  <c r="K814" i="5" s="1"/>
  <c r="J830" i="5"/>
  <c r="K830" i="5" s="1"/>
  <c r="J846" i="5"/>
  <c r="K846" i="5" s="1"/>
  <c r="J859" i="5"/>
  <c r="K859" i="5" s="1"/>
  <c r="M866" i="5"/>
  <c r="J866" i="5"/>
  <c r="K866" i="5" s="1"/>
  <c r="M972" i="5"/>
  <c r="J972" i="5"/>
  <c r="K972" i="5" s="1"/>
  <c r="M976" i="5"/>
  <c r="J976" i="5"/>
  <c r="K976" i="5" s="1"/>
  <c r="M978" i="5"/>
  <c r="J978" i="5"/>
  <c r="K978" i="5" s="1"/>
  <c r="J824" i="5"/>
  <c r="K824" i="5" s="1"/>
  <c r="J827" i="5"/>
  <c r="K827" i="5" s="1"/>
  <c r="J832" i="5"/>
  <c r="K832" i="5" s="1"/>
  <c r="J840" i="5"/>
  <c r="K840" i="5" s="1"/>
  <c r="J843" i="5"/>
  <c r="K843" i="5" s="1"/>
  <c r="J848" i="5"/>
  <c r="K848" i="5" s="1"/>
  <c r="M861" i="5"/>
  <c r="M873" i="5"/>
  <c r="J873" i="5"/>
  <c r="K873" i="5" s="1"/>
  <c r="J878" i="5"/>
  <c r="K878" i="5" s="1"/>
  <c r="J894" i="5"/>
  <c r="K894" i="5" s="1"/>
  <c r="J736" i="5"/>
  <c r="K736" i="5" s="1"/>
  <c r="J744" i="5"/>
  <c r="K744" i="5" s="1"/>
  <c r="J752" i="5"/>
  <c r="K752" i="5" s="1"/>
  <c r="J760" i="5"/>
  <c r="K760" i="5" s="1"/>
  <c r="J767" i="5"/>
  <c r="K767" i="5" s="1"/>
  <c r="M782" i="5"/>
  <c r="M798" i="5"/>
  <c r="M814" i="5"/>
  <c r="M830" i="5"/>
  <c r="J861" i="5"/>
  <c r="K861" i="5" s="1"/>
  <c r="M870" i="5"/>
  <c r="M882" i="5"/>
  <c r="M889" i="5"/>
  <c r="J889" i="5"/>
  <c r="K889" i="5" s="1"/>
  <c r="M898" i="5"/>
  <c r="M905" i="5"/>
  <c r="J905" i="5"/>
  <c r="K905" i="5" s="1"/>
  <c r="M914" i="5"/>
  <c r="J759" i="5"/>
  <c r="K759" i="5" s="1"/>
  <c r="M770" i="5"/>
  <c r="J770" i="5"/>
  <c r="K770" i="5" s="1"/>
  <c r="M781" i="5"/>
  <c r="M786" i="5"/>
  <c r="J786" i="5"/>
  <c r="K786" i="5" s="1"/>
  <c r="M797" i="5"/>
  <c r="M802" i="5"/>
  <c r="J802" i="5"/>
  <c r="K802" i="5" s="1"/>
  <c r="M813" i="5"/>
  <c r="M818" i="5"/>
  <c r="J818" i="5"/>
  <c r="K818" i="5" s="1"/>
  <c r="M824" i="5"/>
  <c r="M827" i="5"/>
  <c r="M829" i="5"/>
  <c r="M832" i="5"/>
  <c r="M834" i="5"/>
  <c r="J834" i="5"/>
  <c r="K834" i="5" s="1"/>
  <c r="M840" i="5"/>
  <c r="M843" i="5"/>
  <c r="M845" i="5"/>
  <c r="M848" i="5"/>
  <c r="M850" i="5"/>
  <c r="J850" i="5"/>
  <c r="K850" i="5" s="1"/>
  <c r="M863" i="5"/>
  <c r="J863" i="5"/>
  <c r="K863" i="5" s="1"/>
  <c r="J875" i="5"/>
  <c r="K875" i="5" s="1"/>
  <c r="M886" i="5"/>
  <c r="M902" i="5"/>
  <c r="M912" i="5"/>
  <c r="J758" i="5"/>
  <c r="K758" i="5" s="1"/>
  <c r="J766" i="5"/>
  <c r="K766" i="5" s="1"/>
  <c r="J772" i="5"/>
  <c r="K772" i="5" s="1"/>
  <c r="J781" i="5"/>
  <c r="K781" i="5" s="1"/>
  <c r="J788" i="5"/>
  <c r="K788" i="5" s="1"/>
  <c r="J797" i="5"/>
  <c r="K797" i="5" s="1"/>
  <c r="J804" i="5"/>
  <c r="K804" i="5" s="1"/>
  <c r="J813" i="5"/>
  <c r="K813" i="5" s="1"/>
  <c r="J820" i="5"/>
  <c r="K820" i="5" s="1"/>
  <c r="J823" i="5"/>
  <c r="K823" i="5" s="1"/>
  <c r="J826" i="5"/>
  <c r="K826" i="5" s="1"/>
  <c r="J829" i="5"/>
  <c r="K829" i="5" s="1"/>
  <c r="J836" i="5"/>
  <c r="K836" i="5" s="1"/>
  <c r="J839" i="5"/>
  <c r="K839" i="5" s="1"/>
  <c r="J842" i="5"/>
  <c r="K842" i="5" s="1"/>
  <c r="J845" i="5"/>
  <c r="K845" i="5" s="1"/>
  <c r="J852" i="5"/>
  <c r="K852" i="5" s="1"/>
  <c r="M867" i="5"/>
  <c r="M877" i="5"/>
  <c r="M884" i="5"/>
  <c r="J891" i="5"/>
  <c r="K891" i="5" s="1"/>
  <c r="M900" i="5"/>
  <c r="M916" i="5"/>
  <c r="M922" i="5"/>
  <c r="J922" i="5"/>
  <c r="K922" i="5" s="1"/>
  <c r="M957" i="5"/>
  <c r="J957" i="5"/>
  <c r="K957" i="5" s="1"/>
  <c r="J741" i="5"/>
  <c r="K741" i="5" s="1"/>
  <c r="J749" i="5"/>
  <c r="K749" i="5" s="1"/>
  <c r="J757" i="5"/>
  <c r="K757" i="5" s="1"/>
  <c r="J765" i="5"/>
  <c r="K765" i="5" s="1"/>
  <c r="M783" i="5"/>
  <c r="J783" i="5"/>
  <c r="K783" i="5" s="1"/>
  <c r="M799" i="5"/>
  <c r="J799" i="5"/>
  <c r="K799" i="5" s="1"/>
  <c r="M815" i="5"/>
  <c r="J815" i="5"/>
  <c r="K815" i="5" s="1"/>
  <c r="M831" i="5"/>
  <c r="J831" i="5"/>
  <c r="K831" i="5" s="1"/>
  <c r="M847" i="5"/>
  <c r="J847" i="5"/>
  <c r="K847" i="5" s="1"/>
  <c r="M854" i="5"/>
  <c r="M857" i="5"/>
  <c r="J860" i="5"/>
  <c r="K860" i="5" s="1"/>
  <c r="M860" i="5"/>
  <c r="J867" i="5"/>
  <c r="K867" i="5" s="1"/>
  <c r="J877" i="5"/>
  <c r="K877" i="5" s="1"/>
  <c r="M893" i="5"/>
  <c r="J893" i="5"/>
  <c r="K893" i="5" s="1"/>
  <c r="M909" i="5"/>
  <c r="M790" i="5"/>
  <c r="M793" i="5"/>
  <c r="J796" i="5"/>
  <c r="K796" i="5" s="1"/>
  <c r="M806" i="5"/>
  <c r="M809" i="5"/>
  <c r="J812" i="5"/>
  <c r="K812" i="5" s="1"/>
  <c r="M822" i="5"/>
  <c r="M825" i="5"/>
  <c r="J828" i="5"/>
  <c r="K828" i="5" s="1"/>
  <c r="M838" i="5"/>
  <c r="M841" i="5"/>
  <c r="J844" i="5"/>
  <c r="K844" i="5" s="1"/>
  <c r="M852" i="5"/>
  <c r="J862" i="5"/>
  <c r="K862" i="5" s="1"/>
  <c r="M879" i="5"/>
  <c r="M883" i="5"/>
  <c r="M895" i="5"/>
  <c r="M899" i="5"/>
  <c r="M911" i="5"/>
  <c r="M915" i="5"/>
  <c r="J880" i="5"/>
  <c r="K880" i="5" s="1"/>
  <c r="J896" i="5"/>
  <c r="K896" i="5" s="1"/>
  <c r="J912" i="5"/>
  <c r="K912" i="5" s="1"/>
  <c r="M920" i="5"/>
  <c r="M953" i="5"/>
  <c r="J953" i="5"/>
  <c r="K953" i="5" s="1"/>
  <c r="M992" i="5"/>
  <c r="J992" i="5"/>
  <c r="K992" i="5" s="1"/>
  <c r="M994" i="5"/>
  <c r="J994" i="5"/>
  <c r="K994" i="5" s="1"/>
  <c r="J876" i="5"/>
  <c r="K876" i="5" s="1"/>
  <c r="M880" i="5"/>
  <c r="J892" i="5"/>
  <c r="K892" i="5" s="1"/>
  <c r="M896" i="5"/>
  <c r="J908" i="5"/>
  <c r="K908" i="5" s="1"/>
  <c r="M946" i="5"/>
  <c r="J946" i="5"/>
  <c r="K946" i="5" s="1"/>
  <c r="M948" i="5"/>
  <c r="J948" i="5"/>
  <c r="K948" i="5" s="1"/>
  <c r="M773" i="5"/>
  <c r="M789" i="5"/>
  <c r="M805" i="5"/>
  <c r="M821" i="5"/>
  <c r="M837" i="5"/>
  <c r="M853" i="5"/>
  <c r="M869" i="5"/>
  <c r="J879" i="5"/>
  <c r="K879" i="5" s="1"/>
  <c r="J882" i="5"/>
  <c r="K882" i="5" s="1"/>
  <c r="M885" i="5"/>
  <c r="J895" i="5"/>
  <c r="K895" i="5" s="1"/>
  <c r="J898" i="5"/>
  <c r="K898" i="5" s="1"/>
  <c r="M901" i="5"/>
  <c r="J911" i="5"/>
  <c r="K911" i="5" s="1"/>
  <c r="J914" i="5"/>
  <c r="K914" i="5" s="1"/>
  <c r="M937" i="5"/>
  <c r="J937" i="5"/>
  <c r="K937" i="5" s="1"/>
  <c r="J856" i="5"/>
  <c r="K856" i="5" s="1"/>
  <c r="J872" i="5"/>
  <c r="K872" i="5" s="1"/>
  <c r="M876" i="5"/>
  <c r="J888" i="5"/>
  <c r="K888" i="5" s="1"/>
  <c r="M892" i="5"/>
  <c r="J904" i="5"/>
  <c r="K904" i="5" s="1"/>
  <c r="M908" i="5"/>
  <c r="M941" i="5"/>
  <c r="J941" i="5"/>
  <c r="K941" i="5" s="1"/>
  <c r="M769" i="5"/>
  <c r="M785" i="5"/>
  <c r="M801" i="5"/>
  <c r="M817" i="5"/>
  <c r="M833" i="5"/>
  <c r="M849" i="5"/>
  <c r="M865" i="5"/>
  <c r="M881" i="5"/>
  <c r="M897" i="5"/>
  <c r="M913" i="5"/>
  <c r="M932" i="5"/>
  <c r="M960" i="5"/>
  <c r="J960" i="5"/>
  <c r="K960" i="5" s="1"/>
  <c r="J868" i="5"/>
  <c r="K868" i="5" s="1"/>
  <c r="J884" i="5"/>
  <c r="K884" i="5" s="1"/>
  <c r="J900" i="5"/>
  <c r="K900" i="5" s="1"/>
  <c r="J916" i="5"/>
  <c r="K916" i="5" s="1"/>
  <c r="M925" i="5"/>
  <c r="J932" i="5"/>
  <c r="K932" i="5" s="1"/>
  <c r="M964" i="5"/>
  <c r="J964" i="5"/>
  <c r="K964" i="5" s="1"/>
  <c r="M965" i="5"/>
  <c r="M985" i="5"/>
  <c r="J985" i="5"/>
  <c r="K985" i="5" s="1"/>
  <c r="M917" i="5"/>
  <c r="M924" i="5"/>
  <c r="M929" i="5"/>
  <c r="J929" i="5"/>
  <c r="K929" i="5" s="1"/>
  <c r="M936" i="5"/>
  <c r="M962" i="5"/>
  <c r="J962" i="5"/>
  <c r="K962" i="5" s="1"/>
  <c r="M969" i="5"/>
  <c r="J969" i="5"/>
  <c r="K969" i="5" s="1"/>
  <c r="M993" i="5"/>
  <c r="J993" i="5"/>
  <c r="K993" i="5" s="1"/>
  <c r="M933" i="5"/>
  <c r="M940" i="5"/>
  <c r="M945" i="5"/>
  <c r="J945" i="5"/>
  <c r="K945" i="5" s="1"/>
  <c r="M952" i="5"/>
  <c r="M984" i="5"/>
  <c r="J984" i="5"/>
  <c r="K984" i="5" s="1"/>
  <c r="M986" i="5"/>
  <c r="J986" i="5"/>
  <c r="K986" i="5" s="1"/>
  <c r="M921" i="5"/>
  <c r="J921" i="5"/>
  <c r="K921" i="5" s="1"/>
  <c r="M928" i="5"/>
  <c r="J933" i="5"/>
  <c r="K933" i="5" s="1"/>
  <c r="J940" i="5"/>
  <c r="K940" i="5" s="1"/>
  <c r="M954" i="5"/>
  <c r="J954" i="5"/>
  <c r="K954" i="5" s="1"/>
  <c r="M977" i="5"/>
  <c r="J977" i="5"/>
  <c r="K977" i="5" s="1"/>
  <c r="M930" i="5"/>
  <c r="J930" i="5"/>
  <c r="K930" i="5" s="1"/>
  <c r="M949" i="5"/>
  <c r="M956" i="5"/>
  <c r="M961" i="5"/>
  <c r="J961" i="5"/>
  <c r="K961" i="5" s="1"/>
  <c r="M968" i="5"/>
  <c r="J968" i="5"/>
  <c r="K968" i="5" s="1"/>
  <c r="M970" i="5"/>
  <c r="J970" i="5"/>
  <c r="K970" i="5" s="1"/>
  <c r="M1000" i="5"/>
  <c r="M973" i="5"/>
  <c r="M981" i="5"/>
  <c r="M989" i="5"/>
  <c r="M997" i="5"/>
  <c r="J1000" i="5"/>
  <c r="K1000" i="5" s="1"/>
  <c r="M919" i="5"/>
  <c r="M927" i="5"/>
  <c r="M935" i="5"/>
  <c r="M943" i="5"/>
  <c r="M951" i="5"/>
  <c r="M959" i="5"/>
  <c r="M967" i="5"/>
  <c r="M975" i="5"/>
  <c r="M983" i="5"/>
  <c r="M991" i="5"/>
  <c r="M999" i="5"/>
  <c r="M980" i="5"/>
  <c r="J983" i="5"/>
  <c r="K983" i="5" s="1"/>
  <c r="M988" i="5"/>
  <c r="J991" i="5"/>
  <c r="K991" i="5" s="1"/>
  <c r="M996" i="5"/>
  <c r="J999" i="5"/>
  <c r="K999" i="5" s="1"/>
  <c r="M1001" i="5"/>
  <c r="M918" i="5"/>
  <c r="M926" i="5"/>
  <c r="M934" i="5"/>
  <c r="M942" i="5"/>
  <c r="M950" i="5"/>
  <c r="M958" i="5"/>
  <c r="M966" i="5"/>
  <c r="M974" i="5"/>
  <c r="M982" i="5"/>
  <c r="M990" i="5"/>
  <c r="M998" i="5"/>
  <c r="J918" i="5"/>
  <c r="K918" i="5" s="1"/>
  <c r="M923" i="5"/>
  <c r="J926" i="5"/>
  <c r="K926" i="5" s="1"/>
  <c r="M931" i="5"/>
  <c r="J934" i="5"/>
  <c r="K934" i="5" s="1"/>
  <c r="M939" i="5"/>
  <c r="J942" i="5"/>
  <c r="K942" i="5" s="1"/>
  <c r="M947" i="5"/>
  <c r="J950" i="5"/>
  <c r="K950" i="5" s="1"/>
  <c r="M955" i="5"/>
  <c r="J958" i="5"/>
  <c r="K958" i="5" s="1"/>
  <c r="M963" i="5"/>
  <c r="J966" i="5"/>
  <c r="K966" i="5" s="1"/>
  <c r="M971" i="5"/>
  <c r="J974" i="5"/>
  <c r="K974" i="5" s="1"/>
  <c r="M979" i="5"/>
  <c r="J982" i="5"/>
  <c r="K982" i="5" s="1"/>
  <c r="M987" i="5"/>
  <c r="J990" i="5"/>
  <c r="K990" i="5" s="1"/>
  <c r="M995" i="5"/>
  <c r="J998" i="5"/>
  <c r="K998" i="5" s="1"/>
  <c r="J1001" i="5"/>
  <c r="K1001" i="5" s="1"/>
</calcChain>
</file>

<file path=xl/sharedStrings.xml><?xml version="1.0" encoding="utf-8"?>
<sst xmlns="http://schemas.openxmlformats.org/spreadsheetml/2006/main" count="5567" uniqueCount="1811">
  <si>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</si>
  <si>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</si>
  <si>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</si>
  <si>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</si>
  <si>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</si>
  <si>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</si>
  <si>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магазин покупки</t>
  </si>
  <si>
    <t>id клиента</t>
  </si>
  <si>
    <t>Категория товара</t>
  </si>
  <si>
    <t>Средняя цена в категории за шт</t>
  </si>
  <si>
    <t>Выгода для клиента</t>
  </si>
  <si>
    <t>Поставщик товара</t>
  </si>
  <si>
    <t>Средняя стоимость в категории по поставщику</t>
  </si>
  <si>
    <t>Дата регистрации клиента</t>
  </si>
  <si>
    <t>Кол-во дней с момента регистрации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</si>
  <si>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</si>
  <si>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</si>
  <si>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</si>
  <si>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</si>
  <si>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</si>
  <si>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</si>
  <si>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</si>
  <si>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</si>
  <si>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</si>
  <si>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</si>
  <si>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</si>
  <si>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</si>
  <si>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</si>
  <si>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</si>
  <si>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</si>
  <si>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</si>
  <si>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</si>
  <si>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</si>
  <si>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</si>
  <si>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</si>
  <si>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Исследование выполнил: Дмитриев Олег</t>
  </si>
  <si>
    <t>Данные сгенерированы ChatGPT и не являются NDA</t>
  </si>
  <si>
    <t>Задачи исследования</t>
  </si>
  <si>
    <t>№</t>
  </si>
  <si>
    <t>Декомпозиция</t>
  </si>
  <si>
    <t>Выводы исследования</t>
  </si>
  <si>
    <t>Анализ продаж продуктовых сетей</t>
  </si>
  <si>
    <t>Динамика продаж по магазинам</t>
  </si>
  <si>
    <t>Анализ цен внутри товарной категории по магазинам</t>
  </si>
  <si>
    <t>Суммарные продажи по магазинам</t>
  </si>
  <si>
    <t>Сравнение поставщиков по объемам закупок</t>
  </si>
  <si>
    <t>Анализ цен внутри категории по поставщикам</t>
  </si>
  <si>
    <t>Суммарные продажи по поставщикам</t>
  </si>
  <si>
    <t>Изучение продаж по категориям товаров</t>
  </si>
  <si>
    <t>Суммарные продажи по категориям</t>
  </si>
  <si>
    <t>Среднее кол-во по категориям (что покупают чаще)</t>
  </si>
  <si>
    <t>Изучение клиентов по географии и лайфтайму</t>
  </si>
  <si>
    <t>Аналитика географии клиентов</t>
  </si>
  <si>
    <t>Кол-во клиентов в программе лояльности</t>
  </si>
  <si>
    <t>Кол-во дней с момента регистрации до покупки</t>
  </si>
  <si>
    <t xml:space="preserve">Лайфтайм клиента </t>
  </si>
  <si>
    <t>Частотность имен для рекламной компании</t>
  </si>
  <si>
    <t>Платежеспособность по странам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</si>
  <si>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</si>
  <si>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</si>
  <si>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</si>
  <si>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Умные таблицы и работа с абсолютными и относительными ссылками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</si>
  <si>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</si>
  <si>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</si>
  <si>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</si>
  <si>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</si>
  <si>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Построение диаграмм</t>
  </si>
  <si>
    <t>Названия строк</t>
  </si>
  <si>
    <t>Сумма по полю сумма чека</t>
  </si>
  <si>
    <t>2023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</si>
  <si>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</si>
  <si>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</si>
  <si>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</si>
  <si>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</si>
  <si>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</si>
  <si>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</si>
  <si>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</si>
  <si>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</si>
  <si>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</si>
  <si>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</si>
  <si>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</si>
  <si>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</si>
  <si>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2024</t>
  </si>
  <si>
    <t>Среднее по полю Выгода для клиента</t>
  </si>
  <si>
    <t>Продуктовая сеть</t>
  </si>
  <si>
    <t>GMV</t>
  </si>
  <si>
    <t>Общий итог</t>
  </si>
  <si>
    <t>категория товара</t>
  </si>
  <si>
    <t>поставщик</t>
  </si>
  <si>
    <t>Категория — поставщик</t>
  </si>
  <si>
    <t>Количество товаров</t>
  </si>
  <si>
    <t>Сахар</t>
  </si>
  <si>
    <t>Продимекс</t>
  </si>
  <si>
    <t>Сок — Фруктовый сад</t>
  </si>
  <si>
    <t>Соль</t>
  </si>
  <si>
    <t>Илецкая</t>
  </si>
  <si>
    <t>Макароны — Паста Зара</t>
  </si>
  <si>
    <t>Печенье</t>
  </si>
  <si>
    <t>Юбилейное</t>
  </si>
  <si>
    <t>Конфеты — Бабаевский</t>
  </si>
  <si>
    <t>Макароны</t>
  </si>
  <si>
    <t>Борилла</t>
  </si>
  <si>
    <t>Сыр — Сырная долина</t>
  </si>
  <si>
    <t>Овощи</t>
  </si>
  <si>
    <t>Зеленая грядка</t>
  </si>
  <si>
    <t>Йогурт — Ростагроэкспорт</t>
  </si>
  <si>
    <t>Сок</t>
  </si>
  <si>
    <t>Фруктовый сад</t>
  </si>
  <si>
    <t>Макароны — Борилла</t>
  </si>
  <si>
    <t>Рыба</t>
  </si>
  <si>
    <t>Меридиан</t>
  </si>
  <si>
    <t>Рыба — Меридиан</t>
  </si>
  <si>
    <t>Кофе</t>
  </si>
  <si>
    <t>Jacobs</t>
  </si>
  <si>
    <t>Чай — Greenfield</t>
  </si>
  <si>
    <t>Чай</t>
  </si>
  <si>
    <t>Greenfield</t>
  </si>
  <si>
    <t>Конфеты — Рот Фронт</t>
  </si>
  <si>
    <t>Йогурт</t>
  </si>
  <si>
    <t>Ростагроэкспорт</t>
  </si>
  <si>
    <t>Сок — Добрый</t>
  </si>
  <si>
    <t>Мясо</t>
  </si>
  <si>
    <t>Агрокомплекс</t>
  </si>
  <si>
    <t>Йогурт — Эрманн</t>
  </si>
  <si>
    <t>Сладов</t>
  </si>
  <si>
    <t>Фрукты — Фруктовый Рай</t>
  </si>
  <si>
    <t>Сава</t>
  </si>
  <si>
    <t>Сахар — Продимекс</t>
  </si>
  <si>
    <t>Экстра</t>
  </si>
  <si>
    <t>Соль — Илецкая</t>
  </si>
  <si>
    <t>Мясо — Сава</t>
  </si>
  <si>
    <t>Lipton</t>
  </si>
  <si>
    <t>Паста Зара</t>
  </si>
  <si>
    <t>Сыр</t>
  </si>
  <si>
    <t>Карат</t>
  </si>
  <si>
    <t>Фрукты</t>
  </si>
  <si>
    <t>Экзотик</t>
  </si>
  <si>
    <t>Макфа</t>
  </si>
  <si>
    <t>Рис</t>
  </si>
  <si>
    <t>Белый Злат</t>
  </si>
  <si>
    <t>President</t>
  </si>
  <si>
    <t>Чипсы</t>
  </si>
  <si>
    <t>Pringles</t>
  </si>
  <si>
    <t>Молоко</t>
  </si>
  <si>
    <t>Простоквашино</t>
  </si>
  <si>
    <t>Хлеб</t>
  </si>
  <si>
    <t>Хлебный Дом</t>
  </si>
  <si>
    <t>Овощной ряд</t>
  </si>
  <si>
    <t>Санта Бремор</t>
  </si>
  <si>
    <t>Конфеты</t>
  </si>
  <si>
    <t>Рот Фронт</t>
  </si>
  <si>
    <t>Добрый</t>
  </si>
  <si>
    <t>Роллтон</t>
  </si>
  <si>
    <t>Агро-Альянс</t>
  </si>
  <si>
    <t>КДВ</t>
  </si>
  <si>
    <t>Сады Придонья</t>
  </si>
  <si>
    <t>Эрманн</t>
  </si>
  <si>
    <t>Крупа</t>
  </si>
  <si>
    <t>Мистраль</t>
  </si>
  <si>
    <t>Бабаевский</t>
  </si>
  <si>
    <t>Белогорье</t>
  </si>
  <si>
    <t>Снежана</t>
  </si>
  <si>
    <t>Дарница</t>
  </si>
  <si>
    <t>Черная Карта</t>
  </si>
  <si>
    <t>Колбаса</t>
  </si>
  <si>
    <t>Окраина</t>
  </si>
  <si>
    <t>Домик в деревне</t>
  </si>
  <si>
    <t>Дымов</t>
  </si>
  <si>
    <t>Чудо</t>
  </si>
  <si>
    <t>Lay's</t>
  </si>
  <si>
    <t>Русский сахар</t>
  </si>
  <si>
    <t>Посиделкино</t>
  </si>
  <si>
    <t>Сырная долина</t>
  </si>
  <si>
    <t>Тесс</t>
  </si>
  <si>
    <t>Rich</t>
  </si>
  <si>
    <t>Фрукты-Ягоды</t>
  </si>
  <si>
    <t>Каравай</t>
  </si>
  <si>
    <t>Ахмад</t>
  </si>
  <si>
    <t>Беллакт</t>
  </si>
  <si>
    <t>Русское море</t>
  </si>
  <si>
    <t>Активиа</t>
  </si>
  <si>
    <t>Гавриш</t>
  </si>
  <si>
    <t>Русский Хлеб</t>
  </si>
  <si>
    <t>Русская картошка</t>
  </si>
  <si>
    <t>Nescafe</t>
  </si>
  <si>
    <t>Балтийский берег</t>
  </si>
  <si>
    <t>Националь</t>
  </si>
  <si>
    <t>Hochland</t>
  </si>
  <si>
    <t>Estrella</t>
  </si>
  <si>
    <t>Славянская</t>
  </si>
  <si>
    <t>Фруктовый Рай</t>
  </si>
  <si>
    <t>Красный Октябрь</t>
  </si>
  <si>
    <t>Увелка</t>
  </si>
  <si>
    <t>Агросахар</t>
  </si>
  <si>
    <t>Салта</t>
  </si>
  <si>
    <t>Славянка</t>
  </si>
  <si>
    <t>Микоян</t>
  </si>
  <si>
    <t>Ярмарка</t>
  </si>
  <si>
    <t>Черкизово</t>
  </si>
  <si>
    <t>Вимм-Билль-Данн</t>
  </si>
  <si>
    <t>Семко</t>
  </si>
  <si>
    <t>Green Garden</t>
  </si>
  <si>
    <t>Tchibo</t>
  </si>
  <si>
    <t>Количество по полю id клиента</t>
  </si>
  <si>
    <t>Россия</t>
  </si>
  <si>
    <t>Узбекистан</t>
  </si>
  <si>
    <t>Украина</t>
  </si>
  <si>
    <t>Таджикистан</t>
  </si>
  <si>
    <t>Беларусь</t>
  </si>
  <si>
    <t>номер телефона клиента</t>
  </si>
  <si>
    <t>ФИО</t>
  </si>
  <si>
    <t>Программа лояльности клиента</t>
  </si>
  <si>
    <t>Коды телефона</t>
  </si>
  <si>
    <t>Страна клиента</t>
  </si>
  <si>
    <t>Имя</t>
  </si>
  <si>
    <t>Фамилия</t>
  </si>
  <si>
    <t>Отчество</t>
  </si>
  <si>
    <t>Количество клиентов</t>
  </si>
  <si>
    <t>+998 469-847-6587</t>
  </si>
  <si>
    <t>Фадей Ефимович Калинин</t>
  </si>
  <si>
    <t>да</t>
  </si>
  <si>
    <t>+998</t>
  </si>
  <si>
    <t>Фадей</t>
  </si>
  <si>
    <t>Калинин</t>
  </si>
  <si>
    <t>Ефимович</t>
  </si>
  <si>
    <t>+375 796-304-7865</t>
  </si>
  <si>
    <t>Вера Георгиевна Некрасова</t>
  </si>
  <si>
    <t>+375</t>
  </si>
  <si>
    <t>Вера</t>
  </si>
  <si>
    <t>Некрасова</t>
  </si>
  <si>
    <t>Георгиевна</t>
  </si>
  <si>
    <t>+375 682-373-1802</t>
  </si>
  <si>
    <t>Никодим Игоревич Бобров</t>
  </si>
  <si>
    <t>Никодим</t>
  </si>
  <si>
    <t>Бобров</t>
  </si>
  <si>
    <t>Игоревич</t>
  </si>
  <si>
    <t>+7 753-596-5037</t>
  </si>
  <si>
    <t>Носкова Вера Федоровна</t>
  </si>
  <si>
    <t>нет</t>
  </si>
  <si>
    <t>+7</t>
  </si>
  <si>
    <t>Носкова</t>
  </si>
  <si>
    <t>Федоровна</t>
  </si>
  <si>
    <t>+380 669-437-2066</t>
  </si>
  <si>
    <t>Александра Матвеевна Артемьева</t>
  </si>
  <si>
    <t>+380</t>
  </si>
  <si>
    <t>Александра</t>
  </si>
  <si>
    <t>Артемьева</t>
  </si>
  <si>
    <t>Матвеевна</t>
  </si>
  <si>
    <t>+380 622-144-1703</t>
  </si>
  <si>
    <t>Калинина Ирина Филипповна</t>
  </si>
  <si>
    <t>Калинина</t>
  </si>
  <si>
    <t>Филипповна</t>
  </si>
  <si>
    <t>Ирина</t>
  </si>
  <si>
    <t>+998 591-865-8342</t>
  </si>
  <si>
    <t>Зоя Кирилловна Брагина</t>
  </si>
  <si>
    <t>Зоя</t>
  </si>
  <si>
    <t>Брагина</t>
  </si>
  <si>
    <t>Кирилловна</t>
  </si>
  <si>
    <t>+998 353-736-8172</t>
  </si>
  <si>
    <t>Осипов Светозар Ефремович</t>
  </si>
  <si>
    <t>Осипов</t>
  </si>
  <si>
    <t>Ефремович</t>
  </si>
  <si>
    <t>Светозар</t>
  </si>
  <si>
    <t>+380 545-746-8707</t>
  </si>
  <si>
    <t>Любовь Георгиевна Мамонтова</t>
  </si>
  <si>
    <t>Любовь</t>
  </si>
  <si>
    <t>Мамонтова</t>
  </si>
  <si>
    <t>+7 063-931-5918</t>
  </si>
  <si>
    <t>Август Вячеславович Брагин</t>
  </si>
  <si>
    <t>Август</t>
  </si>
  <si>
    <t>Брагин</t>
  </si>
  <si>
    <t>Вячеславович</t>
  </si>
  <si>
    <t>+998 006-788-9211</t>
  </si>
  <si>
    <t>Мефодий Филиппович Воробьев</t>
  </si>
  <si>
    <t>Мефодий</t>
  </si>
  <si>
    <t>Воробьев</t>
  </si>
  <si>
    <t>Филиппович</t>
  </si>
  <si>
    <t>Лояльность</t>
  </si>
  <si>
    <t>Количество</t>
  </si>
  <si>
    <t>+992 863-895-4307</t>
  </si>
  <si>
    <t>Гурьев Влас Юлианович</t>
  </si>
  <si>
    <t>+992</t>
  </si>
  <si>
    <t>Гурьев</t>
  </si>
  <si>
    <t>Юлианович</t>
  </si>
  <si>
    <t>Влас</t>
  </si>
  <si>
    <t>+998 350-816-0031</t>
  </si>
  <si>
    <t>Агата Юрьевна Галкина</t>
  </si>
  <si>
    <t>Агата</t>
  </si>
  <si>
    <t>Галкина</t>
  </si>
  <si>
    <t>Юрьевна</t>
  </si>
  <si>
    <t>+375 435-951-1995</t>
  </si>
  <si>
    <t>Юлия Леоновна Наумова</t>
  </si>
  <si>
    <t>Юлия</t>
  </si>
  <si>
    <t>Наумова</t>
  </si>
  <si>
    <t>Леоновна</t>
  </si>
  <si>
    <t>+998 498-706-1394</t>
  </si>
  <si>
    <t>Лонгин Арсенович Никонов</t>
  </si>
  <si>
    <t>Лонгин</t>
  </si>
  <si>
    <t>Никонов</t>
  </si>
  <si>
    <t>Арсенович</t>
  </si>
  <si>
    <t>+7 297-169-3756</t>
  </si>
  <si>
    <t>Филимон Федотович Иванов</t>
  </si>
  <si>
    <t>Филимон</t>
  </si>
  <si>
    <t>Иванов</t>
  </si>
  <si>
    <t>Федотович</t>
  </si>
  <si>
    <t>+7 454-941-1729</t>
  </si>
  <si>
    <t>Кудрявцев Демид Ерофеевич</t>
  </si>
  <si>
    <t>Кудрявцев</t>
  </si>
  <si>
    <t>Ерофеевич</t>
  </si>
  <si>
    <t>Демид</t>
  </si>
  <si>
    <t>+380 835-708-4433</t>
  </si>
  <si>
    <t>Вероника Евгеньевна Федосеева</t>
  </si>
  <si>
    <t>Вероника</t>
  </si>
  <si>
    <t>Федосеева</t>
  </si>
  <si>
    <t>Евгеньевна</t>
  </si>
  <si>
    <t>+7 181-799-6850</t>
  </si>
  <si>
    <t>Герасимов Еремей Демидович</t>
  </si>
  <si>
    <t>Герасимов</t>
  </si>
  <si>
    <t>Демидович</t>
  </si>
  <si>
    <t>Еремей</t>
  </si>
  <si>
    <t>+375 743-922-4671</t>
  </si>
  <si>
    <t>Новикова Лидия Павловна</t>
  </si>
  <si>
    <t>Новикова</t>
  </si>
  <si>
    <t>Павловна</t>
  </si>
  <si>
    <t>Лидия</t>
  </si>
  <si>
    <t>+998 607-517-9439</t>
  </si>
  <si>
    <t>Сорокина Феврония Натановна</t>
  </si>
  <si>
    <t>Сорокина</t>
  </si>
  <si>
    <t>Натановна</t>
  </si>
  <si>
    <t>Феврония</t>
  </si>
  <si>
    <t>+375 372-396-9651</t>
  </si>
  <si>
    <t>Нинель Натановна Лазарева</t>
  </si>
  <si>
    <t>Нинель</t>
  </si>
  <si>
    <t>Лазарева</t>
  </si>
  <si>
    <t>+7 109-995-2846</t>
  </si>
  <si>
    <t>г-н Рыбаков Автоном Антонович</t>
  </si>
  <si>
    <t>г-н</t>
  </si>
  <si>
    <t>Автоном Антонович</t>
  </si>
  <si>
    <t>Рыбаков</t>
  </si>
  <si>
    <t>+375 226-887-4565</t>
  </si>
  <si>
    <t>Бирюков Олимпий Иосифович</t>
  </si>
  <si>
    <t>Бирюков</t>
  </si>
  <si>
    <t>Иосифович</t>
  </si>
  <si>
    <t>Олимпий</t>
  </si>
  <si>
    <t>+998 222-956-9780</t>
  </si>
  <si>
    <t>Чеслав Виленович Шестаков</t>
  </si>
  <si>
    <t>Чеслав</t>
  </si>
  <si>
    <t>Шестаков</t>
  </si>
  <si>
    <t>Виленович</t>
  </si>
  <si>
    <t>+380 633-205-1404</t>
  </si>
  <si>
    <t>Виноградов Карл Алексеевич</t>
  </si>
  <si>
    <t>Виноградов</t>
  </si>
  <si>
    <t>Алексеевич</t>
  </si>
  <si>
    <t>Карл</t>
  </si>
  <si>
    <t>+998 525-413-6836</t>
  </si>
  <si>
    <t>Кудрявцева Ульяна Филипповна</t>
  </si>
  <si>
    <t>Кудрявцева</t>
  </si>
  <si>
    <t>Ульяна</t>
  </si>
  <si>
    <t>+7 592-570-4871</t>
  </si>
  <si>
    <t>Майя Вадимовна Рябова</t>
  </si>
  <si>
    <t>Майя</t>
  </si>
  <si>
    <t>Рябова</t>
  </si>
  <si>
    <t>Вадимовна</t>
  </si>
  <si>
    <t>+7 321-005-5110</t>
  </si>
  <si>
    <t>Лукия Ефимовна Тимофеева</t>
  </si>
  <si>
    <t>Лукия</t>
  </si>
  <si>
    <t>Тимофеева</t>
  </si>
  <si>
    <t>Ефимовна</t>
  </si>
  <si>
    <t>+7 899-265-0963</t>
  </si>
  <si>
    <t>Полина Николаевна Евдокимова</t>
  </si>
  <si>
    <t>Полина</t>
  </si>
  <si>
    <t>Евдокимова</t>
  </si>
  <si>
    <t>Николаевна</t>
  </si>
  <si>
    <t>+998 084-412-0746</t>
  </si>
  <si>
    <t>Элеонора Ивановна Королева</t>
  </si>
  <si>
    <t>Элеонора</t>
  </si>
  <si>
    <t>Королева</t>
  </si>
  <si>
    <t>Ивановна</t>
  </si>
  <si>
    <t>+7 630-977-5834</t>
  </si>
  <si>
    <t>Юлия Вячеславовна Журавлева</t>
  </si>
  <si>
    <t>Журавлева</t>
  </si>
  <si>
    <t>Вячеславовна</t>
  </si>
  <si>
    <t>+998 752-893-8536</t>
  </si>
  <si>
    <t>Алексеев Касьян Ефимович</t>
  </si>
  <si>
    <t>Алексеев</t>
  </si>
  <si>
    <t>Касьян</t>
  </si>
  <si>
    <t>+992 349-223-5769</t>
  </si>
  <si>
    <t>Феофан Гурьевич Дорофеев</t>
  </si>
  <si>
    <t>Феофан</t>
  </si>
  <si>
    <t>Дорофеев</t>
  </si>
  <si>
    <t>Гурьевич</t>
  </si>
  <si>
    <t>+7 747-678-7543</t>
  </si>
  <si>
    <t>Капустина Тамара Валериевна</t>
  </si>
  <si>
    <t>Капустина</t>
  </si>
  <si>
    <t>Валериевна</t>
  </si>
  <si>
    <t>Тамара</t>
  </si>
  <si>
    <t>+998 488-220-8790</t>
  </si>
  <si>
    <t>Ратибор Арсеньевич Петров</t>
  </si>
  <si>
    <t>Ратибор</t>
  </si>
  <si>
    <t>Петров</t>
  </si>
  <si>
    <t>Арсеньевич</t>
  </si>
  <si>
    <t>+998 826-456-9884</t>
  </si>
  <si>
    <t>Поляков Боян Андреевич</t>
  </si>
  <si>
    <t>Поляков</t>
  </si>
  <si>
    <t>Андреевич</t>
  </si>
  <si>
    <t>Боян</t>
  </si>
  <si>
    <t>+998 053-607-1948</t>
  </si>
  <si>
    <t>Иванов Христофор Ильясович</t>
  </si>
  <si>
    <t>Ильясович</t>
  </si>
  <si>
    <t>Христофор</t>
  </si>
  <si>
    <t>+7 273-904-5457</t>
  </si>
  <si>
    <t>Сила Денисович Гурьев</t>
  </si>
  <si>
    <t>Сила</t>
  </si>
  <si>
    <t>Денисович</t>
  </si>
  <si>
    <t>+7 632-222-4524</t>
  </si>
  <si>
    <t>Лора Болеславовна Потапова</t>
  </si>
  <si>
    <t>Лора</t>
  </si>
  <si>
    <t>Потапова</t>
  </si>
  <si>
    <t>Болеславовна</t>
  </si>
  <si>
    <t>+380 276-157-8458</t>
  </si>
  <si>
    <t>Федотов Радислав Антонович</t>
  </si>
  <si>
    <t>Федотов</t>
  </si>
  <si>
    <t>Антонович</t>
  </si>
  <si>
    <t>Радислав</t>
  </si>
  <si>
    <t>+375 077-514-8048</t>
  </si>
  <si>
    <t>Лукин Харлампий Игнатович</t>
  </si>
  <si>
    <t>Лукин</t>
  </si>
  <si>
    <t>Игнатович</t>
  </si>
  <si>
    <t>Харлампий</t>
  </si>
  <si>
    <t>+7 752-341-5050</t>
  </si>
  <si>
    <t>Полякова Анжела Аскольдовна</t>
  </si>
  <si>
    <t>Полякова</t>
  </si>
  <si>
    <t>Аскольдовна</t>
  </si>
  <si>
    <t>Анжела</t>
  </si>
  <si>
    <t>+380 088-024-3161</t>
  </si>
  <si>
    <t>Филиппова Юлия Леоновна</t>
  </si>
  <si>
    <t>Филиппова</t>
  </si>
  <si>
    <t>+992 110-427-6136</t>
  </si>
  <si>
    <t>Дементий Антипович Мухин</t>
  </si>
  <si>
    <t>Дементий</t>
  </si>
  <si>
    <t>Мухин</t>
  </si>
  <si>
    <t>Антипович</t>
  </si>
  <si>
    <t>+992 248-066-2060</t>
  </si>
  <si>
    <t>Ия Никифоровна Лапина</t>
  </si>
  <si>
    <t>Ия</t>
  </si>
  <si>
    <t>Лапина</t>
  </si>
  <si>
    <t>Никифоровна</t>
  </si>
  <si>
    <t>+998 824-309-1395</t>
  </si>
  <si>
    <t>Морозова Майя Борисовна</t>
  </si>
  <si>
    <t>Морозова</t>
  </si>
  <si>
    <t>Борисовна</t>
  </si>
  <si>
    <t>+375 079-578-9874</t>
  </si>
  <si>
    <t>Самойлова Татьяна Эльдаровна</t>
  </si>
  <si>
    <t>Самойлова</t>
  </si>
  <si>
    <t>Эльдаровна</t>
  </si>
  <si>
    <t>Татьяна</t>
  </si>
  <si>
    <t>+380 030-761-0677</t>
  </si>
  <si>
    <t>Стрелков Геннадий Бориславович</t>
  </si>
  <si>
    <t>Стрелков</t>
  </si>
  <si>
    <t>Бориславович</t>
  </si>
  <si>
    <t>Геннадий</t>
  </si>
  <si>
    <t>+375 205-037-7882</t>
  </si>
  <si>
    <t>Карп Афанасьевич Фомичев</t>
  </si>
  <si>
    <t>Карп</t>
  </si>
  <si>
    <t>Фомичев</t>
  </si>
  <si>
    <t>Афанасьевич</t>
  </si>
  <si>
    <t>+380 076-252-5210</t>
  </si>
  <si>
    <t>Кондратьева Валентина Львовна</t>
  </si>
  <si>
    <t>Кондратьева</t>
  </si>
  <si>
    <t>Львовна</t>
  </si>
  <si>
    <t>Валентина</t>
  </si>
  <si>
    <t>+992 266-481-3942</t>
  </si>
  <si>
    <t>Абрамова Евдокия Егоровна</t>
  </si>
  <si>
    <t>Абрамова</t>
  </si>
  <si>
    <t>Егоровна</t>
  </si>
  <si>
    <t>Евдокия</t>
  </si>
  <si>
    <t>+375 284-418-1233</t>
  </si>
  <si>
    <t>Валентина Захаровна Боброва</t>
  </si>
  <si>
    <t>Боброва</t>
  </si>
  <si>
    <t>Захаровна</t>
  </si>
  <si>
    <t>+7 963-508-8333</t>
  </si>
  <si>
    <t>Горшкова Василиса Святославовна</t>
  </si>
  <si>
    <t>Горшкова</t>
  </si>
  <si>
    <t>Святославовна</t>
  </si>
  <si>
    <t>Василиса</t>
  </si>
  <si>
    <t>+380 424-152-2316</t>
  </si>
  <si>
    <t>Эмилия Руслановна Шарапова</t>
  </si>
  <si>
    <t>Эмилия</t>
  </si>
  <si>
    <t>Шарапова</t>
  </si>
  <si>
    <t>Руслановна</t>
  </si>
  <si>
    <t>+375 960-328-1316</t>
  </si>
  <si>
    <t>Алина Михайловна Шестакова</t>
  </si>
  <si>
    <t>Алина</t>
  </si>
  <si>
    <t>Шестакова</t>
  </si>
  <si>
    <t>Михайловна</t>
  </si>
  <si>
    <t>+7 600-803-0627</t>
  </si>
  <si>
    <t>Агата Геннадьевна Колесникова</t>
  </si>
  <si>
    <t>Колесникова</t>
  </si>
  <si>
    <t>Геннадьевна</t>
  </si>
  <si>
    <t>+998 176-720-2162</t>
  </si>
  <si>
    <t>Панова Евгения Викторовна</t>
  </si>
  <si>
    <t>Панова</t>
  </si>
  <si>
    <t>Викторовна</t>
  </si>
  <si>
    <t>Евгения</t>
  </si>
  <si>
    <t>+992 129-804-1705</t>
  </si>
  <si>
    <t>Ипатий Устинович Зимин</t>
  </si>
  <si>
    <t>Ипатий</t>
  </si>
  <si>
    <t>Зимин</t>
  </si>
  <si>
    <t>Устинович</t>
  </si>
  <si>
    <t>+380 616-238-3294</t>
  </si>
  <si>
    <t>Регина Сергеевна Ефимова</t>
  </si>
  <si>
    <t>Регина</t>
  </si>
  <si>
    <t>Ефимова</t>
  </si>
  <si>
    <t>Сергеевна</t>
  </si>
  <si>
    <t>+7 425-907-2619</t>
  </si>
  <si>
    <t>Регина Сергеевна Чернова</t>
  </si>
  <si>
    <t>Чернова</t>
  </si>
  <si>
    <t>+7 638-478-8735</t>
  </si>
  <si>
    <t>Бажен Дмитриевич Исаков</t>
  </si>
  <si>
    <t>Бажен</t>
  </si>
  <si>
    <t>Исаков</t>
  </si>
  <si>
    <t>Дмитриевич</t>
  </si>
  <si>
    <t>+998 237-658-9236</t>
  </si>
  <si>
    <t>Иванна Наумовна Иванова</t>
  </si>
  <si>
    <t>Иванна</t>
  </si>
  <si>
    <t>Иванова</t>
  </si>
  <si>
    <t>Наумовна</t>
  </si>
  <si>
    <t>+7 710-415-0428</t>
  </si>
  <si>
    <t>Капитон Харитонович Родионов</t>
  </si>
  <si>
    <t>Капитон</t>
  </si>
  <si>
    <t>Родионов</t>
  </si>
  <si>
    <t>Харитонович</t>
  </si>
  <si>
    <t>+380 465-945-6481</t>
  </si>
  <si>
    <t>Капитон Феликсович Кабанов</t>
  </si>
  <si>
    <t>Кабанов</t>
  </si>
  <si>
    <t>Феликсович</t>
  </si>
  <si>
    <t>+375 523-528-4996</t>
  </si>
  <si>
    <t>Галина Кирилловна Прохорова</t>
  </si>
  <si>
    <t>Галина</t>
  </si>
  <si>
    <t>Прохорова</t>
  </si>
  <si>
    <t>+992 883-671-0611</t>
  </si>
  <si>
    <t>Панфил Федотович Шаров</t>
  </si>
  <si>
    <t>Панфил</t>
  </si>
  <si>
    <t>Шаров</t>
  </si>
  <si>
    <t>+7 322-351-7967</t>
  </si>
  <si>
    <t>Сократ Юльевич Афанасьев</t>
  </si>
  <si>
    <t>Сократ</t>
  </si>
  <si>
    <t>Афанасьев</t>
  </si>
  <si>
    <t>Юльевич</t>
  </si>
  <si>
    <t>+992 314-900-5858</t>
  </si>
  <si>
    <t>Пестов Измаил Глебович</t>
  </si>
  <si>
    <t>Пестов</t>
  </si>
  <si>
    <t>Глебович</t>
  </si>
  <si>
    <t>Измаил</t>
  </si>
  <si>
    <t>+7 640-461-4099</t>
  </si>
  <si>
    <t>Ильина Милица Захаровна</t>
  </si>
  <si>
    <t>Ильина</t>
  </si>
  <si>
    <t>Милица</t>
  </si>
  <si>
    <t>+992 253-231-6427</t>
  </si>
  <si>
    <t>Лыткина Вера Ждановна</t>
  </si>
  <si>
    <t>Лыткина</t>
  </si>
  <si>
    <t>Ждановна</t>
  </si>
  <si>
    <t>+992 508-269-1094</t>
  </si>
  <si>
    <t>Аггей Терентьевич Волков</t>
  </si>
  <si>
    <t>Аггей</t>
  </si>
  <si>
    <t>Волков</t>
  </si>
  <si>
    <t>Терентьевич</t>
  </si>
  <si>
    <t>+7 915-487-8205</t>
  </si>
  <si>
    <t>Владилен Иосифович Третьяков</t>
  </si>
  <si>
    <t>Владилен</t>
  </si>
  <si>
    <t>Третьяков</t>
  </si>
  <si>
    <t>+7 376-172-1887</t>
  </si>
  <si>
    <t>Ладимир Гурьевич Егоров</t>
  </si>
  <si>
    <t>Ладимир</t>
  </si>
  <si>
    <t>Егоров</t>
  </si>
  <si>
    <t>+7 894-900-2879</t>
  </si>
  <si>
    <t>Эммануил Ааронович Кошелев</t>
  </si>
  <si>
    <t>Эммануил</t>
  </si>
  <si>
    <t>Кошелев</t>
  </si>
  <si>
    <t>Ааронович</t>
  </si>
  <si>
    <t>+7 263-859-8875</t>
  </si>
  <si>
    <t>Сидор Вячеславович Зиновьев</t>
  </si>
  <si>
    <t>Сидор</t>
  </si>
  <si>
    <t>Зиновьев</t>
  </si>
  <si>
    <t>+7 288-468-9287</t>
  </si>
  <si>
    <t>Регина Кирилловна Нестерова</t>
  </si>
  <si>
    <t>Нестерова</t>
  </si>
  <si>
    <t>+992 372-939-7775</t>
  </si>
  <si>
    <t>Силин Антип Ильясович</t>
  </si>
  <si>
    <t>Силин</t>
  </si>
  <si>
    <t>Антип</t>
  </si>
  <si>
    <t>+7 089-779-0837</t>
  </si>
  <si>
    <t>Зоя Егоровна Третьякова</t>
  </si>
  <si>
    <t>Третьякова</t>
  </si>
  <si>
    <t>+992 326-136-2416</t>
  </si>
  <si>
    <t>Виктор Жанович Никифоров</t>
  </si>
  <si>
    <t>Виктор</t>
  </si>
  <si>
    <t>Никифоров</t>
  </si>
  <si>
    <t>Жанович</t>
  </si>
  <si>
    <t>+998 016-556-9015</t>
  </si>
  <si>
    <t>Ратибор Андреевич Маслов</t>
  </si>
  <si>
    <t>Маслов</t>
  </si>
  <si>
    <t>+998 388-311-1484</t>
  </si>
  <si>
    <t>Жуков Никифор Фомич</t>
  </si>
  <si>
    <t>Жуков</t>
  </si>
  <si>
    <t>Фомич</t>
  </si>
  <si>
    <t>Никифор</t>
  </si>
  <si>
    <t>+7 093-201-9949</t>
  </si>
  <si>
    <t>Татьяна Михайловна Новикова</t>
  </si>
  <si>
    <t>+375 074-074-0170</t>
  </si>
  <si>
    <t>Виктор Марсович Игнатов</t>
  </si>
  <si>
    <t>Игнатов</t>
  </si>
  <si>
    <t>Марсович</t>
  </si>
  <si>
    <t>+375 260-927-0999</t>
  </si>
  <si>
    <t>Абрамова Елизавета Эдуардовна</t>
  </si>
  <si>
    <t>Эдуардовна</t>
  </si>
  <si>
    <t>Елизавета</t>
  </si>
  <si>
    <t>+7 356-385-2881</t>
  </si>
  <si>
    <t>Чеслав Бориславович Мамонтов</t>
  </si>
  <si>
    <t>Мамонтов</t>
  </si>
  <si>
    <t>+7 833-884-1180</t>
  </si>
  <si>
    <t>Ефремов Епифан Ильич</t>
  </si>
  <si>
    <t>Ефремов</t>
  </si>
  <si>
    <t>Ильич</t>
  </si>
  <si>
    <t>Епифан</t>
  </si>
  <si>
    <t>+380 369-038-6358</t>
  </si>
  <si>
    <t>Леонид Арсенович Давыдов</t>
  </si>
  <si>
    <t>Леонид</t>
  </si>
  <si>
    <t>Давыдов</t>
  </si>
  <si>
    <t>+380 341-215-3278</t>
  </si>
  <si>
    <t>Медведева Алина Алексеевна</t>
  </si>
  <si>
    <t>Медведева</t>
  </si>
  <si>
    <t>Алексеевна</t>
  </si>
  <si>
    <t>+998 801-433-5842</t>
  </si>
  <si>
    <t>Федотова Ангелина Максимовна</t>
  </si>
  <si>
    <t>Федотова</t>
  </si>
  <si>
    <t>Максимовна</t>
  </si>
  <si>
    <t>Ангелина</t>
  </si>
  <si>
    <t>+7 727-444-8253</t>
  </si>
  <si>
    <t>Николаева Зинаида Ивановна</t>
  </si>
  <si>
    <t>Николаева</t>
  </si>
  <si>
    <t>Зинаида</t>
  </si>
  <si>
    <t>+7 219-942-5792</t>
  </si>
  <si>
    <t>Дорофеев Тимур Валерьянович</t>
  </si>
  <si>
    <t>Валерьянович</t>
  </si>
  <si>
    <t>Тимур</t>
  </si>
  <si>
    <t>+7 430-487-6579</t>
  </si>
  <si>
    <t>Александра Владиславовна Беляева</t>
  </si>
  <si>
    <t>Беляева</t>
  </si>
  <si>
    <t>Владиславовна</t>
  </si>
  <si>
    <t>+998 827-959-0308</t>
  </si>
  <si>
    <t>Эмилия Олеговна Калинина</t>
  </si>
  <si>
    <t>Олеговна</t>
  </si>
  <si>
    <t>+998 880-147-7505</t>
  </si>
  <si>
    <t>тов. Копылова Жанна Архиповна</t>
  </si>
  <si>
    <t>тов.</t>
  </si>
  <si>
    <t>Жанна Архиповна</t>
  </si>
  <si>
    <t>Копылова</t>
  </si>
  <si>
    <t>+992 234-736-4616</t>
  </si>
  <si>
    <t>Князева Акулина Алексеевна</t>
  </si>
  <si>
    <t>Князева</t>
  </si>
  <si>
    <t>Акулина</t>
  </si>
  <si>
    <t>+998 581-380-6694</t>
  </si>
  <si>
    <t>Евдокимов Януарий Феликсович</t>
  </si>
  <si>
    <t>Евдокимов</t>
  </si>
  <si>
    <t>Януарий</t>
  </si>
  <si>
    <t>+992 086-931-5836</t>
  </si>
  <si>
    <t>Соловьев Родион Данилович</t>
  </si>
  <si>
    <t>Соловьев</t>
  </si>
  <si>
    <t>Данилович</t>
  </si>
  <si>
    <t>Родион</t>
  </si>
  <si>
    <t>+7 007-157-8873</t>
  </si>
  <si>
    <t>Назар Августович Назаров</t>
  </si>
  <si>
    <t>Назар</t>
  </si>
  <si>
    <t>Назаров</t>
  </si>
  <si>
    <t>Августович</t>
  </si>
  <si>
    <t>+380 947-602-2812</t>
  </si>
  <si>
    <t>Кудряшова Василиса Болеславовна</t>
  </si>
  <si>
    <t>Кудряшова</t>
  </si>
  <si>
    <t>+380 697-469-4252</t>
  </si>
  <si>
    <t>Лазарев Софон Якубович</t>
  </si>
  <si>
    <t>Лазарев</t>
  </si>
  <si>
    <t>Якубович</t>
  </si>
  <si>
    <t>Софон</t>
  </si>
  <si>
    <t>+7 962-495-5040</t>
  </si>
  <si>
    <t>Бобылев Никодим Виленович</t>
  </si>
  <si>
    <t>Бобылев</t>
  </si>
  <si>
    <t>+380 349-100-4938</t>
  </si>
  <si>
    <t>Трофимова Василиса Матвеевна</t>
  </si>
  <si>
    <t>Трофимова</t>
  </si>
  <si>
    <t>+998 876-305-1700</t>
  </si>
  <si>
    <t>Горбунова Наина Филипповна</t>
  </si>
  <si>
    <t>Горбунова</t>
  </si>
  <si>
    <t>Наина</t>
  </si>
  <si>
    <t>+992 861-842-9595</t>
  </si>
  <si>
    <t>Блинов Натан Всеволодович</t>
  </si>
  <si>
    <t>Блинов</t>
  </si>
  <si>
    <t>Всеволодович</t>
  </si>
  <si>
    <t>Натан</t>
  </si>
  <si>
    <t>+7 724-995-2653</t>
  </si>
  <si>
    <t>Никитин Светозар Харлампьевич</t>
  </si>
  <si>
    <t>Никитин</t>
  </si>
  <si>
    <t>Харлампьевич</t>
  </si>
  <si>
    <t>+380 435-435-7454</t>
  </si>
  <si>
    <t>Фрол Авдеевич Фадеев</t>
  </si>
  <si>
    <t>Фрол</t>
  </si>
  <si>
    <t>Фадеев</t>
  </si>
  <si>
    <t>Авдеевич</t>
  </si>
  <si>
    <t>+380 667-385-3298</t>
  </si>
  <si>
    <t>Ермаков Вадим Юлианович</t>
  </si>
  <si>
    <t>Ермаков</t>
  </si>
  <si>
    <t>Вадим</t>
  </si>
  <si>
    <t>+7 858-333-4042</t>
  </si>
  <si>
    <t>Анжела Филипповна Новикова</t>
  </si>
  <si>
    <t>+380 828-307-7136</t>
  </si>
  <si>
    <t>Белозеров Лука Харлампьевич</t>
  </si>
  <si>
    <t>Белозеров</t>
  </si>
  <si>
    <t>Лука</t>
  </si>
  <si>
    <t>+998 678-470-2329</t>
  </si>
  <si>
    <t>Гурьев Евсей Гертрудович</t>
  </si>
  <si>
    <t>Гертрудович</t>
  </si>
  <si>
    <t>Евсей</t>
  </si>
  <si>
    <t>+992 908-369-0617</t>
  </si>
  <si>
    <t>Королев Феофан Бориславович</t>
  </si>
  <si>
    <t>Королев</t>
  </si>
  <si>
    <t>+7 669-661-5797</t>
  </si>
  <si>
    <t>Бурова Марфа Игоревна</t>
  </si>
  <si>
    <t>Бурова</t>
  </si>
  <si>
    <t>Игоревна</t>
  </si>
  <si>
    <t>Марфа</t>
  </si>
  <si>
    <t>+7 393-681-6723</t>
  </si>
  <si>
    <t>Прокл Тимурович Александров</t>
  </si>
  <si>
    <t>Прокл</t>
  </si>
  <si>
    <t>Александров</t>
  </si>
  <si>
    <t>Тимурович</t>
  </si>
  <si>
    <t>+998 583-780-6740</t>
  </si>
  <si>
    <t>Раиса Станиславовна Чернова</t>
  </si>
  <si>
    <t>Раиса</t>
  </si>
  <si>
    <t>Станиславовна</t>
  </si>
  <si>
    <t>+992 928-516-3980</t>
  </si>
  <si>
    <t>Фёкла Феликсовна Харитонова</t>
  </si>
  <si>
    <t>Фёкла</t>
  </si>
  <si>
    <t>Харитонова</t>
  </si>
  <si>
    <t>Феликсовна</t>
  </si>
  <si>
    <t>+992 358-380-4702</t>
  </si>
  <si>
    <t>Лазарев Арефий Анатольевич</t>
  </si>
  <si>
    <t>Анатольевич</t>
  </si>
  <si>
    <t>Арефий</t>
  </si>
  <si>
    <t>+375 156-538-5529</t>
  </si>
  <si>
    <t>Брагин Любомир Гертрудович</t>
  </si>
  <si>
    <t>Любомир</t>
  </si>
  <si>
    <t>+998 241-358-6988</t>
  </si>
  <si>
    <t>Маргарита Ждановна Зуева</t>
  </si>
  <si>
    <t>Маргарита</t>
  </si>
  <si>
    <t>Зуева</t>
  </si>
  <si>
    <t>+7 739-924-9444</t>
  </si>
  <si>
    <t>Авдей Брониславович Владимиров</t>
  </si>
  <si>
    <t>Авдей</t>
  </si>
  <si>
    <t>Владимиров</t>
  </si>
  <si>
    <t>Брониславович</t>
  </si>
  <si>
    <t>+992 904-682-2250</t>
  </si>
  <si>
    <t>Кириллов Валерьян Иосипович</t>
  </si>
  <si>
    <t>Кириллов</t>
  </si>
  <si>
    <t>Иосипович</t>
  </si>
  <si>
    <t>Валерьян</t>
  </si>
  <si>
    <t>+7 892-625-6649</t>
  </si>
  <si>
    <t>Тимофеева Анастасия Натановна</t>
  </si>
  <si>
    <t>Анастасия</t>
  </si>
  <si>
    <t>+998 049-489-2171</t>
  </si>
  <si>
    <t>Мария Кузьминична Борисова</t>
  </si>
  <si>
    <t>Мария</t>
  </si>
  <si>
    <t>Борисова</t>
  </si>
  <si>
    <t>Кузьминична</t>
  </si>
  <si>
    <t>+7 038-725-7867</t>
  </si>
  <si>
    <t>Самуил Зиновьевич Фокин</t>
  </si>
  <si>
    <t>Самуил</t>
  </si>
  <si>
    <t>Фокин</t>
  </si>
  <si>
    <t>Зиновьевич</t>
  </si>
  <si>
    <t>+380 833-248-7380</t>
  </si>
  <si>
    <t>Зайцев Ефрем Даниилович</t>
  </si>
  <si>
    <t>Зайцев</t>
  </si>
  <si>
    <t>Даниилович</t>
  </si>
  <si>
    <t>Ефрем</t>
  </si>
  <si>
    <t>+992 862-124-2046</t>
  </si>
  <si>
    <t>Арсений Вилорович Лобанов</t>
  </si>
  <si>
    <t>Арсений</t>
  </si>
  <si>
    <t>Лобанов</t>
  </si>
  <si>
    <t>Вилорович</t>
  </si>
  <si>
    <t>+7 139-999-3338</t>
  </si>
  <si>
    <t>Родионова Евпраксия Олеговна</t>
  </si>
  <si>
    <t>Родионова</t>
  </si>
  <si>
    <t>Евпраксия</t>
  </si>
  <si>
    <t>+380 030-138-6532</t>
  </si>
  <si>
    <t>Вишняков Фома Викентьевич</t>
  </si>
  <si>
    <t>Вишняков</t>
  </si>
  <si>
    <t>Викентьевич</t>
  </si>
  <si>
    <t>Фома</t>
  </si>
  <si>
    <t>+7 260-379-8995</t>
  </si>
  <si>
    <t>Носкова Ольга Ждановна</t>
  </si>
  <si>
    <t>Ольга</t>
  </si>
  <si>
    <t>+992 908-969-9000</t>
  </si>
  <si>
    <t>Жданов Аверьян Валерьевич</t>
  </si>
  <si>
    <t>Жданов</t>
  </si>
  <si>
    <t>Валерьевич</t>
  </si>
  <si>
    <t>Аверьян</t>
  </si>
  <si>
    <t>+998 153-345-5047</t>
  </si>
  <si>
    <t>Филиппов Павел Игнатович</t>
  </si>
  <si>
    <t>Филиппов</t>
  </si>
  <si>
    <t>Павел</t>
  </si>
  <si>
    <t>+380 487-238-5930</t>
  </si>
  <si>
    <t>Лапин Эрнест Антипович</t>
  </si>
  <si>
    <t>Лапин</t>
  </si>
  <si>
    <t>Эрнест</t>
  </si>
  <si>
    <t>+375 187-052-9526</t>
  </si>
  <si>
    <t>Зыкова Таисия Леонидовна</t>
  </si>
  <si>
    <t>Зыкова</t>
  </si>
  <si>
    <t>Леонидовна</t>
  </si>
  <si>
    <t>Таисия</t>
  </si>
  <si>
    <t>+380 174-160-6456</t>
  </si>
  <si>
    <t>Василиса Леоновна Назарова</t>
  </si>
  <si>
    <t>Назарова</t>
  </si>
  <si>
    <t>+7 048-020-5515</t>
  </si>
  <si>
    <t>Авдеев Филипп Елисеевич</t>
  </si>
  <si>
    <t>Авдеев</t>
  </si>
  <si>
    <t>Елисеевич</t>
  </si>
  <si>
    <t>Филипп</t>
  </si>
  <si>
    <t>+992 979-262-5049</t>
  </si>
  <si>
    <t>Васильев Милован Георгиевич</t>
  </si>
  <si>
    <t>Васильев</t>
  </si>
  <si>
    <t>Георгиевич</t>
  </si>
  <si>
    <t>Милован</t>
  </si>
  <si>
    <t>+7 981-183-3972</t>
  </si>
  <si>
    <t>г-н Копылов Лаврентий Артемьевич</t>
  </si>
  <si>
    <t>Лаврентий Артемьевич</t>
  </si>
  <si>
    <t>Копылов</t>
  </si>
  <si>
    <t>+7 709-119-0759</t>
  </si>
  <si>
    <t>Маслов Сократ Анатольевич</t>
  </si>
  <si>
    <t>+992 292-122-7648</t>
  </si>
  <si>
    <t>г-н Савельев Федосий Феоктистович</t>
  </si>
  <si>
    <t>Федосий Феоктистович</t>
  </si>
  <si>
    <t>Савельев</t>
  </si>
  <si>
    <t>+998 265-405-9627</t>
  </si>
  <si>
    <t>Гущин Ипполит Яковлевич</t>
  </si>
  <si>
    <t>Гущин</t>
  </si>
  <si>
    <t>Яковлевич</t>
  </si>
  <si>
    <t>Ипполит</t>
  </si>
  <si>
    <t>+992 750-248-5649</t>
  </si>
  <si>
    <t>Спиридон Чеславович Абрамов</t>
  </si>
  <si>
    <t>Спиридон</t>
  </si>
  <si>
    <t>Абрамов</t>
  </si>
  <si>
    <t>Чеславович</t>
  </si>
  <si>
    <t>+380 992-850-2292</t>
  </si>
  <si>
    <t>Тихонова Евфросиния Феликсовна</t>
  </si>
  <si>
    <t>Тихонова</t>
  </si>
  <si>
    <t>Евфросиния</t>
  </si>
  <si>
    <t>+375 840-221-8767</t>
  </si>
  <si>
    <t>Сазонова Оксана Александровна</t>
  </si>
  <si>
    <t>Сазонова</t>
  </si>
  <si>
    <t>Александровна</t>
  </si>
  <si>
    <t>Оксана</t>
  </si>
  <si>
    <t>+380 855-516-3611</t>
  </si>
  <si>
    <t>Кулакова Нина Семеновна</t>
  </si>
  <si>
    <t>Кулакова</t>
  </si>
  <si>
    <t>Семеновна</t>
  </si>
  <si>
    <t>Нина</t>
  </si>
  <si>
    <t>+998 381-147-6466</t>
  </si>
  <si>
    <t>Анна Альбертовна Никифорова</t>
  </si>
  <si>
    <t>Анна</t>
  </si>
  <si>
    <t>Никифорова</t>
  </si>
  <si>
    <t>Альбертовна</t>
  </si>
  <si>
    <t>+380 705-295-2201</t>
  </si>
  <si>
    <t>Христофор Авдеевич Щукин</t>
  </si>
  <si>
    <t>Щукин</t>
  </si>
  <si>
    <t>+7 326-132-7435</t>
  </si>
  <si>
    <t>Русаков Лев Тимурович</t>
  </si>
  <si>
    <t>Русаков</t>
  </si>
  <si>
    <t>Лев</t>
  </si>
  <si>
    <t>+7 340-358-5907</t>
  </si>
  <si>
    <t>Глафира Николаевна Мельникова</t>
  </si>
  <si>
    <t>Глафира</t>
  </si>
  <si>
    <t>Мельникова</t>
  </si>
  <si>
    <t>+998 914-522-1318</t>
  </si>
  <si>
    <t>Якушев Мина Гавриилович</t>
  </si>
  <si>
    <t>Якушев</t>
  </si>
  <si>
    <t>Гавриилович</t>
  </si>
  <si>
    <t>Мина</t>
  </si>
  <si>
    <t>+992 891-393-2973</t>
  </si>
  <si>
    <t>тов. Степанова Синклитикия Александровна</t>
  </si>
  <si>
    <t>Синклитикия Александровна</t>
  </si>
  <si>
    <t>Степанова</t>
  </si>
  <si>
    <t>+998 197-437-6957</t>
  </si>
  <si>
    <t>Федорова Жанна Вадимовна</t>
  </si>
  <si>
    <t>Федорова</t>
  </si>
  <si>
    <t>Жанна</t>
  </si>
  <si>
    <t>+380 383-190-2360</t>
  </si>
  <si>
    <t>Евфросиния Петровна Чернова</t>
  </si>
  <si>
    <t>Петровна</t>
  </si>
  <si>
    <t>+375 226-003-8992</t>
  </si>
  <si>
    <t>Кир Васильевич Горбунов</t>
  </si>
  <si>
    <t>Кир</t>
  </si>
  <si>
    <t>Горбунов</t>
  </si>
  <si>
    <t>Васильевич</t>
  </si>
  <si>
    <t>+992 906-130-4174</t>
  </si>
  <si>
    <t>Зуев Гостомысл Игоревич</t>
  </si>
  <si>
    <t>Зуев</t>
  </si>
  <si>
    <t>Гостомысл</t>
  </si>
  <si>
    <t>+7 977-556-0650</t>
  </si>
  <si>
    <t>Любовь Романовна Данилова</t>
  </si>
  <si>
    <t>Данилова</t>
  </si>
  <si>
    <t>Романовна</t>
  </si>
  <si>
    <t>+375 820-460-9487</t>
  </si>
  <si>
    <t>Калинин Лев Феодосьевич</t>
  </si>
  <si>
    <t>Феодосьевич</t>
  </si>
  <si>
    <t>+998 608-979-4237</t>
  </si>
  <si>
    <t>Марк Яковлевич Корнилов</t>
  </si>
  <si>
    <t>Марк</t>
  </si>
  <si>
    <t>Корнилов</t>
  </si>
  <si>
    <t>+380 086-392-5406</t>
  </si>
  <si>
    <t>Таисия Богдановна Якушева</t>
  </si>
  <si>
    <t>Якушева</t>
  </si>
  <si>
    <t>Богдановна</t>
  </si>
  <si>
    <t>+380 264-466-6372</t>
  </si>
  <si>
    <t>Самойлова Жанна Семеновна</t>
  </si>
  <si>
    <t>+992 644-743-9326</t>
  </si>
  <si>
    <t>Валерия Владимировна Медведева</t>
  </si>
  <si>
    <t>Валерия</t>
  </si>
  <si>
    <t>Владимировна</t>
  </si>
  <si>
    <t>+380 403-818-2198</t>
  </si>
  <si>
    <t>Филимон Ефимьевич Беляков</t>
  </si>
  <si>
    <t>Беляков</t>
  </si>
  <si>
    <t>Ефимьевич</t>
  </si>
  <si>
    <t>+7 613-538-5501</t>
  </si>
  <si>
    <t>Миронов Аверкий Зиновьевич</t>
  </si>
  <si>
    <t>Миронов</t>
  </si>
  <si>
    <t>Аверкий</t>
  </si>
  <si>
    <t>+7 670-667-8381</t>
  </si>
  <si>
    <t>Валерия Семеновна Потапова</t>
  </si>
  <si>
    <t>+7 264-686-5607</t>
  </si>
  <si>
    <t>Сорокина Феврония Геннадьевна</t>
  </si>
  <si>
    <t>+7 535-345-7895</t>
  </si>
  <si>
    <t>Любовь Альбертовна Одинцова</t>
  </si>
  <si>
    <t>Одинцова</t>
  </si>
  <si>
    <t>+992 587-542-2147</t>
  </si>
  <si>
    <t>Спиридон Владленович Воронцов</t>
  </si>
  <si>
    <t>Воронцов</t>
  </si>
  <si>
    <t>Владленович</t>
  </si>
  <si>
    <t>+375 890-614-0667</t>
  </si>
  <si>
    <t>Алевтина Михайловна Зыкова</t>
  </si>
  <si>
    <t>Алевтина</t>
  </si>
  <si>
    <t>+7 197-654-6044</t>
  </si>
  <si>
    <t>Максимова Евпраксия Ждановна</t>
  </si>
  <si>
    <t>Максимова</t>
  </si>
  <si>
    <t>+998 777-844-5783</t>
  </si>
  <si>
    <t>Анжела Ивановна Григорьева</t>
  </si>
  <si>
    <t>Григорьева</t>
  </si>
  <si>
    <t>+375 285-458-8961</t>
  </si>
  <si>
    <t>Маслова Агафья Юрьевна</t>
  </si>
  <si>
    <t>Маслова</t>
  </si>
  <si>
    <t>Агафья</t>
  </si>
  <si>
    <t>+375 389-470-8585</t>
  </si>
  <si>
    <t>Флорентин Демьянович Родионов</t>
  </si>
  <si>
    <t>Флорентин</t>
  </si>
  <si>
    <t>Демьянович</t>
  </si>
  <si>
    <t>+7 984-361-4421</t>
  </si>
  <si>
    <t>Анжелика Валериевна Рожкова</t>
  </si>
  <si>
    <t>Анжелика</t>
  </si>
  <si>
    <t>Рожкова</t>
  </si>
  <si>
    <t>+998 643-985-0175</t>
  </si>
  <si>
    <t>Виктория Наумовна Никитина</t>
  </si>
  <si>
    <t>Виктория</t>
  </si>
  <si>
    <t>Никитина</t>
  </si>
  <si>
    <t>+992 330-173-6947</t>
  </si>
  <si>
    <t>Брагина Полина Евгеньевна</t>
  </si>
  <si>
    <t>+380 459-176-1508</t>
  </si>
  <si>
    <t>Суханова Алла Эльдаровна</t>
  </si>
  <si>
    <t>Суханова</t>
  </si>
  <si>
    <t>Алла</t>
  </si>
  <si>
    <t>+7 487-712-2137</t>
  </si>
  <si>
    <t>Юрий Августович Исаков</t>
  </si>
  <si>
    <t>Юрий</t>
  </si>
  <si>
    <t>+7 616-701-4879</t>
  </si>
  <si>
    <t>Конон Валентинович Владимиров</t>
  </si>
  <si>
    <t>Конон</t>
  </si>
  <si>
    <t>Валентинович</t>
  </si>
  <si>
    <t>+998 766-764-4076</t>
  </si>
  <si>
    <t>Елисей Игнатович Лобанов</t>
  </si>
  <si>
    <t>Елисей</t>
  </si>
  <si>
    <t>+380 270-120-1119</t>
  </si>
  <si>
    <t>Белов Симон Иосипович</t>
  </si>
  <si>
    <t>Белов</t>
  </si>
  <si>
    <t>Симон</t>
  </si>
  <si>
    <t>+992 257-520-2828</t>
  </si>
  <si>
    <t>Рожкова Маргарита Артемовна</t>
  </si>
  <si>
    <t>Артемовна</t>
  </si>
  <si>
    <t>+992 403-930-8580</t>
  </si>
  <si>
    <t>Андрон Валерьевич Морозов</t>
  </si>
  <si>
    <t>Андрон</t>
  </si>
  <si>
    <t>Морозов</t>
  </si>
  <si>
    <t>+992 672-498-6349</t>
  </si>
  <si>
    <t>Иванна Захаровна Сергеева</t>
  </si>
  <si>
    <t>Сергеева</t>
  </si>
  <si>
    <t>+380 921-086-4453</t>
  </si>
  <si>
    <t>Русаков Модест Захарьевич</t>
  </si>
  <si>
    <t>Захарьевич</t>
  </si>
  <si>
    <t>Модест</t>
  </si>
  <si>
    <t>+380 260-756-9533</t>
  </si>
  <si>
    <t>Шарова Екатерина Леоновна</t>
  </si>
  <si>
    <t>Шарова</t>
  </si>
  <si>
    <t>Екатерина</t>
  </si>
  <si>
    <t>+992 266-513-0456</t>
  </si>
  <si>
    <t>Цветков Лука Витальевич</t>
  </si>
  <si>
    <t>Цветков</t>
  </si>
  <si>
    <t>Витальевич</t>
  </si>
  <si>
    <t>+7 869-111-2094</t>
  </si>
  <si>
    <t>Мясников Зосима Якубович</t>
  </si>
  <si>
    <t>Мясников</t>
  </si>
  <si>
    <t>Зосима</t>
  </si>
  <si>
    <t>+7 412-542-8365</t>
  </si>
  <si>
    <t>Бирюкова Агафья Артемовна</t>
  </si>
  <si>
    <t>Бирюкова</t>
  </si>
  <si>
    <t>+7 844-239-9142</t>
  </si>
  <si>
    <t>Савельев Климент Гурьевич</t>
  </si>
  <si>
    <t>Климент</t>
  </si>
  <si>
    <t>+7 661-552-6669</t>
  </si>
  <si>
    <t>Волкова Валентина Николаевна</t>
  </si>
  <si>
    <t>Волкова</t>
  </si>
  <si>
    <t>+7 524-093-8464</t>
  </si>
  <si>
    <t>Автоном Терентьевич Филиппов</t>
  </si>
  <si>
    <t>Автоном</t>
  </si>
  <si>
    <t>+7 974-088-4889</t>
  </si>
  <si>
    <t>Абрамов Адриан Фролович</t>
  </si>
  <si>
    <t>Фролович</t>
  </si>
  <si>
    <t>Адриан</t>
  </si>
  <si>
    <t>+998 113-461-2855</t>
  </si>
  <si>
    <t>Самсонов Борислав Фролович</t>
  </si>
  <si>
    <t>Самсонов</t>
  </si>
  <si>
    <t>Борислав</t>
  </si>
  <si>
    <t>+7 925-005-3361</t>
  </si>
  <si>
    <t>Сысоева Светлана Захаровна</t>
  </si>
  <si>
    <t>Сысоева</t>
  </si>
  <si>
    <t>Светлана</t>
  </si>
  <si>
    <t>+380 524-191-7258</t>
  </si>
  <si>
    <t>Ия Робертовна Белова</t>
  </si>
  <si>
    <t>Белова</t>
  </si>
  <si>
    <t>Робертовна</t>
  </si>
  <si>
    <t>+375 690-843-0501</t>
  </si>
  <si>
    <t>Лукин Борис Власович</t>
  </si>
  <si>
    <t>Власович</t>
  </si>
  <si>
    <t>Борис</t>
  </si>
  <si>
    <t>+7 778-043-0691</t>
  </si>
  <si>
    <t>Никанор Феодосьевич Воронов</t>
  </si>
  <si>
    <t>Никанор</t>
  </si>
  <si>
    <t>Воронов</t>
  </si>
  <si>
    <t>+7 319-073-7259</t>
  </si>
  <si>
    <t>Александр Архипович Гущин</t>
  </si>
  <si>
    <t>Александр</t>
  </si>
  <si>
    <t>Архипович</t>
  </si>
  <si>
    <t>+992 943-140-9489</t>
  </si>
  <si>
    <t>Большаков Антип Тихонович</t>
  </si>
  <si>
    <t>Большаков</t>
  </si>
  <si>
    <t>Тихонович</t>
  </si>
  <si>
    <t>+998 154-674-1649</t>
  </si>
  <si>
    <t>Костина Жанна Рубеновна</t>
  </si>
  <si>
    <t>Костина</t>
  </si>
  <si>
    <t>Рубеновна</t>
  </si>
  <si>
    <t>+992 442-185-5422</t>
  </si>
  <si>
    <t>Устинов Милан Архипович</t>
  </si>
  <si>
    <t>Устинов</t>
  </si>
  <si>
    <t>Милан</t>
  </si>
  <si>
    <t>+7 584-823-9648</t>
  </si>
  <si>
    <t>Муравьева Алла Петровна</t>
  </si>
  <si>
    <t>Муравьева</t>
  </si>
  <si>
    <t>+998 838-480-9390</t>
  </si>
  <si>
    <t>Давыд Фёдорович Белоусов</t>
  </si>
  <si>
    <t>Давыд</t>
  </si>
  <si>
    <t>Белоусов</t>
  </si>
  <si>
    <t>Фёдорович</t>
  </si>
  <si>
    <t>+992 638-430-8419</t>
  </si>
  <si>
    <t>Никонов Софон Авдеевич</t>
  </si>
  <si>
    <t>+7 296-302-4718</t>
  </si>
  <si>
    <t>Фокин Глеб Елизарович</t>
  </si>
  <si>
    <t>Елизарович</t>
  </si>
  <si>
    <t>Глеб</t>
  </si>
  <si>
    <t>+7 572-970-7703</t>
  </si>
  <si>
    <t>Устинов Евграф Исидорович</t>
  </si>
  <si>
    <t>Исидорович</t>
  </si>
  <si>
    <t>Евграф</t>
  </si>
  <si>
    <t>+375 958-521-7488</t>
  </si>
  <si>
    <t>Ирина Анатольевна Васильева</t>
  </si>
  <si>
    <t>Васильева</t>
  </si>
  <si>
    <t>Анатольевна</t>
  </si>
  <si>
    <t>+380 315-815-3268</t>
  </si>
  <si>
    <t>Герман Арсеньевич Калинин</t>
  </si>
  <si>
    <t>Герман</t>
  </si>
  <si>
    <t>+998 697-530-0958</t>
  </si>
  <si>
    <t>Юлия Кузьминична Капустина</t>
  </si>
  <si>
    <t>+7 466-253-9021</t>
  </si>
  <si>
    <t>Суханов Станислав Архипович</t>
  </si>
  <si>
    <t>Суханов</t>
  </si>
  <si>
    <t>Станислав</t>
  </si>
  <si>
    <t>+375 299-252-6550</t>
  </si>
  <si>
    <t>Никита Венедиктович Третьяков</t>
  </si>
  <si>
    <t>Никита</t>
  </si>
  <si>
    <t>Венедиктович</t>
  </si>
  <si>
    <t>+7 449-357-2065</t>
  </si>
  <si>
    <t>Журавлева Александра Валентиновна</t>
  </si>
  <si>
    <t>Валентиновна</t>
  </si>
  <si>
    <t>+7 456-978-0873</t>
  </si>
  <si>
    <t>Алевтина Архиповна Ефимова</t>
  </si>
  <si>
    <t>Архиповна</t>
  </si>
  <si>
    <t>+380 286-003-5332</t>
  </si>
  <si>
    <t>Вероника Руслановна Ефремова</t>
  </si>
  <si>
    <t>Ефремова</t>
  </si>
  <si>
    <t>+7 362-778-4019</t>
  </si>
  <si>
    <t>Красильников Павел Ермилович</t>
  </si>
  <si>
    <t>Красильников</t>
  </si>
  <si>
    <t>Ермилович</t>
  </si>
  <si>
    <t>+998 169-477-8408</t>
  </si>
  <si>
    <t>Гуляева Раиса Кузьминична</t>
  </si>
  <si>
    <t>Гуляева</t>
  </si>
  <si>
    <t>+998 213-223-6638</t>
  </si>
  <si>
    <t>Маркова Василиса Юрьевна</t>
  </si>
  <si>
    <t>Маркова</t>
  </si>
  <si>
    <t>+7 244-331-6219</t>
  </si>
  <si>
    <t>Николай Гавриилович Савин</t>
  </si>
  <si>
    <t>Николай</t>
  </si>
  <si>
    <t>Савин</t>
  </si>
  <si>
    <t>+7 782-443-4000</t>
  </si>
  <si>
    <t>Максимова Елена Валериевна</t>
  </si>
  <si>
    <t>Елена</t>
  </si>
  <si>
    <t>+7 648-807-1917</t>
  </si>
  <si>
    <t>Никифоров Богдан Харитонович</t>
  </si>
  <si>
    <t>Богдан</t>
  </si>
  <si>
    <t>+7 225-063-9920</t>
  </si>
  <si>
    <t>Велимир Игоревич Макаров</t>
  </si>
  <si>
    <t>Велимир</t>
  </si>
  <si>
    <t>Макаров</t>
  </si>
  <si>
    <t>+7 421-153-6302</t>
  </si>
  <si>
    <t>Тимофеев Аполлинарий Фомич</t>
  </si>
  <si>
    <t>Тимофеев</t>
  </si>
  <si>
    <t>Аполлинарий</t>
  </si>
  <si>
    <t>+7 945-211-9429</t>
  </si>
  <si>
    <t>Потап Егорович Лапин</t>
  </si>
  <si>
    <t>Потап</t>
  </si>
  <si>
    <t>Егорович</t>
  </si>
  <si>
    <t>+7 379-140-2865</t>
  </si>
  <si>
    <t>Никита Виленович Степанов</t>
  </si>
  <si>
    <t>Степанов</t>
  </si>
  <si>
    <t>+7 685-361-2926</t>
  </si>
  <si>
    <t>Агап Валерьевич Логинов</t>
  </si>
  <si>
    <t>Агап</t>
  </si>
  <si>
    <t>Логинов</t>
  </si>
  <si>
    <t>+998 997-462-0828</t>
  </si>
  <si>
    <t>Исакова Людмила Олеговна</t>
  </si>
  <si>
    <t>Исакова</t>
  </si>
  <si>
    <t>Людмила</t>
  </si>
  <si>
    <t>+7 028-813-4020</t>
  </si>
  <si>
    <t>Вишняков Ярослав Анатольевич</t>
  </si>
  <si>
    <t>Ярослав</t>
  </si>
  <si>
    <t>+380 802-906-1048</t>
  </si>
  <si>
    <t>Нестеров Чеслав Аверьянович</t>
  </si>
  <si>
    <t>Нестеров</t>
  </si>
  <si>
    <t>Аверьянович</t>
  </si>
  <si>
    <t>+998 247-862-3690</t>
  </si>
  <si>
    <t>Валерьян Федосеевич Цветков</t>
  </si>
  <si>
    <t>Федосеевич</t>
  </si>
  <si>
    <t>+380 728-449-1745</t>
  </si>
  <si>
    <t>Матвей Адамович Богданов</t>
  </si>
  <si>
    <t>Матвей</t>
  </si>
  <si>
    <t>Богданов</t>
  </si>
  <si>
    <t>Адамович</t>
  </si>
  <si>
    <t>+375 524-220-8374</t>
  </si>
  <si>
    <t>Владимирова Алина Феликсовна</t>
  </si>
  <si>
    <t>Владимирова</t>
  </si>
  <si>
    <t>+992 028-876-8250</t>
  </si>
  <si>
    <t>Лора Вадимовна Турова</t>
  </si>
  <si>
    <t>Турова</t>
  </si>
  <si>
    <t>+380 280-785-9631</t>
  </si>
  <si>
    <t>Мирон Давидович Горбачев</t>
  </si>
  <si>
    <t>Мирон</t>
  </si>
  <si>
    <t>Горбачев</t>
  </si>
  <si>
    <t>Давидович</t>
  </si>
  <si>
    <t>+7 304-758-2488</t>
  </si>
  <si>
    <t>Юлия Геннадиевна Белякова</t>
  </si>
  <si>
    <t>Белякова</t>
  </si>
  <si>
    <t>Геннадиевна</t>
  </si>
  <si>
    <t>+7 212-350-2928</t>
  </si>
  <si>
    <t>Ермаков Ярослав Тихонович</t>
  </si>
  <si>
    <t>+998 438-329-1521</t>
  </si>
  <si>
    <t>Баранов Эраст Терентьевич</t>
  </si>
  <si>
    <t>Баранов</t>
  </si>
  <si>
    <t>Эраст</t>
  </si>
  <si>
    <t>+992 638-653-7931</t>
  </si>
  <si>
    <t>Вероника Геннадьевна Воронова</t>
  </si>
  <si>
    <t>Воронова</t>
  </si>
  <si>
    <t>+7 181-999-1398</t>
  </si>
  <si>
    <t>Назарова Ия Ивановна</t>
  </si>
  <si>
    <t>+7 052-743-8708</t>
  </si>
  <si>
    <t>Любомир Архипович Пономарев</t>
  </si>
  <si>
    <t>Пономарев</t>
  </si>
  <si>
    <t>+998 583-835-9258</t>
  </si>
  <si>
    <t>Елизавета Яковлевна Лапина</t>
  </si>
  <si>
    <t>Яковлевна</t>
  </si>
  <si>
    <t>+380 249-840-3292</t>
  </si>
  <si>
    <t>Гурьева Людмила Владимировна</t>
  </si>
  <si>
    <t>Гурьева</t>
  </si>
  <si>
    <t>+7 894-629-6946</t>
  </si>
  <si>
    <t>Фёкла Натановна Дементьева</t>
  </si>
  <si>
    <t>Дементьева</t>
  </si>
  <si>
    <t>+380 119-291-6424</t>
  </si>
  <si>
    <t>Маслова Иванна Макаровна</t>
  </si>
  <si>
    <t>Макаровна</t>
  </si>
  <si>
    <t>+7 629-137-1639</t>
  </si>
  <si>
    <t>Клавдия Богдановна Ковалева</t>
  </si>
  <si>
    <t>Клавдия</t>
  </si>
  <si>
    <t>Ковалева</t>
  </si>
  <si>
    <t>+7 560-711-8976</t>
  </si>
  <si>
    <t>Евсеев Ратмир Артемьевич</t>
  </si>
  <si>
    <t>Евсеев</t>
  </si>
  <si>
    <t>Артемьевич</t>
  </si>
  <si>
    <t>Ратмир</t>
  </si>
  <si>
    <t>+375 881-217-3017</t>
  </si>
  <si>
    <t>Клавдия Константиновна Хохлова</t>
  </si>
  <si>
    <t>Хохлова</t>
  </si>
  <si>
    <t>Константиновна</t>
  </si>
  <si>
    <t>+380 960-351-2387</t>
  </si>
  <si>
    <t>Анастасия Альбертовна Фролова</t>
  </si>
  <si>
    <t>Фролова</t>
  </si>
  <si>
    <t>+375 081-974-3402</t>
  </si>
  <si>
    <t>Федосеева Василиса Аскольдовна</t>
  </si>
  <si>
    <t>+992 046-188-5111</t>
  </si>
  <si>
    <t>Евгения Георгиевна Рожкова</t>
  </si>
  <si>
    <t>+7 219-084-6295</t>
  </si>
  <si>
    <t>Ксения Кузьминична Авдеева</t>
  </si>
  <si>
    <t>Ксения</t>
  </si>
  <si>
    <t>Авдеева</t>
  </si>
  <si>
    <t>+7 502-802-5787</t>
  </si>
  <si>
    <t>Елена Эдуардовна Кудряшова</t>
  </si>
  <si>
    <t>+7 269-195-3186</t>
  </si>
  <si>
    <t>Константин Ефимьевич Колесников</t>
  </si>
  <si>
    <t>Константин</t>
  </si>
  <si>
    <t>Колесников</t>
  </si>
  <si>
    <t>+7 836-233-8115</t>
  </si>
  <si>
    <t>Евпраксия Федоровна Фомина</t>
  </si>
  <si>
    <t>Фомина</t>
  </si>
  <si>
    <t>+380 469-601-0972</t>
  </si>
  <si>
    <t>Дмитрий Трифонович Денисов</t>
  </si>
  <si>
    <t>Дмитрий</t>
  </si>
  <si>
    <t>Денисов</t>
  </si>
  <si>
    <t>Трифонович</t>
  </si>
  <si>
    <t>+992 555-207-4186</t>
  </si>
  <si>
    <t>Пелагея Антоновна Цветкова</t>
  </si>
  <si>
    <t>Пелагея</t>
  </si>
  <si>
    <t>Цветкова</t>
  </si>
  <si>
    <t>Антоновна</t>
  </si>
  <si>
    <t>+380 937-173-7394</t>
  </si>
  <si>
    <t>Давыдов Амос Владиславович</t>
  </si>
  <si>
    <t>Владиславович</t>
  </si>
  <si>
    <t>Амос</t>
  </si>
  <si>
    <t>+992 059-483-3104</t>
  </si>
  <si>
    <t>Лазарев Аникей Венедиктович</t>
  </si>
  <si>
    <t>Аникей</t>
  </si>
  <si>
    <t>+992 226-423-7263</t>
  </si>
  <si>
    <t>Фомина Антонина Павловна</t>
  </si>
  <si>
    <t>Антонина</t>
  </si>
  <si>
    <t>+992 964-689-9206</t>
  </si>
  <si>
    <t>Ираида Феликсовна Белоусова</t>
  </si>
  <si>
    <t>Ираида</t>
  </si>
  <si>
    <t>Белоусова</t>
  </si>
  <si>
    <t>+380 671-809-3559</t>
  </si>
  <si>
    <t>Кира Степановна Рогова</t>
  </si>
  <si>
    <t>Кира</t>
  </si>
  <si>
    <t>Рогова</t>
  </si>
  <si>
    <t>Степановна</t>
  </si>
  <si>
    <t>+380 611-258-8704</t>
  </si>
  <si>
    <t>Кузнецов Севастьян Валерьевич</t>
  </si>
  <si>
    <t>Кузнецов</t>
  </si>
  <si>
    <t>Севастьян</t>
  </si>
  <si>
    <t>+375 242-923-3569</t>
  </si>
  <si>
    <t>Ираида Егоровна Родионова</t>
  </si>
  <si>
    <t>+7 069-852-7793</t>
  </si>
  <si>
    <t>Шубин Орест Августович</t>
  </si>
  <si>
    <t>Шубин</t>
  </si>
  <si>
    <t>Орест</t>
  </si>
  <si>
    <t>+7 891-832-3772</t>
  </si>
  <si>
    <t>Сорокина Марфа Викторовна</t>
  </si>
  <si>
    <t>+992 852-358-1111</t>
  </si>
  <si>
    <t>Лариса Степановна Гурьева</t>
  </si>
  <si>
    <t>Лариса</t>
  </si>
  <si>
    <t>+998 087-023-3754</t>
  </si>
  <si>
    <t>Олимпиада Львовна Михайлова</t>
  </si>
  <si>
    <t>Олимпиада</t>
  </si>
  <si>
    <t>Михайлова</t>
  </si>
  <si>
    <t>+998 276-111-5039</t>
  </si>
  <si>
    <t>Савватий Богданович Фролов</t>
  </si>
  <si>
    <t>Савватий</t>
  </si>
  <si>
    <t>Фролов</t>
  </si>
  <si>
    <t>Богданович</t>
  </si>
  <si>
    <t>+998 455-040-0995</t>
  </si>
  <si>
    <t>Евфросиния Тимофеевна Миронова</t>
  </si>
  <si>
    <t>Миронова</t>
  </si>
  <si>
    <t>Тимофеевна</t>
  </si>
  <si>
    <t>+7 689-265-9126</t>
  </si>
  <si>
    <t>Назаров Пантелеймон Трофимович</t>
  </si>
  <si>
    <t>Трофимович</t>
  </si>
  <si>
    <t>Пантелеймон</t>
  </si>
  <si>
    <t>+998 523-421-5092</t>
  </si>
  <si>
    <t>Любим Зиновьевич Брагин</t>
  </si>
  <si>
    <t>Любим</t>
  </si>
  <si>
    <t>+375 678-304-0891</t>
  </si>
  <si>
    <t>Вероника Сергеевна Блинова</t>
  </si>
  <si>
    <t>Блинова</t>
  </si>
  <si>
    <t>+992 647-315-8824</t>
  </si>
  <si>
    <t>Прасковья Яковлевна Белоусова</t>
  </si>
  <si>
    <t>Прасковья</t>
  </si>
  <si>
    <t>+998 737-854-0193</t>
  </si>
  <si>
    <t>Родион Яковлевич Коновалов</t>
  </si>
  <si>
    <t>Коновалов</t>
  </si>
  <si>
    <t>+7 772-932-9839</t>
  </si>
  <si>
    <t>Артемьева София Ильинична</t>
  </si>
  <si>
    <t>Ильинична</t>
  </si>
  <si>
    <t>София</t>
  </si>
  <si>
    <t>+380 737-667-7208</t>
  </si>
  <si>
    <t>Дьячков Серафим Дорофеевич</t>
  </si>
  <si>
    <t>Дьячков</t>
  </si>
  <si>
    <t>Дорофеевич</t>
  </si>
  <si>
    <t>Серафим</t>
  </si>
  <si>
    <t>+7 231-022-9731</t>
  </si>
  <si>
    <t>Боян Дорофеевич Калашников</t>
  </si>
  <si>
    <t>Калашников</t>
  </si>
  <si>
    <t>+992 013-075-6493</t>
  </si>
  <si>
    <t>Синклитикия Никифоровна Овчинникова</t>
  </si>
  <si>
    <t>Синклитикия</t>
  </si>
  <si>
    <t>Овчинникова</t>
  </si>
  <si>
    <t>+992 403-485-6889</t>
  </si>
  <si>
    <t>Елизар Архипович Щербаков</t>
  </si>
  <si>
    <t>Елизар</t>
  </si>
  <si>
    <t>Щербаков</t>
  </si>
  <si>
    <t>+375 342-835-7024</t>
  </si>
  <si>
    <t>Любовь Павловна Капустина</t>
  </si>
  <si>
    <t>+992 412-286-2797</t>
  </si>
  <si>
    <t>Арсений Ермолаевич Емельянов</t>
  </si>
  <si>
    <t>Емельянов</t>
  </si>
  <si>
    <t>Ермолаевич</t>
  </si>
  <si>
    <t>+992 878-995-1603</t>
  </si>
  <si>
    <t>Мария Анатольевна Смирнова</t>
  </si>
  <si>
    <t>Смирнова</t>
  </si>
  <si>
    <t>+992 841-082-9227</t>
  </si>
  <si>
    <t>Эдуард Фадеевич Сергеев</t>
  </si>
  <si>
    <t>Эдуард</t>
  </si>
  <si>
    <t>Сергеев</t>
  </si>
  <si>
    <t>Фадеевич</t>
  </si>
  <si>
    <t>+992 976-290-1474</t>
  </si>
  <si>
    <t>Анастасия Игоревна Белова</t>
  </si>
  <si>
    <t>+992 520-869-0598</t>
  </si>
  <si>
    <t>Демид Антонович Мясников</t>
  </si>
  <si>
    <t>+7 730-745-5768</t>
  </si>
  <si>
    <t>Феврония Антоновна Кулагина</t>
  </si>
  <si>
    <t>Кулагина</t>
  </si>
  <si>
    <t>+7 816-795-8885</t>
  </si>
  <si>
    <t>Ермакова Дарья Алексеевна</t>
  </si>
  <si>
    <t>Ермакова</t>
  </si>
  <si>
    <t>Дарья</t>
  </si>
  <si>
    <t>+992 980-571-8150</t>
  </si>
  <si>
    <t>Шестакова Элеонора Дмитриевна</t>
  </si>
  <si>
    <t>Дмитриевна</t>
  </si>
  <si>
    <t>+7 173-514-9301</t>
  </si>
  <si>
    <t>Михей Феликсович Лихачев</t>
  </si>
  <si>
    <t>Михей</t>
  </si>
  <si>
    <t>Лихачев</t>
  </si>
  <si>
    <t>+7 559-899-4463</t>
  </si>
  <si>
    <t>Ираклий Изотович Авдеев</t>
  </si>
  <si>
    <t>Ираклий</t>
  </si>
  <si>
    <t>Изотович</t>
  </si>
  <si>
    <t>+7 747-866-6152</t>
  </si>
  <si>
    <t>Кононова Прасковья Павловна</t>
  </si>
  <si>
    <t>Кононова</t>
  </si>
  <si>
    <t>+7 524-548-9435</t>
  </si>
  <si>
    <t>Любомир Валерианович Туров</t>
  </si>
  <si>
    <t>Туров</t>
  </si>
  <si>
    <t>Валерианович</t>
  </si>
  <si>
    <t>+998 833-068-3629</t>
  </si>
  <si>
    <t>Сергеев Панкратий Теймуразович</t>
  </si>
  <si>
    <t>Теймуразович</t>
  </si>
  <si>
    <t>Панкратий</t>
  </si>
  <si>
    <t>+380 250-699-1873</t>
  </si>
  <si>
    <t>Татьяна Павловна Павлова</t>
  </si>
  <si>
    <t>Павлова</t>
  </si>
  <si>
    <t>+380 672-066-4140</t>
  </si>
  <si>
    <t>Поляков Силантий Адамович</t>
  </si>
  <si>
    <t>Силантий</t>
  </si>
  <si>
    <t>+380 959-961-5281</t>
  </si>
  <si>
    <t>Герасимов Родион Харитонович</t>
  </si>
  <si>
    <t>+992 353-055-1290</t>
  </si>
  <si>
    <t>Эмилия Вадимовна Александрова</t>
  </si>
  <si>
    <t>Александрова</t>
  </si>
  <si>
    <t>+380 229-176-0124</t>
  </si>
  <si>
    <t>Нинель Кузьминична Журавлева</t>
  </si>
  <si>
    <t>+998 941-560-7307</t>
  </si>
  <si>
    <t>Маркова Ксения Максимовна</t>
  </si>
  <si>
    <t>+7 322-163-7549</t>
  </si>
  <si>
    <t>Фомичев Ипполит Артурович</t>
  </si>
  <si>
    <t>Артурович</t>
  </si>
  <si>
    <t>+998 087-830-4222</t>
  </si>
  <si>
    <t>Галактион Жанович Новиков</t>
  </si>
  <si>
    <t>Галактион</t>
  </si>
  <si>
    <t>Новиков</t>
  </si>
  <si>
    <t>+998 965-511-3258</t>
  </si>
  <si>
    <t>Алевтина Ефимовна Белякова</t>
  </si>
  <si>
    <t>+7 120-273-0435</t>
  </si>
  <si>
    <t>Куликова Евгения Григорьевна</t>
  </si>
  <si>
    <t>Куликова</t>
  </si>
  <si>
    <t>Григорьевна</t>
  </si>
  <si>
    <t>+7 529-529-9415</t>
  </si>
  <si>
    <t>Кошелева Марина Рудольфовна</t>
  </si>
  <si>
    <t>Кошелева</t>
  </si>
  <si>
    <t>Рудольфовна</t>
  </si>
  <si>
    <t>Марина</t>
  </si>
  <si>
    <t>+998 999-821-3025</t>
  </si>
  <si>
    <t>Пахом Даниилович Кузьмин</t>
  </si>
  <si>
    <t>Пахом</t>
  </si>
  <si>
    <t>Кузьмин</t>
  </si>
  <si>
    <t>+7 142-825-3773</t>
  </si>
  <si>
    <t>Морозова Феврония Николаевна</t>
  </si>
  <si>
    <t>+998 783-609-3463</t>
  </si>
  <si>
    <t>Дарья Степановна Потапова</t>
  </si>
  <si>
    <t>+7 731-326-3751</t>
  </si>
  <si>
    <t>Владимиров Орест Артемьевич</t>
  </si>
  <si>
    <t>+998 271-883-9995</t>
  </si>
  <si>
    <t>Калинин Никита Артурович</t>
  </si>
  <si>
    <t>+375 563-314-3708</t>
  </si>
  <si>
    <t>Зоя Вячеславовна Панова</t>
  </si>
  <si>
    <t>+375 280-614-3764</t>
  </si>
  <si>
    <t>Лука Игнатьевич Власов</t>
  </si>
  <si>
    <t>Власов</t>
  </si>
  <si>
    <t>Игнатьевич</t>
  </si>
  <si>
    <t>+375 844-419-2850</t>
  </si>
  <si>
    <t>Лавр Харлампович Беляков</t>
  </si>
  <si>
    <t>Лавр</t>
  </si>
  <si>
    <t>Харлампович</t>
  </si>
  <si>
    <t>+998 225-019-2493</t>
  </si>
  <si>
    <t>Прасковья Петровна Дементьева</t>
  </si>
  <si>
    <t>+998 955-643-6256</t>
  </si>
  <si>
    <t>Евдокия Ефимовна Карпова</t>
  </si>
  <si>
    <t>Карпова</t>
  </si>
  <si>
    <t>+7 191-068-2694</t>
  </si>
  <si>
    <t>Корнил Адрианович Комиссаров</t>
  </si>
  <si>
    <t>Корнил</t>
  </si>
  <si>
    <t>Комиссаров</t>
  </si>
  <si>
    <t>Адрианович</t>
  </si>
  <si>
    <t>+380 001-347-5456</t>
  </si>
  <si>
    <t>Алексей Трифонович Блинов</t>
  </si>
  <si>
    <t>Алексей</t>
  </si>
  <si>
    <t>+992 902-872-9763</t>
  </si>
  <si>
    <t>Орехова Кира Натановна</t>
  </si>
  <si>
    <t>Орехова</t>
  </si>
  <si>
    <t>+375 515-558-2884</t>
  </si>
  <si>
    <t>Рубен Димитриевич Веселов</t>
  </si>
  <si>
    <t>Рубен</t>
  </si>
  <si>
    <t>Веселов</t>
  </si>
  <si>
    <t>Димитриевич</t>
  </si>
  <si>
    <t>+992 124-441-2478</t>
  </si>
  <si>
    <t>Валентина Кирилловна Семенова</t>
  </si>
  <si>
    <t>Семенова</t>
  </si>
  <si>
    <t>+380 266-548-4802</t>
  </si>
  <si>
    <t>Журавлев Аристарх Евсеевич</t>
  </si>
  <si>
    <t>Журавлев</t>
  </si>
  <si>
    <t>Евсеевич</t>
  </si>
  <si>
    <t>Аристарх</t>
  </si>
  <si>
    <t>+998 286-143-0624</t>
  </si>
  <si>
    <t>Силина Татьяна Аркадьевна</t>
  </si>
  <si>
    <t>Силина</t>
  </si>
  <si>
    <t>Аркадьевна</t>
  </si>
  <si>
    <t>+380 169-087-4183</t>
  </si>
  <si>
    <t>Николай Феоктистович Дроздов</t>
  </si>
  <si>
    <t>Дроздов</t>
  </si>
  <si>
    <t>Феоктистович</t>
  </si>
  <si>
    <t>+7 916-678-5714</t>
  </si>
  <si>
    <t>Радислав Герасимович Колобов</t>
  </si>
  <si>
    <t>Колобов</t>
  </si>
  <si>
    <t>Герасимович</t>
  </si>
  <si>
    <t>+998 936-440-2703</t>
  </si>
  <si>
    <t>Мартын Августович Баранов</t>
  </si>
  <si>
    <t>Мартын</t>
  </si>
  <si>
    <t>+998 090-420-2619</t>
  </si>
  <si>
    <t>Алла Геннадьевна Фомина</t>
  </si>
  <si>
    <t>+7 722-155-8660</t>
  </si>
  <si>
    <t>Копылова Эмилия Тарасовна</t>
  </si>
  <si>
    <t>Тарасовна</t>
  </si>
  <si>
    <t>+998 437-737-9329</t>
  </si>
  <si>
    <t>Власов Адриан Чеславович</t>
  </si>
  <si>
    <t>+998 773-281-1360</t>
  </si>
  <si>
    <t>Григорьева Ульяна Артемовна</t>
  </si>
  <si>
    <t>+380 363-690-1507</t>
  </si>
  <si>
    <t>Давыд Филатович Мухин</t>
  </si>
  <si>
    <t>Филатович</t>
  </si>
  <si>
    <t>+380 922-338-1312</t>
  </si>
  <si>
    <t>Аггей Валентинович Артемьев</t>
  </si>
  <si>
    <t>Артемьев</t>
  </si>
  <si>
    <t>+7 189-378-6167</t>
  </si>
  <si>
    <t>Антонина Борисовна Жданова</t>
  </si>
  <si>
    <t>Жданова</t>
  </si>
  <si>
    <t>+7 747-226-1755</t>
  </si>
  <si>
    <t>Маслов Захар Феофанович</t>
  </si>
  <si>
    <t>Феофанович</t>
  </si>
  <si>
    <t>Захар</t>
  </si>
  <si>
    <t>+7 402-873-2919</t>
  </si>
  <si>
    <t>Станислав Ильясович Ширяев</t>
  </si>
  <si>
    <t>Ширяев</t>
  </si>
  <si>
    <t>+998 661-487-5525</t>
  </si>
  <si>
    <t>Наталья Геннадьевна Колесникова</t>
  </si>
  <si>
    <t>Наталья</t>
  </si>
  <si>
    <t>+375 972-832-7690</t>
  </si>
  <si>
    <t>Ермаков Степан Егорович</t>
  </si>
  <si>
    <t>Степан</t>
  </si>
  <si>
    <t>+7 729-805-4220</t>
  </si>
  <si>
    <t>Маслова Анастасия Станиславовна</t>
  </si>
  <si>
    <t>+998 035-761-6314</t>
  </si>
  <si>
    <t>Марфа Георгиевна Титова</t>
  </si>
  <si>
    <t>Титова</t>
  </si>
  <si>
    <t>+380 329-195-8747</t>
  </si>
  <si>
    <t>Копылов Мартьян Августович</t>
  </si>
  <si>
    <t>Мартьян</t>
  </si>
  <si>
    <t>+375 824-010-1358</t>
  </si>
  <si>
    <t>Рогов Сила Гордеевич</t>
  </si>
  <si>
    <t>Рогов</t>
  </si>
  <si>
    <t>Гордеевич</t>
  </si>
  <si>
    <t>+7 091-838-5158</t>
  </si>
  <si>
    <t>Леон Аверьянович Захаров</t>
  </si>
  <si>
    <t>Леон</t>
  </si>
  <si>
    <t>Захаров</t>
  </si>
  <si>
    <t>+992 852-094-1088</t>
  </si>
  <si>
    <t>Захар Артемьевич Воробьев</t>
  </si>
  <si>
    <t>+992 204-182-8433</t>
  </si>
  <si>
    <t>Вадим Артёмович Анисимов</t>
  </si>
  <si>
    <t>Анисимов</t>
  </si>
  <si>
    <t>Артёмович</t>
  </si>
  <si>
    <t>+7 147-975-5645</t>
  </si>
  <si>
    <t>Михеев Андроник Ефимьевич</t>
  </si>
  <si>
    <t>Михеев</t>
  </si>
  <si>
    <t>Андроник</t>
  </si>
  <si>
    <t>+380 916-341-6028</t>
  </si>
  <si>
    <t>Лаврентьева Маргарита Артемовна</t>
  </si>
  <si>
    <t>Лаврентьева</t>
  </si>
  <si>
    <t>+380 809-127-8060</t>
  </si>
  <si>
    <t>Измаил Глебович Зыков</t>
  </si>
  <si>
    <t>Зыков</t>
  </si>
  <si>
    <t>+7 885-064-8776</t>
  </si>
  <si>
    <t>Щукина Элеонора Робертовна</t>
  </si>
  <si>
    <t>Щукина</t>
  </si>
  <si>
    <t>+7 875-362-2366</t>
  </si>
  <si>
    <t>Амвросий Артемьевич Гаврилов</t>
  </si>
  <si>
    <t>Амвросий</t>
  </si>
  <si>
    <t>Гаврилов</t>
  </si>
  <si>
    <t>+998 301-225-3693</t>
  </si>
  <si>
    <t>Феврония Юрьевна Шубина</t>
  </si>
  <si>
    <t>Шубина</t>
  </si>
  <si>
    <t>+375 956-020-3484</t>
  </si>
  <si>
    <t>Никитина Лора Георгиевна</t>
  </si>
  <si>
    <t>+375 165-356-7542</t>
  </si>
  <si>
    <t>Максим Анатольевич Семенов</t>
  </si>
  <si>
    <t>Максим</t>
  </si>
  <si>
    <t>Семенов</t>
  </si>
  <si>
    <t>+998 455-746-0633</t>
  </si>
  <si>
    <t>Горбунова Алевтина Максимовна</t>
  </si>
  <si>
    <t>+992 443-164-9246</t>
  </si>
  <si>
    <t>Жанна Станиславовна Семенова</t>
  </si>
  <si>
    <t>+998 436-367-6830</t>
  </si>
  <si>
    <t>Виктория Ильинична Соколова</t>
  </si>
  <si>
    <t>Соколова</t>
  </si>
  <si>
    <t>+375 529-351-9731</t>
  </si>
  <si>
    <t>Новикова Ия Рубеновна</t>
  </si>
  <si>
    <t>+7 914-597-1350</t>
  </si>
  <si>
    <t>Гаврилов Матвей Трифонович</t>
  </si>
  <si>
    <t>+7 927-005-2176</t>
  </si>
  <si>
    <t>Пономарев Творимир Демидович</t>
  </si>
  <si>
    <t>Творимир</t>
  </si>
  <si>
    <t>+7 411-180-0061</t>
  </si>
  <si>
    <t>Екатерина Рудольфовна Кулакова</t>
  </si>
  <si>
    <t>+992 471-072-5643</t>
  </si>
  <si>
    <t>Соколова Кира Дмитриевна</t>
  </si>
  <si>
    <t>+992 994-189-2821</t>
  </si>
  <si>
    <t>Новиков Ростислав Августович</t>
  </si>
  <si>
    <t>Ростислав</t>
  </si>
  <si>
    <t>+380 971-032-0139</t>
  </si>
  <si>
    <t>Моисеев Евстафий Чеславович</t>
  </si>
  <si>
    <t>Моисеев</t>
  </si>
  <si>
    <t>Евстафий</t>
  </si>
  <si>
    <t>+7 085-149-7713</t>
  </si>
  <si>
    <t>Елизавета Артемовна Данилова</t>
  </si>
  <si>
    <t>+7 762-296-2673</t>
  </si>
  <si>
    <t>Фаина Аркадьевна Веселова</t>
  </si>
  <si>
    <t>Фаина</t>
  </si>
  <si>
    <t>Веселова</t>
  </si>
  <si>
    <t>+7 981-245-0102</t>
  </si>
  <si>
    <t>Алевтина Егоровна Кузнецова</t>
  </si>
  <si>
    <t>Кузнецова</t>
  </si>
  <si>
    <t>+998 220-798-0143</t>
  </si>
  <si>
    <t>Гостомысл Фомич Одинцов</t>
  </si>
  <si>
    <t>Одинцов</t>
  </si>
  <si>
    <t>+380 255-745-0289</t>
  </si>
  <si>
    <t>г-жа Миронова Клавдия Феликсовна</t>
  </si>
  <si>
    <t>г-жа</t>
  </si>
  <si>
    <t>Клавдия Феликсовна</t>
  </si>
  <si>
    <t>+7 354-672-8947</t>
  </si>
  <si>
    <t>Марфа Эдуардовна Макарова</t>
  </si>
  <si>
    <t>Макарова</t>
  </si>
  <si>
    <t>+998 714-433-6940</t>
  </si>
  <si>
    <t>Елизар Харлампьевич Мамонтов</t>
  </si>
  <si>
    <t>+7 352-652-3977</t>
  </si>
  <si>
    <t>Октябрина Павловна Зимина</t>
  </si>
  <si>
    <t>Октябрина</t>
  </si>
  <si>
    <t>Зимина</t>
  </si>
  <si>
    <t>+992 654-311-2893</t>
  </si>
  <si>
    <t>Васильева Анжелика Наумовна</t>
  </si>
  <si>
    <t>+380 350-189-8989</t>
  </si>
  <si>
    <t>Эммануил Валерьевич Королев</t>
  </si>
  <si>
    <t>+375 869-843-0628</t>
  </si>
  <si>
    <t>Лыткина Ираида Александровна</t>
  </si>
  <si>
    <t>+7 724-347-2918</t>
  </si>
  <si>
    <t>Фомичева Феврония Даниловна</t>
  </si>
  <si>
    <t>Фомичева</t>
  </si>
  <si>
    <t>Даниловна</t>
  </si>
  <si>
    <t>+7 022-690-6735</t>
  </si>
  <si>
    <t>Баранова Раиса Эльдаровна</t>
  </si>
  <si>
    <t>Баранова</t>
  </si>
  <si>
    <t>+375 268-005-4917</t>
  </si>
  <si>
    <t>г-жа Ефимова Анна Филипповна</t>
  </si>
  <si>
    <t>Анна Филипповна</t>
  </si>
  <si>
    <t>+992 377-961-6550</t>
  </si>
  <si>
    <t>г-н Зуев Трифон Зиновьевич</t>
  </si>
  <si>
    <t>Трифон Зиновьевич</t>
  </si>
  <si>
    <t>+7 414-973-8213</t>
  </si>
  <si>
    <t>Нестерова Таисия Яковлевна</t>
  </si>
  <si>
    <t>+375 841-273-5425</t>
  </si>
  <si>
    <t>Ирина Макаровна Шарова</t>
  </si>
  <si>
    <t>+992 550-001-8470</t>
  </si>
  <si>
    <t>Кононова Элеонора Юрьевна</t>
  </si>
  <si>
    <t>+375 253-379-5656</t>
  </si>
  <si>
    <t>Любовь Богдановна Новикова</t>
  </si>
  <si>
    <t>+992 544-936-8109</t>
  </si>
  <si>
    <t>Русакова Полина Михайловна</t>
  </si>
  <si>
    <t>Русакова</t>
  </si>
  <si>
    <t>+7 755-098-2625</t>
  </si>
  <si>
    <t>Ермаков Всеслав Эдуардович</t>
  </si>
  <si>
    <t>Эдуардович</t>
  </si>
  <si>
    <t>Всеслав</t>
  </si>
  <si>
    <t>+992 774-047-4624</t>
  </si>
  <si>
    <t>Гордей Матвеевич Медведев</t>
  </si>
  <si>
    <t>Гордей</t>
  </si>
  <si>
    <t>Медведев</t>
  </si>
  <si>
    <t>Матвеевич</t>
  </si>
  <si>
    <t>+998 692-163-4083</t>
  </si>
  <si>
    <t>Алевтина Алексеевна Исакова</t>
  </si>
  <si>
    <t>+998 856-058-2613</t>
  </si>
  <si>
    <t>Мартынов Фома Гордеевич</t>
  </si>
  <si>
    <t>Мартынов</t>
  </si>
  <si>
    <t>+7 352-977-7374</t>
  </si>
  <si>
    <t>Петрова Майя Богдановна</t>
  </si>
  <si>
    <t>Петрова</t>
  </si>
  <si>
    <t>+7 894-636-1225</t>
  </si>
  <si>
    <t>Бобылева Анна Мироновна</t>
  </si>
  <si>
    <t>Бобылева</t>
  </si>
  <si>
    <t>Мироновна</t>
  </si>
  <si>
    <t>+375 173-908-3215</t>
  </si>
  <si>
    <t>Кудряшов Влас Алексеевич</t>
  </si>
  <si>
    <t>Кудряшов</t>
  </si>
  <si>
    <t>+375 427-098-5558</t>
  </si>
  <si>
    <t>Миронов Фома Вилорович</t>
  </si>
  <si>
    <t>+992 000-000-7415</t>
  </si>
  <si>
    <t>Харлампий Демьянович Алексеев</t>
  </si>
  <si>
    <t>+380 668-055-3546</t>
  </si>
  <si>
    <t>Горшкова Клавдия Борисовна</t>
  </si>
  <si>
    <t>+380 245-175-6131</t>
  </si>
  <si>
    <t>Григорьев Сократ Ануфриевич</t>
  </si>
  <si>
    <t>Григорьев</t>
  </si>
  <si>
    <t>Ануфриевич</t>
  </si>
  <si>
    <t>+998 284-687-3096</t>
  </si>
  <si>
    <t>Овчинникова Зоя Вячеславовна</t>
  </si>
  <si>
    <t>+380 533-078-8885</t>
  </si>
  <si>
    <t>Титова Ксения Дмитриевна</t>
  </si>
  <si>
    <t>+7 450-475-2540</t>
  </si>
  <si>
    <t>Князев Платон Андреевич</t>
  </si>
  <si>
    <t>Князев</t>
  </si>
  <si>
    <t>Платон</t>
  </si>
  <si>
    <t>+7 592-632-8448</t>
  </si>
  <si>
    <t>Меркушева Марина Наумовна</t>
  </si>
  <si>
    <t>Меркушева</t>
  </si>
  <si>
    <t>+380 143-562-6602</t>
  </si>
  <si>
    <t>Якушева Светлана Даниловна</t>
  </si>
  <si>
    <t>+998 946-408-1930</t>
  </si>
  <si>
    <t>Тихонова Ираида Ефимовна</t>
  </si>
  <si>
    <t>+992 756-085-4605</t>
  </si>
  <si>
    <t>г-жа Воробьева Иванна Юрьевна</t>
  </si>
  <si>
    <t>Иванна Юрьевна</t>
  </si>
  <si>
    <t>Воробьева</t>
  </si>
  <si>
    <t>+375 722-671-7064</t>
  </si>
  <si>
    <t>Любомир Ермолаевич Стрелков</t>
  </si>
  <si>
    <t>+7 542-005-0327</t>
  </si>
  <si>
    <t>Галина Семеновна Петухова</t>
  </si>
  <si>
    <t>Петухова</t>
  </si>
  <si>
    <t>+380 265-102-2104</t>
  </si>
  <si>
    <t>Кириллова Пелагея Юльевна</t>
  </si>
  <si>
    <t>Кириллова</t>
  </si>
  <si>
    <t>Юльевна</t>
  </si>
  <si>
    <t>+375 986-655-6691</t>
  </si>
  <si>
    <t>Еремей Бориславович Воронов</t>
  </si>
  <si>
    <t>+992 869-966-7816</t>
  </si>
  <si>
    <t>Александра Геннадиевна Филатова</t>
  </si>
  <si>
    <t>Филатова</t>
  </si>
  <si>
    <t>+7 975-515-1931</t>
  </si>
  <si>
    <t>Марфа Архиповна Белоусова</t>
  </si>
  <si>
    <t>+380 004-121-0383</t>
  </si>
  <si>
    <t>Эммануил Филимонович Захаров</t>
  </si>
  <si>
    <t>Филимонович</t>
  </si>
  <si>
    <t>+380 606-168-8976</t>
  </si>
  <si>
    <t>Абрамов Амвросий Богданович</t>
  </si>
  <si>
    <t>+7 056-712-2591</t>
  </si>
  <si>
    <t>Волков Викентий Герасимович</t>
  </si>
  <si>
    <t>Викентий</t>
  </si>
  <si>
    <t>+380 254-333-6466</t>
  </si>
  <si>
    <t>Одинцов Анисим Евсеевич</t>
  </si>
  <si>
    <t>Анисим</t>
  </si>
  <si>
    <t>+998 481-371-2630</t>
  </si>
  <si>
    <t>Никодим Арсенович Потапов</t>
  </si>
  <si>
    <t>Потапов</t>
  </si>
  <si>
    <t>+998 313-336-2516</t>
  </si>
  <si>
    <t>Алла Рудольфовна Сидорова</t>
  </si>
  <si>
    <t>Сидорова</t>
  </si>
  <si>
    <t>+7 210-575-0459</t>
  </si>
  <si>
    <t>Агата Олеговна Мартынова</t>
  </si>
  <si>
    <t>Мартынова</t>
  </si>
  <si>
    <t>+7 289-019-1718</t>
  </si>
  <si>
    <t>Стрелкова Наина Эдуардовна</t>
  </si>
  <si>
    <t>Стрелкова</t>
  </si>
  <si>
    <t>+7 571-938-4741</t>
  </si>
  <si>
    <t>Ипат Дмитриевич Панов</t>
  </si>
  <si>
    <t>Ипат</t>
  </si>
  <si>
    <t>Панов</t>
  </si>
  <si>
    <t>+380 958-231-6305</t>
  </si>
  <si>
    <t>Творимир Артурович Гришин</t>
  </si>
  <si>
    <t>Гришин</t>
  </si>
  <si>
    <t>+998 849-649-9045</t>
  </si>
  <si>
    <t>Лаврентьева Вера Владиславовна</t>
  </si>
  <si>
    <t>+992 666-298-7733</t>
  </si>
  <si>
    <t>Корнилов Леон Иосипович</t>
  </si>
  <si>
    <t>+992 772-470-1976</t>
  </si>
  <si>
    <t>Игнатова Вера Вячеславовна</t>
  </si>
  <si>
    <t>Игнатова</t>
  </si>
  <si>
    <t>+7 411-977-9395</t>
  </si>
  <si>
    <t>Михайлова Лора Наумовна</t>
  </si>
  <si>
    <t>+380 537-432-3099</t>
  </si>
  <si>
    <t>Феликс Ааронович Яковлев</t>
  </si>
  <si>
    <t>Феликс</t>
  </si>
  <si>
    <t>Яковлев</t>
  </si>
  <si>
    <t>+380 950-384-1472</t>
  </si>
  <si>
    <t>Емельянов Игорь Андреевич</t>
  </si>
  <si>
    <t>Игорь</t>
  </si>
  <si>
    <t>+992 570-665-8734</t>
  </si>
  <si>
    <t>Любосмысл Тихонович Веселов</t>
  </si>
  <si>
    <t>Любосмысл</t>
  </si>
  <si>
    <t>+375 477-336-9780</t>
  </si>
  <si>
    <t>Ольга Аскольдовна Данилова</t>
  </si>
  <si>
    <t>+380 017-252-3368</t>
  </si>
  <si>
    <t>Эмилия Болеславовна Цветкова</t>
  </si>
  <si>
    <t>+375 933-846-4405</t>
  </si>
  <si>
    <t>Константинов Милован Денисович</t>
  </si>
  <si>
    <t>Константинов</t>
  </si>
  <si>
    <t>+998 782-759-1031</t>
  </si>
  <si>
    <t>Светлана Семеновна Николаева</t>
  </si>
  <si>
    <t>+992 614-322-7161</t>
  </si>
  <si>
    <t>Людмила Борисовна Иванова</t>
  </si>
  <si>
    <t>+998 662-959-7800</t>
  </si>
  <si>
    <t>Амос Гордеевич Евсеев</t>
  </si>
  <si>
    <t>+375 877-885-2826</t>
  </si>
  <si>
    <t>Якуб Филатович Молчанов</t>
  </si>
  <si>
    <t>Якуб</t>
  </si>
  <si>
    <t>Молчанов</t>
  </si>
  <si>
    <t>+992 145-030-4792</t>
  </si>
  <si>
    <t>Афанасьев Кузьма Исидорович</t>
  </si>
  <si>
    <t>Кузьма</t>
  </si>
  <si>
    <t>+7 997-792-5112</t>
  </si>
  <si>
    <t>Лариса Романовна Крюкова</t>
  </si>
  <si>
    <t>Крюкова</t>
  </si>
  <si>
    <t>+380 686-730-6702</t>
  </si>
  <si>
    <t>Авдеев Олимпий Жанович</t>
  </si>
  <si>
    <t>+998 342-700-2159</t>
  </si>
  <si>
    <t>Воробьева Анжела Аскольдовна</t>
  </si>
  <si>
    <t>+998 662-556-3959</t>
  </si>
  <si>
    <t>Белоусова Жанна Кузьминична</t>
  </si>
  <si>
    <t>+998 678-480-0704</t>
  </si>
  <si>
    <t>Амвросий Игнатович Юдин</t>
  </si>
  <si>
    <t>Юдин</t>
  </si>
  <si>
    <t>+380 293-011-4872</t>
  </si>
  <si>
    <t>Евдокия Эдуардовна Соловьева</t>
  </si>
  <si>
    <t>Соловьева</t>
  </si>
  <si>
    <t>+7 630-011-3417</t>
  </si>
  <si>
    <t>Лидия Андреевна Крюкова</t>
  </si>
  <si>
    <t>Андреевна</t>
  </si>
  <si>
    <t>Страна</t>
  </si>
  <si>
    <t>Код</t>
  </si>
  <si>
    <t>Казахстан</t>
  </si>
  <si>
    <t>Дашборд: товар, клиенты, коды стран</t>
  </si>
  <si>
    <t>Фильтры: используйте выпадающие фильтры в таблицах-источниках под каждым графиком. Диаграммы построены на сводных источниках данных.</t>
  </si>
  <si>
    <t>Всего товаров</t>
  </si>
  <si>
    <t>Всего клиентов</t>
  </si>
  <si>
    <t>Стран клиентов</t>
  </si>
  <si>
    <t>Топ страна</t>
  </si>
  <si>
    <t>Россия (146)</t>
  </si>
  <si>
    <t>Топ связка товара</t>
  </si>
  <si>
    <t>Сок — Фруктовый сад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</si>
</sst>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#,##0\ &quot;₽&quot;;\-#,##0\ &quot;₽&quot;"/>
    <numFmt numFmtId="164" formatCode="0.0"/>
    <numFmt numFmtId="165" formatCode="_-* #,##0\ &quot;₽&quot;_-;\-* #,##0\ &quot;₽&quot;_-;_-* &quot;-&quot;??\ &quot;₽&quot;_-;_-@_-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1"/>
      <color rgb="FF666666"/>
      <name val="Calibri"/>
    </font>
    <font>
      <b/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0F766E"/>
      </patternFill>
    </fill>
    <fill>
      <patternFill patternType="solid">
        <fgColor rgb="FF666666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7B7B7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48">
    <xf numFmtId="0" fontId="0" fillId="0" borderId="0" xfId="0"/>
    <xf numFmtId="0" fontId="1" fillId="0" borderId="0" xfId="2"/>
    <xf numFmtId="0" fontId="4" fillId="0" borderId="1" xfId="2" applyFont="1" applyBorder="1"/>
    <xf numFmtId="0" fontId="4" fillId="0" borderId="0" xfId="2" applyFont="1"/>
    <xf numFmtId="0" fontId="1" fillId="0" borderId="2" xfId="2" applyBorder="1"/>
    <xf numFmtId="0" fontId="1" fillId="0" borderId="3" xfId="2" applyBorder="1"/>
    <xf numFmtId="0" fontId="1" fillId="0" borderId="0" xfId="2" applyAlignment="1">
      <alignment horizontal="center" vertical="center"/>
    </xf>
    <xf numFmtId="0" fontId="4" fillId="0" borderId="5" xfId="2" applyFont="1" applyBorder="1"/>
    <xf numFmtId="0" fontId="1" fillId="0" borderId="6" xfId="2" applyBorder="1"/>
    <xf numFmtId="0" fontId="1" fillId="0" borderId="7" xfId="2" applyBorder="1"/>
    <xf numFmtId="0" fontId="4" fillId="0" borderId="8" xfId="2" applyFont="1" applyBorder="1"/>
    <xf numFmtId="0" fontId="1" fillId="0" borderId="5" xfId="2" applyBorder="1"/>
    <xf numFmtId="0" fontId="4" fillId="0" borderId="7" xfId="2" applyFont="1" applyBorder="1"/>
    <xf numFmtId="0" fontId="4" fillId="0" borderId="6" xfId="2" applyFont="1" applyBorder="1"/>
    <xf numFmtId="0" fontId="4" fillId="0" borderId="10" xfId="2" applyFont="1" applyBorder="1"/>
    <xf numFmtId="0" fontId="1" fillId="0" borderId="11" xfId="2" applyBorder="1"/>
    <xf numFmtId="0" fontId="1" fillId="0" borderId="12" xfId="2" applyBorder="1"/>
    <xf numFmtId="0" fontId="5" fillId="0" borderId="9" xfId="2" applyFont="1" applyBorder="1"/>
    <xf numFmtId="0" fontId="6" fillId="0" borderId="0" xfId="2" applyFont="1"/>
    <xf numFmtId="0" fontId="2" fillId="0" borderId="4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5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1" fontId="0" fillId="0" borderId="0" xfId="0" applyNumberFormat="1"/>
    <xf numFmtId="14" fontId="0" fillId="0" borderId="0" xfId="0" applyNumberFormat="1"/>
    <xf numFmtId="0" fontId="7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4" borderId="13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5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1" fillId="0" borderId="0" xfId="2" applyAlignment="1">
      <alignment horizontal="center"/>
    </xf>
    <xf numFmtId="0" fontId="1" fillId="0" borderId="0" xfId="2"/>
    <xf numFmtId="0" fontId="0" fillId="0" borderId="0" xfId="0" applyAlignment="1">
      <alignment horizontal="center" vertical="center"/>
    </xf>
    <xf numFmtId="0" fontId="0" fillId="0" borderId="0" xfId="0"/>
    <xf numFmtId="0" fontId="7" fillId="7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9" fillId="0" borderId="0" xfId="0" applyFont="1" applyAlignment="1">
      <alignment vertical="center"/>
    </xf>
  </cellXfs>
  <cellStyles count="3">
    <cellStyle name="Обычный" xfId="0" builtinId="0"/>
    <cellStyle name="Обычный 2" xfId="2" xr:uid="{00000000-0005-0000-0000-000002000000}"/>
    <cellStyle name="Процентный" xfId="1" builtinId="5"/>
  </cellStyles>
  <dxfs count="3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9" formatCode="#,##0\ &quot;₽&quot;;\-#,##0\ &quot;₽&quot;"/>
    </dxf>
    <dxf>
      <numFmt numFmtId="9" formatCode="#,##0\ &quot;₽&quot;;\-#,##0\ &quot;₽&quot;"/>
    </dxf>
    <dxf>
      <numFmt numFmtId="13" formatCode="0%"/>
    </dxf>
    <dxf>
      <numFmt numFmtId="165" formatCode="_-* #,##0\ &quot;₽&quot;_-;\-* #,##0\ &quot;₽&quot;_-;_-* &quot;-&quot;??\ &quot;₽&quot;_-;_-@_-"/>
    </dxf>
    <dxf>
      <numFmt numFmtId="165" formatCode="_-* #,##0\ &quot;₽&quot;_-;\-* #,##0\ &quot;₽&quot;_-;_-* &quot;-&quot;??\ &quot;₽&quot;_-;_-@_-"/>
    </dxf>
    <dxf>
      <numFmt numFmtId="165" formatCode="_-* #,##0\ &quot;₽&quot;_-;\-* #,##0\ &quot;₽&quot;_-;_-* &quot;-&quot;??\ &quot;₽&quot;_-;_-@_-"/>
    </dxf>
    <dxf>
      <numFmt numFmtId="165" formatCode="_-* #,##0\ &quot;₽&quot;_-;\-* #,##0\ &quot;₽&quot;_-;_-* &quot;-&quot;??\ &quot;₽&quot;_-;_-@_-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19" formatCode="dd/mm/yyyy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pivotSource>
    <c:name>[Урок_11_дашборд_диаграммы Халитов Марат.xlsx]Продажи магазинов!Сводная таблица21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'Продажи магазинов'!$A$4:$A$22</c:f>
              <c:multiLvlStrCache>
                <c:ptCount val="17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магазинов'!$B$4:$B$22</c:f>
              <c:numCache>
                <c:formatCode>_-* #\ ##0\ "₽"_-;\-* #\ ##0\ "₽"_-;_-* "-"??\ "₽"_-;_-@_-</c:formatCode>
                <c:ptCount val="17"/>
                <c:pt idx="0">
                  <c:v>11705</c:v>
                </c:pt>
                <c:pt idx="1">
                  <c:v>10305</c:v>
                </c:pt>
                <c:pt idx="2">
                  <c:v>22705</c:v>
                </c:pt>
                <c:pt idx="3">
                  <c:v>345</c:v>
                </c:pt>
                <c:pt idx="4">
                  <c:v>21275</c:v>
                </c:pt>
                <c:pt idx="5">
                  <c:v>4920</c:v>
                </c:pt>
                <c:pt idx="6">
                  <c:v>5000</c:v>
                </c:pt>
                <c:pt idx="7">
                  <c:v>17840</c:v>
                </c:pt>
                <c:pt idx="8">
                  <c:v>16435</c:v>
                </c:pt>
                <c:pt idx="9">
                  <c:v>5765</c:v>
                </c:pt>
                <c:pt idx="10">
                  <c:v>6945</c:v>
                </c:pt>
                <c:pt idx="11">
                  <c:v>1465</c:v>
                </c:pt>
                <c:pt idx="12">
                  <c:v>7650</c:v>
                </c:pt>
                <c:pt idx="13">
                  <c:v>18485</c:v>
                </c:pt>
                <c:pt idx="14">
                  <c:v>19200</c:v>
                </c:pt>
                <c:pt idx="15">
                  <c:v>10435</c:v>
                </c:pt>
                <c:pt idx="16">
                  <c:v>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E-42FE-8718-D156868D0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2562144"/>
        <c:axId val="2137057119"/>
      </c:lineChart>
      <c:catAx>
        <c:axId val="180256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057119"/>
        <c:crosses val="autoZero"/>
        <c:auto val="1"/>
        <c:lblAlgn val="ctr"/>
        <c:lblOffset val="100"/>
        <c:noMultiLvlLbl val="0"/>
      </c:catAx>
      <c:valAx>
        <c:axId val="2137057119"/>
        <c:scaling>
          <c:orientation val="minMax"/>
        </c:scaling>
        <c:delete val="0"/>
        <c:axPos val="l"/>
        <c:numFmt formatCode="_-* #\ ##0\ &quot;₽&quot;_-;\-* #\ ##0\ &quot;₽&quot;_-;_-* &quot;-&quot;??\ &quot;₽&quot;_-;_-@_-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56214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pivotSource>
    <c:name>[Урок_11_дашборд_диаграммы Халитов Марат.xlsx]Выгода клиентам!Сводная таблица22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 дисконт по магазинам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0.1006269897123811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2.3330793858908169E-2</c:v>
                </c:pt>
                <c:pt idx="7">
                  <c:v>1.02962766126568E-2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-1.1341839275218989E-2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8-48A3-B60C-CEAA1E04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7814927"/>
        <c:axId val="2137698111"/>
      </c:barChart>
      <c:catAx>
        <c:axId val="213781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698111"/>
        <c:crosses val="autoZero"/>
        <c:auto val="1"/>
        <c:lblAlgn val="ctr"/>
        <c:lblOffset val="100"/>
        <c:noMultiLvlLbl val="0"/>
      </c:catAx>
      <c:valAx>
        <c:axId val="21376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Дисконт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8149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pivotSource>
    <c:name>[Урок_11_дашборд_диаграммы Халитов Марат.xlsx]Суммарные продажи по магазинам!Сводная таблица23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ru-RU" baseline="0"/>
              <a:t> по продуктовым сетям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'Суммарные продажи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'Суммарные продажи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'Суммарные продажи по магазинам'!$B$4:$B$24</c:f>
              <c:numCache>
                <c:formatCode>"₽"#,##0_);\("₽"#,##0\)</c:formatCode>
                <c:ptCount val="20"/>
                <c:pt idx="0">
                  <c:v>264220</c:v>
                </c:pt>
                <c:pt idx="1">
                  <c:v>258945</c:v>
                </c:pt>
                <c:pt idx="2">
                  <c:v>247900</c:v>
                </c:pt>
                <c:pt idx="3">
                  <c:v>243730</c:v>
                </c:pt>
                <c:pt idx="4">
                  <c:v>235140</c:v>
                </c:pt>
                <c:pt idx="5">
                  <c:v>215490</c:v>
                </c:pt>
                <c:pt idx="6">
                  <c:v>214185</c:v>
                </c:pt>
                <c:pt idx="7">
                  <c:v>205530</c:v>
                </c:pt>
                <c:pt idx="8">
                  <c:v>205050</c:v>
                </c:pt>
                <c:pt idx="9">
                  <c:v>200145</c:v>
                </c:pt>
                <c:pt idx="10">
                  <c:v>195840</c:v>
                </c:pt>
                <c:pt idx="11">
                  <c:v>191560</c:v>
                </c:pt>
                <c:pt idx="12">
                  <c:v>188180</c:v>
                </c:pt>
                <c:pt idx="13">
                  <c:v>182240</c:v>
                </c:pt>
                <c:pt idx="14">
                  <c:v>182180</c:v>
                </c:pt>
                <c:pt idx="15">
                  <c:v>175060</c:v>
                </c:pt>
                <c:pt idx="16">
                  <c:v>162315</c:v>
                </c:pt>
                <c:pt idx="17">
                  <c:v>159770</c:v>
                </c:pt>
                <c:pt idx="18">
                  <c:v>138310</c:v>
                </c:pt>
                <c:pt idx="19">
                  <c:v>136375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6-4E08-B84C-19B755405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978463"/>
        <c:axId val="2137874191"/>
      </c:barChart>
      <c:catAx>
        <c:axId val="213797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874191"/>
        <c:crosses val="autoZero"/>
        <c:auto val="1"/>
        <c:lblAlgn val="ctr"/>
        <c:lblOffset val="100"/>
        <c:noMultiLvlLbl val="0"/>
      </c:catAx>
      <c:valAx>
        <c:axId val="2137874191"/>
        <c:scaling>
          <c:orientation val="minMax"/>
        </c:scaling>
        <c:delete val="0"/>
        <c:axPos val="l"/>
        <c:numFmt formatCode="&quot;₽&quot;#,##0_);\(&quot;₽&quot;#,##0\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97846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Категории товаров и поставщики: топ-15 связок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товар!$F$1</c:f>
              <c:strCache>
                <c:ptCount val="1"/>
                <c:pt idx="0">
                  <c:v>Количество товаров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товар!$E$2:$E$16</c:f>
              <c:strCache>
                <c:ptCount val="15"/>
                <c:pt idx="0">
                  <c:v>Сок — Фруктовый сад</c:v>
                </c:pt>
                <c:pt idx="1">
                  <c:v>Макароны — Паста Зара</c:v>
                </c:pt>
                <c:pt idx="2">
                  <c:v>Конфеты — Бабаевский</c:v>
                </c:pt>
                <c:pt idx="3">
                  <c:v>Сыр — Сырная долина</c:v>
                </c:pt>
                <c:pt idx="4">
                  <c:v>Йогурт — Ростагроэкспорт</c:v>
                </c:pt>
                <c:pt idx="5">
                  <c:v>Макароны — Борилла</c:v>
                </c:pt>
                <c:pt idx="6">
                  <c:v>Рыба — Меридиан</c:v>
                </c:pt>
                <c:pt idx="7">
                  <c:v>Чай — Greenfield</c:v>
                </c:pt>
                <c:pt idx="8">
                  <c:v>Конфеты — Рот Фронт</c:v>
                </c:pt>
                <c:pt idx="9">
                  <c:v>Сок — Добрый</c:v>
                </c:pt>
                <c:pt idx="10">
                  <c:v>Йогурт — Эрманн</c:v>
                </c:pt>
                <c:pt idx="11">
                  <c:v>Фрукты — Фруктовый Рай</c:v>
                </c:pt>
                <c:pt idx="12">
                  <c:v>Сахар — Продимекс</c:v>
                </c:pt>
                <c:pt idx="13">
                  <c:v>Соль — Илецкая</c:v>
                </c:pt>
                <c:pt idx="14">
                  <c:v>Мясо — Сава</c:v>
                </c:pt>
              </c:strCache>
            </c:strRef>
          </c:cat>
          <c:val>
            <c:numRef>
              <c:f>товар!$F$2:$F$16</c:f>
              <c:numCache>
                <c:formatCode>General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5-4B90-9F9D-6286C4F0E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товаров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Категория — поставщик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pivotSource>
    <c:name>[Урок_11_дашборд_диаграммы Халитов Марат.xlsx]География клиентов!Сводная таблица24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клиентов по странам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'География клиентов'!$A$4:$A$9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клиентов'!$B$4:$B$9</c:f>
              <c:numCache>
                <c:formatCode>0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A-4498-BFEA-3CCE206F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024079"/>
        <c:axId val="2137886815"/>
      </c:barChart>
      <c:catAx>
        <c:axId val="213802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7886815"/>
        <c:crosses val="autoZero"/>
        <c:auto val="1"/>
        <c:lblAlgn val="ctr"/>
        <c:lblOffset val="100"/>
        <c:noMultiLvlLbl val="0"/>
      </c:catAx>
      <c:valAx>
        <c:axId val="213788681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80240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 клиентов по странам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клиенты!$M$1</c:f>
              <c:strCache>
                <c:ptCount val="1"/>
                <c:pt idx="0">
                  <c:v>Количество клиентов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клиенты!$L$2:$L$6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клиенты!$M$2:$M$6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C-4DF3-B9AC-B289FAA0D6E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Клиенты по программе лояльности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клиенты!$M$12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клиенты!$L$13:$L$14</c:f>
              <c:strCache>
                <c:ptCount val="2"/>
                <c:pt idx="0">
                  <c:v>нет</c:v>
                </c:pt>
                <c:pt idx="1">
                  <c:v>да</c:v>
                </c:pt>
              </c:strCache>
            </c:strRef>
          </c:cat>
          <c:val>
            <c:numRef>
              <c:f>клиенты!$M$13:$M$14</c:f>
              <c:numCache>
                <c:formatCode>General</c:formatCode>
                <c:ptCount val="2"/>
                <c:pt idx="0">
                  <c:v>219</c:v>
                </c:pt>
                <c:pt idx="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C-4C4B-BF3F-EC6E4E553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Программа лояльности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Количество клиентов по странам из справочника кодов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'коды стран'!$C$1</c:f>
              <c:strCache>
                <c:ptCount val="1"/>
                <c:pt idx="0">
                  <c:v>Количество клиентов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'коды стран'!$A$2:$A$7</c:f>
              <c:strCache>
                <c:ptCount val="6"/>
                <c:pt idx="0">
                  <c:v>Россия</c:v>
                </c:pt>
                <c:pt idx="1">
                  <c:v>Казахстан</c:v>
                </c:pt>
                <c:pt idx="2">
                  <c:v>Беларусь</c:v>
                </c:pt>
                <c:pt idx="3">
                  <c:v>Узбекистан</c:v>
                </c:pt>
                <c:pt idx="4">
                  <c:v>Таджикистан</c:v>
                </c:pt>
                <c:pt idx="5">
                  <c:v>Украина</c:v>
                </c:pt>
              </c:strCache>
            </c:strRef>
          </c:cat>
          <c:val>
            <c:numRef>
              <c:f>'коды стран'!$C$2:$C$7</c:f>
              <c:numCache>
                <c:formatCode>General</c:formatCode>
                <c:ptCount val="6"/>
                <c:pt idx="0">
                  <c:v>146</c:v>
                </c:pt>
                <c:pt idx="1">
                  <c:v>0</c:v>
                </c:pt>
                <c:pt idx="2">
                  <c:v>51</c:v>
                </c:pt>
                <c:pt idx="3">
                  <c:v>85</c:v>
                </c:pt>
                <c:pt idx="4">
                  <c:v>74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68E-B407-03B11EBEB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Страна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клиентов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Товар: категории и поставщики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Дашборд!$B$4</c:f>
              <c:strCache>
                <c:ptCount val="1"/>
                <c:pt idx="0">
                  <c:v>Количество товаров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Дашборд!$A$5:$A$19</c:f>
              <c:strCache>
                <c:ptCount val="15"/>
                <c:pt idx="0">
                  <c:v>Сок — Фруктовый сад</c:v>
                </c:pt>
                <c:pt idx="1">
                  <c:v>Макароны — Паста Зара</c:v>
                </c:pt>
                <c:pt idx="2">
                  <c:v>Конфеты — Бабаевский</c:v>
                </c:pt>
                <c:pt idx="3">
                  <c:v>Сыр — Сырная долина</c:v>
                </c:pt>
                <c:pt idx="4">
                  <c:v>Йогурт — Ростагроэкспорт</c:v>
                </c:pt>
                <c:pt idx="5">
                  <c:v>Макароны — Борилла</c:v>
                </c:pt>
                <c:pt idx="6">
                  <c:v>Рыба — Меридиан</c:v>
                </c:pt>
                <c:pt idx="7">
                  <c:v>Чай — Greenfield</c:v>
                </c:pt>
                <c:pt idx="8">
                  <c:v>Конфеты — Рот Фронт</c:v>
                </c:pt>
                <c:pt idx="9">
                  <c:v>Сок — Добрый</c:v>
                </c:pt>
                <c:pt idx="10">
                  <c:v>Йогурт — Эрманн</c:v>
                </c:pt>
                <c:pt idx="11">
                  <c:v>Фрукты — Фруктовый Рай</c:v>
                </c:pt>
                <c:pt idx="12">
                  <c:v>Сахар — Продимекс</c:v>
                </c:pt>
                <c:pt idx="13">
                  <c:v>Соль — Илецкая</c:v>
                </c:pt>
                <c:pt idx="14">
                  <c:v>Мясо — Сава</c:v>
                </c:pt>
              </c:strCache>
            </c:strRef>
          </c:cat>
          <c:val>
            <c:numRef>
              <c:f>Дашборд!$B$5:$B$19</c:f>
              <c:numCache>
                <c:formatCode>General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6-456D-82B6-1B2A5E8A6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товаров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Категория — поставщик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Клиенты: распределение по странам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Дашборд!$B$23</c:f>
              <c:strCache>
                <c:ptCount val="1"/>
                <c:pt idx="0">
                  <c:v>Количество клиентов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Дашборд!$A$24:$A$28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Дашборд!$B$24:$B$28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A-4767-84D8-81835D20A43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Клиенты: программа лояльности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Дашборд!$K$23</c:f>
              <c:strCache>
                <c:ptCount val="1"/>
                <c:pt idx="0">
                  <c:v>Количество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Дашборд!$J$24:$J$25</c:f>
              <c:strCache>
                <c:ptCount val="2"/>
                <c:pt idx="0">
                  <c:v>нет</c:v>
                </c:pt>
                <c:pt idx="1">
                  <c:v>да</c:v>
                </c:pt>
              </c:strCache>
            </c:strRef>
          </c:cat>
          <c:val>
            <c:numRef>
              <c:f>Дашборд!$K$24:$K$25</c:f>
              <c:numCache>
                <c:formatCode>General</c:formatCode>
                <c:ptCount val="2"/>
                <c:pt idx="0">
                  <c:v>219</c:v>
                </c:pt>
                <c:pt idx="1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D-42CA-A460-556E3B52A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Коды стран: клиенты по странам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Дашборд!$C$40</c:f>
              <c:strCache>
                <c:ptCount val="1"/>
                <c:pt idx="0">
                  <c:v>Количество клиентов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Дашборд!$A$41:$A$46</c:f>
              <c:strCache>
                <c:ptCount val="6"/>
                <c:pt idx="0">
                  <c:v>Россия</c:v>
                </c:pt>
                <c:pt idx="1">
                  <c:v>Казахстан</c:v>
                </c:pt>
                <c:pt idx="2">
                  <c:v>Беларусь</c:v>
                </c:pt>
                <c:pt idx="3">
                  <c:v>Узбекистан</c:v>
                </c:pt>
                <c:pt idx="4">
                  <c:v>Таджикистан</c:v>
                </c:pt>
                <c:pt idx="5">
                  <c:v>Украина</c:v>
                </c:pt>
              </c:strCache>
            </c:strRef>
          </c:cat>
          <c:val>
            <c:numRef>
              <c:f>Дашборд!$C$41:$C$46</c:f>
              <c:numCache>
                <c:formatCode>General</c:formatCode>
                <c:ptCount val="6"/>
                <c:pt idx="0">
                  <c:v>146</c:v>
                </c:pt>
                <c:pt idx="1">
                  <c:v>0</c:v>
                </c:pt>
                <c:pt idx="2">
                  <c:v>51</c:v>
                </c:pt>
                <c:pt idx="3">
                  <c:v>85</c:v>
                </c:pt>
                <c:pt idx="4">
                  <c:v>74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77E-B698-336B7C92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Страна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Количество клиентов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158750</xdr:rowOff>
    </xdr:from>
    <xdr:to>
      <xdr:col>12</xdr:col>
      <xdr:colOff>368300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4</xdr:row>
      <xdr:rowOff>82550</xdr:rowOff>
    </xdr:from>
    <xdr:to>
      <xdr:col>10</xdr:col>
      <xdr:colOff>1066800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184150</xdr:rowOff>
    </xdr:from>
    <xdr:to>
      <xdr:col>17</xdr:col>
      <xdr:colOff>292100</xdr:colOff>
      <xdr:row>29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90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69850</xdr:rowOff>
    </xdr:from>
    <xdr:to>
      <xdr:col>12</xdr:col>
      <xdr:colOff>50800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</xdr:row>
      <xdr:rowOff>0</xdr:rowOff>
    </xdr:from>
    <xdr:ext cx="54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23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68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22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39</xdr:row>
      <xdr:rowOff>0</xdr:rowOff>
    </xdr:from>
    <xdr:ext cx="684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g Dmitriev" refreshedDate="45437.642807060183" createdVersion="8" refreshedVersion="8" minRefreshableVersion="3" recordCount="1000" xr:uid="{00000000-000A-0000-FFFF-FFFF01000000}">
  <cacheSource type="worksheet">
    <worksheetSource name="Продажи"/>
  </cacheSource>
  <cacheFields count="18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0">
      <sharedItems containsSemiMixedTypes="0" containsString="0" containsNumber="1" containsInteger="1" minValue="250" maxValue="12475"/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17"/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/>
    </cacheField>
    <cacheField name="Категория товара" numFmtId="0">
      <sharedItems/>
    </cacheField>
    <cacheField name="Средняя цена в категории за шт" numFmtId="5">
      <sharedItems containsSemiMixedTypes="0" containsString="0" containsNumber="1" minValue="249.02380952380949" maxValue="300.31818181818181"/>
    </cacheField>
    <cacheField name="Выгода для клиента" numFmtId="9">
      <sharedItems containsSemiMixedTypes="0" containsString="0" containsNumber="1" minValue="-0.81562185719074753" maxValue="1.007840137680466"/>
    </cacheField>
    <cacheField name="Поставщик товара" numFmtId="0">
      <sharedItems/>
    </cacheField>
    <cacheField name="Средняя стоимость в категории по поставщику" numFmtId="0">
      <sharedItems containsSemiMixedTypes="0" containsString="0" containsNumber="1" minValue="82" maxValue="369.2"/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л-во дней с момента регистрации" numFmtId="0">
      <sharedItems containsSemiMixedTypes="0" containsString="0" containsNumber="1" containsInteger="1" minValue="8" maxValue="866" count="535">
        <n v="440"/>
        <n v="333"/>
        <n v="521"/>
        <n v="619"/>
        <n v="574"/>
        <n v="699"/>
        <n v="611"/>
        <n v="708"/>
        <n v="692"/>
        <n v="482"/>
        <n v="738"/>
        <n v="408"/>
        <n v="339"/>
        <n v="152"/>
        <n v="302"/>
        <n v="613"/>
        <n v="223"/>
        <n v="191"/>
        <n v="402"/>
        <n v="569"/>
        <n v="395"/>
        <n v="464"/>
        <n v="313"/>
        <n v="637"/>
        <n v="390"/>
        <n v="490"/>
        <n v="716"/>
        <n v="456"/>
        <n v="721"/>
        <n v="476"/>
        <n v="495"/>
        <n v="236"/>
        <n v="460"/>
        <n v="548"/>
        <n v="264"/>
        <n v="55"/>
        <n v="362"/>
        <n v="207"/>
        <n v="503"/>
        <n v="496"/>
        <n v="581"/>
        <n v="560"/>
        <n v="269"/>
        <n v="163"/>
        <n v="433"/>
        <n v="237"/>
        <n v="632"/>
        <n v="486"/>
        <n v="459"/>
        <n v="453"/>
        <n v="592"/>
        <n v="667"/>
        <n v="439"/>
        <n v="706"/>
        <n v="364"/>
        <n v="740"/>
        <n v="154"/>
        <n v="623"/>
        <n v="159"/>
        <n v="423"/>
        <n v="712"/>
        <n v="404"/>
        <n v="91"/>
        <n v="353"/>
        <n v="626"/>
        <n v="143"/>
        <n v="263"/>
        <n v="290"/>
        <n v="661"/>
        <n v="101"/>
        <n v="590"/>
        <n v="162"/>
        <n v="734"/>
        <n v="358"/>
        <n v="659"/>
        <n v="245"/>
        <n v="131"/>
        <n v="468"/>
        <n v="420"/>
        <n v="396"/>
        <n v="303"/>
        <n v="578"/>
        <n v="76"/>
        <n v="374"/>
        <n v="516"/>
        <n v="300"/>
        <n v="385"/>
        <n v="547"/>
        <n v="655"/>
        <n v="598"/>
        <n v="422"/>
        <n v="537"/>
        <n v="473"/>
        <n v="301"/>
        <n v="175"/>
        <n v="363"/>
        <n v="747"/>
        <n v="605"/>
        <n v="278"/>
        <n v="352"/>
        <n v="601"/>
        <n v="463"/>
        <n v="648"/>
        <n v="412"/>
        <n v="684"/>
        <n v="193"/>
        <n v="182"/>
        <n v="393"/>
        <n v="678"/>
        <n v="258"/>
        <n v="58"/>
        <n v="370"/>
        <n v="618"/>
        <n v="630"/>
        <n v="533"/>
        <n v="78"/>
        <n v="671"/>
        <n v="494"/>
        <n v="750"/>
        <n v="136"/>
        <n v="665"/>
        <n v="606"/>
        <n v="628"/>
        <n v="436"/>
        <n v="295"/>
        <n v="111"/>
        <n v="733"/>
        <n v="858"/>
        <n v="419"/>
        <n v="210"/>
        <n v="306"/>
        <n v="243"/>
        <n v="545"/>
        <n v="499"/>
        <n v="594"/>
        <n v="773"/>
        <n v="371"/>
        <n v="288"/>
        <n v="616"/>
        <n v="766"/>
        <n v="478"/>
        <n v="273"/>
        <n v="317"/>
        <n v="415"/>
        <n v="553"/>
        <n v="585"/>
        <n v="250"/>
        <n v="249"/>
        <n v="518"/>
        <n v="69"/>
        <n v="504"/>
        <n v="392"/>
        <n v="221"/>
        <n v="272"/>
        <n v="682"/>
        <n v="304"/>
        <n v="424"/>
        <n v="399"/>
        <n v="539"/>
        <n v="538"/>
        <n v="582"/>
        <n v="472"/>
        <n v="432"/>
        <n v="355"/>
        <n v="500"/>
        <n v="639"/>
        <n v="461"/>
        <n v="546"/>
        <n v="377"/>
        <n v="673"/>
        <n v="489"/>
        <n v="176"/>
        <n v="493"/>
        <n v="627"/>
        <n v="510"/>
        <n v="770"/>
        <n v="186"/>
        <n v="197"/>
        <n v="342"/>
        <n v="535"/>
        <n v="471"/>
        <n v="376"/>
        <n v="282"/>
        <n v="120"/>
        <n v="220"/>
        <n v="274"/>
        <n v="178"/>
        <n v="335"/>
        <n v="321"/>
        <n v="681"/>
        <n v="685"/>
        <n v="414"/>
        <n v="132"/>
        <n v="636"/>
        <n v="485"/>
        <n v="310"/>
        <n v="446"/>
        <n v="865"/>
        <n v="776"/>
        <n v="583"/>
        <n v="564"/>
        <n v="841"/>
        <n v="351"/>
        <n v="653"/>
        <n v="828"/>
        <n v="455"/>
        <n v="291"/>
        <n v="125"/>
        <n v="130"/>
        <n v="691"/>
        <n v="576"/>
        <n v="180"/>
        <n v="323"/>
        <n v="170"/>
        <n v="557"/>
        <n v="217"/>
        <n v="599"/>
        <n v="542"/>
        <n v="488"/>
        <n v="593"/>
        <n v="726"/>
        <n v="389"/>
        <n v="688"/>
        <n v="257"/>
        <n v="327"/>
        <n v="534"/>
        <n v="444"/>
        <n v="541"/>
        <n v="279"/>
        <n v="475"/>
        <n v="430"/>
        <n v="768"/>
        <n v="848"/>
        <n v="443"/>
        <n v="122"/>
        <n v="438"/>
        <n v="138"/>
        <n v="309"/>
        <n v="328"/>
        <n v="242"/>
        <n v="189"/>
        <n v="746"/>
        <n v="338"/>
        <n v="668"/>
        <n v="119"/>
        <n v="474"/>
        <n v="380"/>
        <n v="219"/>
        <n v="350"/>
        <n v="675"/>
        <n v="722"/>
        <n v="638"/>
        <n v="406"/>
        <n v="108"/>
        <n v="334"/>
        <n v="484"/>
        <n v="462"/>
        <n v="660"/>
        <n v="381"/>
        <n v="307"/>
        <n v="336"/>
        <n v="517"/>
        <n v="501"/>
        <n v="360"/>
        <n v="617"/>
        <n v="416"/>
        <n v="651"/>
        <n v="664"/>
        <n v="261"/>
        <n v="562"/>
        <n v="213"/>
        <n v="477"/>
        <n v="271"/>
        <n v="551"/>
        <n v="359"/>
        <n v="525"/>
        <n v="75"/>
        <n v="259"/>
        <n v="466"/>
        <n v="709"/>
        <n v="372"/>
        <n v="394"/>
        <n v="294"/>
        <n v="693"/>
        <n v="246"/>
        <n v="723"/>
        <n v="164"/>
        <n v="275"/>
        <n v="663"/>
        <n v="410"/>
        <n v="201"/>
        <n v="149"/>
        <n v="577"/>
        <n v="579"/>
        <n v="345"/>
        <n v="530"/>
        <n v="70"/>
        <n v="280"/>
        <n v="212"/>
        <n v="71"/>
        <n v="118"/>
        <n v="325"/>
        <n v="719"/>
        <n v="398"/>
        <n v="177"/>
        <n v="772"/>
        <n v="552"/>
        <n v="649"/>
        <n v="672"/>
        <n v="752"/>
        <n v="66"/>
        <n v="454"/>
        <n v="479"/>
        <n v="502"/>
        <n v="515"/>
        <n v="657"/>
        <n v="656"/>
        <n v="357"/>
        <n v="745"/>
        <n v="531"/>
        <n v="483"/>
        <n v="427"/>
        <n v="491"/>
        <n v="96"/>
        <n v="187"/>
        <n v="411"/>
        <n v="603"/>
        <n v="505"/>
        <n v="266"/>
        <n v="253"/>
        <n v="379"/>
        <n v="735"/>
        <n v="513"/>
        <n v="265"/>
        <n v="229"/>
        <n v="314"/>
        <n v="230"/>
        <n v="559"/>
        <n v="554"/>
        <n v="128"/>
        <n v="340"/>
        <n v="409"/>
        <n v="316"/>
        <n v="696"/>
        <n v="785"/>
        <n v="276"/>
        <n v="346"/>
        <n v="109"/>
        <n v="806"/>
        <n v="127"/>
        <n v="571"/>
        <n v="526"/>
        <n v="549"/>
        <n v="710"/>
        <n v="522"/>
        <n v="508"/>
        <n v="161"/>
        <n v="492"/>
        <n v="720"/>
        <n v="635"/>
        <n v="448"/>
        <n v="543"/>
        <n v="634"/>
        <n v="780"/>
        <n v="586"/>
        <n v="568"/>
        <n v="287"/>
        <n v="299"/>
        <n v="413"/>
        <n v="405"/>
        <n v="607"/>
        <n v="674"/>
        <n v="480"/>
        <n v="767"/>
        <n v="260"/>
        <n v="498"/>
        <n v="690"/>
        <n v="567"/>
        <n v="429"/>
        <n v="435"/>
        <n v="224"/>
        <n v="252"/>
        <n v="428"/>
        <n v="64"/>
        <n v="235"/>
        <n v="347"/>
        <n v="386"/>
        <n v="451"/>
        <n v="855"/>
        <n v="104"/>
        <n v="441"/>
        <n v="238"/>
        <n v="725"/>
        <n v="254"/>
        <n v="375"/>
        <n v="447"/>
        <n v="695"/>
        <n v="281"/>
        <n v="834"/>
        <n v="329"/>
        <n v="555"/>
        <n v="512"/>
        <n v="856"/>
        <n v="61"/>
        <n v="169"/>
        <n v="643"/>
        <n v="167"/>
        <n v="544"/>
        <n v="646"/>
        <n v="497"/>
        <n v="366"/>
        <n v="669"/>
        <n v="95"/>
        <n v="100"/>
        <n v="198"/>
        <n v="228"/>
        <n v="743"/>
        <n v="92"/>
        <n v="591"/>
        <n v="558"/>
        <n v="88"/>
        <n v="387"/>
        <n v="509"/>
        <n v="759"/>
        <n v="556"/>
        <n v="796"/>
        <n v="707"/>
        <n v="588"/>
        <n v="604"/>
        <n v="612"/>
        <n v="247"/>
        <n v="369"/>
        <n v="565"/>
        <n v="361"/>
        <n v="211"/>
        <n v="609"/>
        <n v="524"/>
        <n v="202"/>
        <n v="470"/>
        <n v="866"/>
        <n v="452"/>
        <n v="67"/>
        <n v="268"/>
        <n v="126"/>
        <n v="532"/>
        <n v="330"/>
        <n v="349"/>
        <n v="344"/>
        <n v="156"/>
        <n v="615"/>
        <n v="203"/>
        <n v="218"/>
        <n v="481"/>
        <n v="373"/>
        <n v="391"/>
        <n v="293"/>
        <n v="529"/>
        <n v="216"/>
        <n v="610"/>
        <n v="196"/>
        <n v="520"/>
        <n v="232"/>
        <n v="322"/>
        <n v="426"/>
        <n v="72"/>
        <n v="417"/>
        <n v="739"/>
        <n v="292"/>
        <n v="286"/>
        <n v="469"/>
        <n v="458"/>
        <n v="155"/>
        <n v="311"/>
        <n v="587"/>
        <n v="645"/>
        <n v="174"/>
        <n v="84"/>
        <n v="467"/>
        <n v="795"/>
        <n v="270"/>
        <n v="312"/>
        <n v="640"/>
        <n v="676"/>
        <n v="115"/>
        <n v="595"/>
        <n v="222"/>
        <n v="658"/>
        <n v="608"/>
        <n v="812"/>
        <n v="184"/>
        <n v="256"/>
        <n v="179"/>
        <n v="775"/>
        <n v="326"/>
        <n v="575"/>
        <n v="644"/>
        <n v="239"/>
        <n v="434"/>
        <n v="596"/>
        <n v="573"/>
        <n v="437"/>
        <n v="536"/>
        <n v="285"/>
        <n v="621"/>
        <n v="80"/>
        <n v="511"/>
        <n v="614"/>
        <n v="102"/>
        <n v="8"/>
        <n v="157"/>
        <n v="724"/>
        <n v="597"/>
        <n v="367"/>
        <n v="566"/>
        <n v="226"/>
        <n v="124"/>
        <n v="589"/>
        <n v="631"/>
        <n v="786"/>
        <n v="296"/>
        <n v="523"/>
        <n v="356"/>
        <n v="68"/>
        <n v="43"/>
        <n v="388"/>
        <n v="383"/>
        <n v="331"/>
        <n v="487"/>
        <n v="332"/>
        <n v="214"/>
        <n v="778"/>
        <n v="267"/>
        <n v="48"/>
        <n v="680"/>
        <n v="702"/>
      </sharedItems>
    </cacheField>
    <cacheField name="Месяцы (дата создания чека)" numFmtId="0" databaseField="0">
      <fieldGroup base="5">
        <rangePr groupBy="months" startDate="2023-01-01T00:00:00" endDate="2024-05-23T00:00:00"/>
        <groupItems count="14">
          <s v="&lt;01.01.2023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23.05.2024"/>
        </groupItems>
      </fieldGroup>
    </cacheField>
    <cacheField name="Кварталы (дата создания чека)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 (дата создания чека)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eg Dmitriev" refreshedDate="45437.638934606483" createdVersion="8" refreshedVersion="8" minRefreshableVersion="3" recordCount="434" xr:uid="{00000000-000A-0000-FFFF-FFFF00000000}">
  <cacheSource type="worksheet">
    <worksheetSource name="Клиенты"/>
  </cacheSource>
  <cacheFields count="7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/>
    </cacheField>
    <cacheField name="Дата регистрации клиента" numFmtId="164">
      <sharedItems containsSemiMixedTypes="0" containsNonDate="0" containsDate="1" containsString="0" minDate="2022-01-01T00:00:00" maxDate="2022-12-30T00:00:00"/>
    </cacheField>
    <cacheField name="Коды телефона" numFmtId="0">
      <sharedItems/>
    </cacheField>
    <cacheField name="Страна клиента" numFmtId="0">
      <sharedItems count="5">
        <s v="Узбекистан"/>
        <s v="Беларусь"/>
        <s v="Россия"/>
        <s v="Украина"/>
        <s v="Таджикистан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0">
  <r>
    <n v="1"/>
    <n v="300"/>
    <n v="103"/>
    <n v="4"/>
    <n v="2060"/>
    <x v="0"/>
    <x v="0"/>
    <n v="315"/>
    <s v="Сахар"/>
    <n v="252.7627118644068"/>
    <n v="-0.5925031851404814"/>
    <s v="Продимекс"/>
    <n v="240.5"/>
    <d v="2022-07-05T00:00:00"/>
    <x v="0"/>
  </r>
  <r>
    <n v="2"/>
    <n v="486"/>
    <n v="296"/>
    <n v="3"/>
    <n v="4440"/>
    <x v="1"/>
    <x v="1"/>
    <n v="253"/>
    <s v="Соль"/>
    <n v="264.8679245283019"/>
    <n v="0.1175381108420002"/>
    <s v="Илецкая"/>
    <n v="238.1666666666667"/>
    <d v="2022-07-08T00:00:00"/>
    <x v="1"/>
  </r>
  <r>
    <n v="3"/>
    <n v="76"/>
    <n v="139"/>
    <n v="5"/>
    <n v="3475"/>
    <x v="2"/>
    <x v="2"/>
    <n v="12"/>
    <s v="Печенье"/>
    <n v="283.468085106383"/>
    <n v="-0.5096449748555131"/>
    <s v="Юбилейное"/>
    <n v="232.4444444444445"/>
    <d v="2022-10-08T00:00:00"/>
    <x v="2"/>
  </r>
  <r>
    <n v="4"/>
    <n v="240"/>
    <n v="141"/>
    <n v="5"/>
    <n v="3525"/>
    <x v="3"/>
    <x v="3"/>
    <n v="116"/>
    <s v="Макароны"/>
    <n v="265.4767441860465"/>
    <n v="-0.4688800315360694"/>
    <s v="Борилла"/>
    <n v="236.2758620689655"/>
    <d v="2022-03-23T00:00:00"/>
    <x v="3"/>
  </r>
  <r>
    <n v="5"/>
    <n v="32"/>
    <n v="123"/>
    <n v="2"/>
    <n v="1230"/>
    <x v="4"/>
    <x v="4"/>
    <n v="471"/>
    <s v="Овощи"/>
    <n v="250.4878048780488"/>
    <n v="-0.5089581304771178"/>
    <s v="Зеленая грядка"/>
    <n v="159.2"/>
    <d v="2022-01-16T00:00:00"/>
    <x v="4"/>
  </r>
  <r>
    <n v="6"/>
    <n v="162"/>
    <n v="452"/>
    <n v="2"/>
    <n v="4520"/>
    <x v="5"/>
    <x v="0"/>
    <n v="374"/>
    <s v="Сок"/>
    <n v="268.6034482758621"/>
    <n v="0.6827780987226393"/>
    <s v="Фруктовый сад"/>
    <n v="281.96875"/>
    <d v="2022-01-21T00:00:00"/>
    <x v="5"/>
  </r>
  <r>
    <n v="7"/>
    <n v="323"/>
    <n v="149"/>
    <n v="5"/>
    <n v="3725"/>
    <x v="6"/>
    <x v="5"/>
    <n v="477"/>
    <s v="Рыба"/>
    <n v="258.5128205128205"/>
    <n v="-0.4236262646300337"/>
    <s v="Меридиан"/>
    <n v="260.6470588235294"/>
    <d v="2022-06-26T00:00:00"/>
    <x v="6"/>
  </r>
  <r>
    <n v="8"/>
    <n v="60"/>
    <n v="489"/>
    <n v="4"/>
    <n v="9780"/>
    <x v="7"/>
    <x v="6"/>
    <n v="335"/>
    <s v="Кофе"/>
    <n v="249.0238095238095"/>
    <n v="0.9636676546514964"/>
    <s v="Jacobs"/>
    <n v="276.2105263157895"/>
    <d v="2022-02-27T00:00:00"/>
    <x v="7"/>
  </r>
  <r>
    <n v="9"/>
    <n v="401"/>
    <n v="416"/>
    <n v="5"/>
    <n v="10400"/>
    <x v="8"/>
    <x v="7"/>
    <n v="350"/>
    <s v="Чай"/>
    <n v="271.1818181818182"/>
    <n v="0.5340261481729802"/>
    <s v="Greenfield"/>
    <n v="291.4545454545454"/>
    <d v="2022-05-03T00:00:00"/>
    <x v="8"/>
  </r>
  <r>
    <n v="10"/>
    <n v="100"/>
    <n v="449"/>
    <n v="2"/>
    <n v="4490"/>
    <x v="9"/>
    <x v="5"/>
    <n v="413"/>
    <s v="Йогурт"/>
    <n v="263.2542372881356"/>
    <n v="0.7055755858872006"/>
    <s v="Ростагроэкспорт"/>
    <n v="257.7826086956522"/>
    <d v="2022-05-18T00:00:00"/>
    <x v="1"/>
  </r>
  <r>
    <n v="11"/>
    <n v="217"/>
    <n v="296"/>
    <n v="2"/>
    <n v="2960"/>
    <x v="10"/>
    <x v="5"/>
    <n v="495"/>
    <s v="Мясо"/>
    <n v="271.7454545454545"/>
    <n v="0.08925465007359823"/>
    <s v="Агрокомплекс"/>
    <n v="311.2"/>
    <d v="2022-04-03T00:00:00"/>
    <x v="9"/>
  </r>
  <r>
    <n v="12"/>
    <n v="445"/>
    <n v="109"/>
    <n v="5"/>
    <n v="2725"/>
    <x v="11"/>
    <x v="6"/>
    <n v="353"/>
    <s v="Сахар"/>
    <n v="252.7627118644068"/>
    <n v="-0.5687655066049755"/>
    <s v="Сладов"/>
    <n v="240.2666666666667"/>
    <d v="2022-04-05T00:00:00"/>
    <x v="10"/>
  </r>
  <r>
    <n v="13"/>
    <n v="284"/>
    <n v="213"/>
    <n v="3"/>
    <n v="3195"/>
    <x v="12"/>
    <x v="2"/>
    <n v="332"/>
    <s v="Мясо"/>
    <n v="271.7454545454545"/>
    <n v="-0.2161782416700121"/>
    <s v="Сава"/>
    <n v="212.8125"/>
    <d v="2022-10-24T00:00:00"/>
    <x v="11"/>
  </r>
  <r>
    <n v="14"/>
    <n v="116"/>
    <n v="190"/>
    <n v="4"/>
    <n v="3800"/>
    <x v="13"/>
    <x v="3"/>
    <n v="414"/>
    <s v="Соль"/>
    <n v="264.8679245283019"/>
    <n v="-0.2826613477703377"/>
    <s v="Экстра"/>
    <n v="320.8461538461539"/>
    <d v="2022-08-21T00:00:00"/>
    <x v="12"/>
  </r>
  <r>
    <n v="15"/>
    <n v="378"/>
    <n v="237"/>
    <n v="1"/>
    <n v="1185"/>
    <x v="14"/>
    <x v="5"/>
    <n v="236"/>
    <s v="Сок"/>
    <n v="268.6034482758621"/>
    <n v="-0.1176583862892356"/>
    <s v="Фруктовый сад"/>
    <n v="281.96875"/>
    <d v="2022-09-16T00:00:00"/>
    <x v="13"/>
  </r>
  <r>
    <n v="16"/>
    <n v="299"/>
    <n v="178"/>
    <n v="3"/>
    <n v="2670"/>
    <x v="15"/>
    <x v="6"/>
    <n v="164"/>
    <s v="Чай"/>
    <n v="271.1818181818182"/>
    <n v="-0.3436138115990613"/>
    <s v="Lipton"/>
    <n v="260.1578947368421"/>
    <d v="2022-04-27T00:00:00"/>
    <x v="14"/>
  </r>
  <r>
    <n v="17"/>
    <n v="359"/>
    <n v="320"/>
    <n v="5"/>
    <n v="8000"/>
    <x v="16"/>
    <x v="8"/>
    <n v="490"/>
    <s v="Мясо"/>
    <n v="271.7454545454545"/>
    <n v="0.1775725946741602"/>
    <s v="Мираторг"/>
    <n v="316.5833333333333"/>
    <d v="2022-02-11T00:00:00"/>
    <x v="15"/>
  </r>
  <r>
    <n v="18"/>
    <n v="337"/>
    <n v="419"/>
    <n v="2"/>
    <n v="4190"/>
    <x v="17"/>
    <x v="2"/>
    <n v="223"/>
    <s v="Макароны"/>
    <n v="265.4767441860465"/>
    <n v="0.5782926722438788"/>
    <s v="Паста Зара"/>
    <n v="276.6756756756757"/>
    <d v="2022-11-28T00:00:00"/>
    <x v="16"/>
  </r>
  <r>
    <n v="19"/>
    <n v="226"/>
    <n v="190"/>
    <n v="5"/>
    <n v="4750"/>
    <x v="18"/>
    <x v="9"/>
    <n v="204"/>
    <s v="Сыр"/>
    <n v="262.6349206349207"/>
    <n v="-0.2765623111326001"/>
    <s v="Карат"/>
    <n v="311.3333333333333"/>
    <d v="2022-11-02T00:00:00"/>
    <x v="17"/>
  </r>
  <r>
    <n v="20"/>
    <n v="310"/>
    <n v="458"/>
    <n v="2"/>
    <n v="4580"/>
    <x v="19"/>
    <x v="9"/>
    <n v="481"/>
    <s v="Макароны"/>
    <n v="265.4767441860465"/>
    <n v="0.72519819543603"/>
    <s v="Паста Зара"/>
    <n v="276.6756756756757"/>
    <d v="2022-07-14T00:00:00"/>
    <x v="18"/>
  </r>
  <r>
    <n v="21"/>
    <n v="137"/>
    <n v="152"/>
    <n v="2"/>
    <n v="1520"/>
    <x v="20"/>
    <x v="0"/>
    <n v="363"/>
    <s v="Фрукты"/>
    <n v="274.1627906976744"/>
    <n v="-0.4455848672491306"/>
    <s v="Экзотик"/>
    <n v="253.6875"/>
    <d v="2022-04-24T00:00:00"/>
    <x v="19"/>
  </r>
  <r>
    <n v="22"/>
    <n v="385"/>
    <n v="352"/>
    <n v="2"/>
    <n v="3520"/>
    <x v="21"/>
    <x v="6"/>
    <n v="397"/>
    <s v="Макароны"/>
    <n v="265.4767441860465"/>
    <n v="0.3259165170163374"/>
    <s v="Макфа"/>
    <n v="329.2727272727273"/>
    <d v="2022-06-16T00:00:00"/>
    <x v="20"/>
  </r>
  <r>
    <n v="23"/>
    <n v="226"/>
    <n v="228"/>
    <n v="2"/>
    <n v="2280"/>
    <x v="22"/>
    <x v="10"/>
    <n v="280"/>
    <s v="Сыр"/>
    <n v="262.6349206349207"/>
    <n v="-0.1318747733591201"/>
    <s v="Карат"/>
    <n v="311.3333333333333"/>
    <d v="2022-01-02T00:00:00"/>
    <x v="21"/>
  </r>
  <r>
    <n v="24"/>
    <n v="451"/>
    <n v="161"/>
    <n v="4"/>
    <n v="3220"/>
    <x v="23"/>
    <x v="7"/>
    <n v="39"/>
    <s v="Рис"/>
    <n v="258.375"/>
    <n v="-0.3768746976294146"/>
    <s v="Белый Злат"/>
    <n v="269.7058823529412"/>
    <d v="2022-04-02T00:00:00"/>
    <x v="22"/>
  </r>
  <r>
    <n v="25"/>
    <n v="7"/>
    <n v="362"/>
    <n v="1"/>
    <n v="1810"/>
    <x v="24"/>
    <x v="4"/>
    <n v="303"/>
    <s v="Сыр"/>
    <n v="262.6349206349207"/>
    <n v="0.3783391756315724"/>
    <s v="President"/>
    <n v="238.7222222222222"/>
    <d v="2022-05-08T00:00:00"/>
    <x v="23"/>
  </r>
  <r>
    <n v="26"/>
    <n v="495"/>
    <n v="312"/>
    <n v="1"/>
    <n v="1560"/>
    <x v="25"/>
    <x v="8"/>
    <n v="422"/>
    <s v="Чай"/>
    <n v="271.1818181818182"/>
    <n v="0.1505196111297351"/>
    <s v="Greenfield"/>
    <n v="291.4545454545454"/>
    <d v="2022-08-11T00:00:00"/>
    <x v="24"/>
  </r>
  <r>
    <n v="27"/>
    <n v="415"/>
    <n v="311"/>
    <n v="5"/>
    <n v="7775"/>
    <x v="26"/>
    <x v="11"/>
    <n v="24"/>
    <s v="Чипсы"/>
    <n v="273.7254901960785"/>
    <n v="0.1361747851002864"/>
    <s v="Pringles"/>
    <n v="280.2380952380952"/>
    <d v="2022-02-17T00:00:00"/>
    <x v="25"/>
  </r>
  <r>
    <n v="28"/>
    <n v="176"/>
    <n v="220"/>
    <n v="1"/>
    <n v="1100"/>
    <x v="27"/>
    <x v="0"/>
    <n v="112"/>
    <s v="Сахар"/>
    <n v="252.7627118644068"/>
    <n v="-0.1296184536981158"/>
    <s v="Продимекс"/>
    <n v="240.5"/>
    <d v="2022-04-01T00:00:00"/>
    <x v="26"/>
  </r>
  <r>
    <n v="29"/>
    <n v="181"/>
    <n v="476"/>
    <n v="4"/>
    <n v="9520"/>
    <x v="28"/>
    <x v="0"/>
    <n v="451"/>
    <s v="Молоко"/>
    <n v="294.952380952381"/>
    <n v="0.6138198256377139"/>
    <s v="Простоквашино"/>
    <n v="318.8181818181818"/>
    <d v="2022-01-23T00:00:00"/>
    <x v="27"/>
  </r>
  <r>
    <n v="30"/>
    <n v="399"/>
    <n v="190"/>
    <n v="1"/>
    <n v="950"/>
    <x v="29"/>
    <x v="2"/>
    <n v="131"/>
    <s v="Хлеб"/>
    <n v="300.3181818181818"/>
    <n v="-0.3673376721658846"/>
    <s v="Хлебный Дом"/>
    <n v="281.7333333333333"/>
    <d v="2022-05-12T00:00:00"/>
    <x v="28"/>
  </r>
  <r>
    <n v="31"/>
    <n v="382"/>
    <n v="198"/>
    <n v="5"/>
    <n v="4950"/>
    <x v="30"/>
    <x v="12"/>
    <n v="160"/>
    <s v="Овощи"/>
    <n v="250.4878048780488"/>
    <n v="-0.2095423563777995"/>
    <s v="Овощной ряд"/>
    <n v="303.8235294117647"/>
    <d v="2022-03-29T00:00:00"/>
    <x v="29"/>
  </r>
  <r>
    <n v="32"/>
    <n v="103"/>
    <n v="254"/>
    <n v="3"/>
    <n v="3810"/>
    <x v="31"/>
    <x v="13"/>
    <n v="408"/>
    <s v="Рыба"/>
    <n v="258.5128205128205"/>
    <n v="-0.01745685379884943"/>
    <s v="Санта Бремор"/>
    <n v="216.4"/>
    <d v="2022-10-23T00:00:00"/>
    <x v="30"/>
  </r>
  <r>
    <n v="33"/>
    <n v="104"/>
    <n v="351"/>
    <n v="1"/>
    <n v="1755"/>
    <x v="32"/>
    <x v="12"/>
    <n v="324"/>
    <s v="Йогурт"/>
    <n v="263.2542372881356"/>
    <n v="0.3333118722637136"/>
    <s v="Ростагроэкспорт"/>
    <n v="257.7826086956522"/>
    <d v="2022-07-19T00:00:00"/>
    <x v="31"/>
  </r>
  <r>
    <n v="34"/>
    <n v="213"/>
    <n v="387"/>
    <n v="1"/>
    <n v="1935"/>
    <x v="33"/>
    <x v="5"/>
    <n v="310"/>
    <s v="Сахар"/>
    <n v="252.7627118644068"/>
    <n v="0.5310802655401328"/>
    <s v="Продимекс"/>
    <n v="240.5"/>
    <d v="2022-09-03T00:00:00"/>
    <x v="32"/>
  </r>
  <r>
    <n v="35"/>
    <n v="157"/>
    <n v="55"/>
    <n v="2"/>
    <n v="550"/>
    <x v="34"/>
    <x v="2"/>
    <n v="179"/>
    <s v="Сыр"/>
    <n v="262.6349206349207"/>
    <n v="-0.7905838269068053"/>
    <s v="President"/>
    <n v="238.7222222222222"/>
    <d v="2022-09-29T00:00:00"/>
    <x v="33"/>
  </r>
  <r>
    <n v="36"/>
    <n v="237"/>
    <n v="336"/>
    <n v="1"/>
    <n v="1680"/>
    <x v="35"/>
    <x v="9"/>
    <n v="64"/>
    <s v="Конфеты"/>
    <n v="267.8548387096774"/>
    <n v="0.2544107906304569"/>
    <s v="Рот Фронт"/>
    <n v="288.2380952380952"/>
    <d v="2022-05-26T00:00:00"/>
    <x v="34"/>
  </r>
  <r>
    <n v="37"/>
    <n v="8"/>
    <n v="480"/>
    <n v="4"/>
    <n v="9600"/>
    <x v="36"/>
    <x v="14"/>
    <n v="318"/>
    <s v="Макароны"/>
    <n v="265.4767441860465"/>
    <n v="0.808067977749551"/>
    <s v="Паста Зара"/>
    <n v="276.6756756756757"/>
    <d v="2022-11-27T00:00:00"/>
    <x v="35"/>
  </r>
  <r>
    <n v="38"/>
    <n v="65"/>
    <n v="214"/>
    <n v="3"/>
    <n v="3210"/>
    <x v="37"/>
    <x v="0"/>
    <n v="239"/>
    <s v="Хлеб"/>
    <n v="300.3181818181818"/>
    <n v="-0.2874224307552595"/>
    <s v="Хлебный Дом"/>
    <n v="281.7333333333333"/>
    <d v="2022-07-25T00:00:00"/>
    <x v="36"/>
  </r>
  <r>
    <n v="39"/>
    <n v="45"/>
    <n v="60"/>
    <n v="2"/>
    <n v="600"/>
    <x v="38"/>
    <x v="15"/>
    <n v="194"/>
    <s v="Сок"/>
    <n v="268.6034482758621"/>
    <n v="-0.7766223762757558"/>
    <s v="Добрый"/>
    <n v="242.8181818181818"/>
    <d v="2022-12-29T00:00:00"/>
    <x v="9"/>
  </r>
  <r>
    <n v="40"/>
    <n v="36"/>
    <n v="414"/>
    <n v="3"/>
    <n v="6210"/>
    <x v="39"/>
    <x v="6"/>
    <n v="267"/>
    <s v="Макароны"/>
    <n v="265.4767441860465"/>
    <n v="0.5594586308089877"/>
    <s v="Роллтон"/>
    <n v="235.5555555555555"/>
    <d v="2022-12-15T00:00:00"/>
    <x v="37"/>
  </r>
  <r>
    <n v="41"/>
    <n v="443"/>
    <n v="62"/>
    <n v="3"/>
    <n v="930"/>
    <x v="40"/>
    <x v="4"/>
    <n v="334"/>
    <s v="Кофе"/>
    <n v="249.0238095238095"/>
    <n v="-0.7510278229276222"/>
    <s v="Jacobs"/>
    <n v="276.2105263157895"/>
    <d v="2022-11-16T00:00:00"/>
    <x v="22"/>
  </r>
  <r>
    <n v="42"/>
    <n v="384"/>
    <n v="357"/>
    <n v="1"/>
    <n v="1785"/>
    <x v="41"/>
    <x v="16"/>
    <n v="47"/>
    <s v="Сахар"/>
    <n v="252.7627118644068"/>
    <n v="0.412391872862603"/>
    <s v="Сладов"/>
    <n v="240.2666666666667"/>
    <d v="2022-05-12T00:00:00"/>
    <x v="38"/>
  </r>
  <r>
    <n v="43"/>
    <n v="41"/>
    <n v="493"/>
    <n v="3"/>
    <n v="7395"/>
    <x v="42"/>
    <x v="1"/>
    <n v="287"/>
    <s v="Рис"/>
    <n v="258.375"/>
    <n v="0.9080793420416062"/>
    <s v="Агро-Альянс"/>
    <n v="317.8571428571428"/>
    <d v="2022-02-16T00:00:00"/>
    <x v="39"/>
  </r>
  <r>
    <n v="44"/>
    <n v="484"/>
    <n v="305"/>
    <n v="2"/>
    <n v="3050"/>
    <x v="43"/>
    <x v="11"/>
    <n v="145"/>
    <s v="Печенье"/>
    <n v="283.468085106383"/>
    <n v="0.07595886812279518"/>
    <s v="КДВ"/>
    <n v="323.0769230769231"/>
    <d v="2022-04-02T00:00:00"/>
    <x v="40"/>
  </r>
  <r>
    <n v="45"/>
    <n v="7"/>
    <n v="162"/>
    <n v="4"/>
    <n v="3240"/>
    <x v="44"/>
    <x v="8"/>
    <n v="270"/>
    <s v="Сыр"/>
    <n v="262.6349206349207"/>
    <n v="-0.3831741810709538"/>
    <s v="President"/>
    <n v="238.7222222222222"/>
    <d v="2022-09-23T00:00:00"/>
    <x v="41"/>
  </r>
  <r>
    <n v="46"/>
    <n v="390"/>
    <n v="78"/>
    <n v="1"/>
    <n v="390"/>
    <x v="45"/>
    <x v="7"/>
    <n v="64"/>
    <s v="Сок"/>
    <n v="268.6034482758621"/>
    <n v="-0.7096090891584825"/>
    <s v="Сады Придонья"/>
    <n v="254.1818181818182"/>
    <d v="2022-05-26T00:00:00"/>
    <x v="42"/>
  </r>
  <r>
    <n v="47"/>
    <n v="57"/>
    <n v="343"/>
    <n v="5"/>
    <n v="8575"/>
    <x v="46"/>
    <x v="1"/>
    <n v="183"/>
    <s v="Печенье"/>
    <n v="283.468085106383"/>
    <n v="0.2100127598889139"/>
    <s v="Юбилейное"/>
    <n v="232.4444444444445"/>
    <d v="2022-12-05T00:00:00"/>
    <x v="43"/>
  </r>
  <r>
    <n v="48"/>
    <n v="285"/>
    <n v="498"/>
    <n v="4"/>
    <n v="9960"/>
    <x v="47"/>
    <x v="9"/>
    <n v="2"/>
    <s v="Макароны"/>
    <n v="265.4767441860465"/>
    <n v="0.8758705269151592"/>
    <s v="Паста Зара"/>
    <n v="276.6756756756757"/>
    <d v="2022-08-02T00:00:00"/>
    <x v="44"/>
  </r>
  <r>
    <n v="49"/>
    <n v="299"/>
    <n v="133"/>
    <n v="1"/>
    <n v="665"/>
    <x v="42"/>
    <x v="8"/>
    <n v="204"/>
    <s v="Чай"/>
    <n v="271.1818181818182"/>
    <n v="-0.5095541401273885"/>
    <s v="Lipton"/>
    <n v="260.1578947368421"/>
    <d v="2022-11-02T00:00:00"/>
    <x v="45"/>
  </r>
  <r>
    <n v="50"/>
    <n v="444"/>
    <n v="311"/>
    <n v="4"/>
    <n v="6220"/>
    <x v="48"/>
    <x v="15"/>
    <n v="229"/>
    <s v="Йогурт"/>
    <n v="263.2542372881356"/>
    <n v="0.181367499356168"/>
    <s v="Эрманн"/>
    <n v="248.5"/>
    <d v="2022-07-24T00:00:00"/>
    <x v="46"/>
  </r>
  <r>
    <n v="51"/>
    <n v="35"/>
    <n v="242"/>
    <n v="2"/>
    <n v="2420"/>
    <x v="49"/>
    <x v="14"/>
    <n v="385"/>
    <s v="Крупа"/>
    <n v="255.1162790697674"/>
    <n v="-0.05141294439380129"/>
    <s v="Мистраль"/>
    <n v="250.3076923076923"/>
    <d v="2022-07-11T00:00:00"/>
    <x v="47"/>
  </r>
  <r>
    <n v="52"/>
    <n v="296"/>
    <n v="101"/>
    <n v="3"/>
    <n v="1515"/>
    <x v="50"/>
    <x v="11"/>
    <n v="407"/>
    <s v="Крупа"/>
    <n v="255.1162790697674"/>
    <n v="-0.6041020966271651"/>
    <s v="Мистраль"/>
    <n v="250.3076923076923"/>
    <d v="2022-03-01T00:00:00"/>
    <x v="48"/>
  </r>
  <r>
    <n v="53"/>
    <n v="227"/>
    <n v="65"/>
    <n v="1"/>
    <n v="325"/>
    <x v="51"/>
    <x v="2"/>
    <n v="493"/>
    <s v="Макароны"/>
    <n v="265.4767441860465"/>
    <n v="-0.7551574613464149"/>
    <s v="Макфа"/>
    <n v="329.2727272727273"/>
    <d v="2022-10-21T00:00:00"/>
    <x v="49"/>
  </r>
  <r>
    <n v="54"/>
    <n v="167"/>
    <n v="143"/>
    <n v="3"/>
    <n v="2145"/>
    <x v="52"/>
    <x v="14"/>
    <n v="34"/>
    <s v="Мясо"/>
    <n v="271.7454545454545"/>
    <n v="-0.4737722467549846"/>
    <s v="Сава"/>
    <n v="212.8125"/>
    <d v="2022-04-03T00:00:00"/>
    <x v="50"/>
  </r>
  <r>
    <n v="55"/>
    <n v="146"/>
    <n v="402"/>
    <n v="5"/>
    <n v="10050"/>
    <x v="53"/>
    <x v="5"/>
    <n v="190"/>
    <s v="Сок"/>
    <n v="268.6034482758621"/>
    <n v="0.4966300789524358"/>
    <s v="Добрый"/>
    <n v="242.8181818181818"/>
    <d v="2022-05-08T00:00:00"/>
    <x v="51"/>
  </r>
  <r>
    <n v="56"/>
    <n v="338"/>
    <n v="97"/>
    <n v="1"/>
    <n v="485"/>
    <x v="43"/>
    <x v="9"/>
    <n v="266"/>
    <s v="Сыр"/>
    <n v="262.6349206349207"/>
    <n v="-0.6306660219992748"/>
    <s v="President"/>
    <n v="238.7222222222222"/>
    <d v="2022-08-22T00:00:00"/>
    <x v="52"/>
  </r>
  <r>
    <n v="57"/>
    <n v="155"/>
    <n v="482"/>
    <n v="1"/>
    <n v="2410"/>
    <x v="54"/>
    <x v="6"/>
    <n v="222"/>
    <s v="Йогурт"/>
    <n v="263.2542372881356"/>
    <n v="0.8309296935359258"/>
    <s v="Эрманн"/>
    <n v="248.5"/>
    <d v="2022-05-13T00:00:00"/>
    <x v="53"/>
  </r>
  <r>
    <n v="58"/>
    <n v="239"/>
    <n v="59"/>
    <n v="1"/>
    <n v="295"/>
    <x v="55"/>
    <x v="17"/>
    <n v="382"/>
    <s v="Йогурт"/>
    <n v="263.2542372881356"/>
    <n v="-0.7758820499613701"/>
    <s v="Эрманн"/>
    <n v="248.5"/>
    <d v="2022-10-16T00:00:00"/>
    <x v="54"/>
  </r>
  <r>
    <n v="59"/>
    <n v="158"/>
    <n v="87"/>
    <n v="4"/>
    <n v="1740"/>
    <x v="56"/>
    <x v="8"/>
    <n v="142"/>
    <s v="Сахар"/>
    <n v="252.7627118644068"/>
    <n v="-0.655803661235164"/>
    <s v="Сладов"/>
    <n v="240.2666666666667"/>
    <d v="2022-05-02T00:00:00"/>
    <x v="55"/>
  </r>
  <r>
    <n v="60"/>
    <n v="147"/>
    <n v="238"/>
    <n v="5"/>
    <n v="5950"/>
    <x v="57"/>
    <x v="7"/>
    <n v="270"/>
    <s v="Конфеты"/>
    <n v="267.8548387096774"/>
    <n v="-0.1114590233034263"/>
    <s v="Бабаевский"/>
    <n v="250.2592592592593"/>
    <d v="2022-09-23T00:00:00"/>
    <x v="56"/>
  </r>
  <r>
    <n v="61"/>
    <n v="311"/>
    <n v="238"/>
    <n v="5"/>
    <n v="5950"/>
    <x v="58"/>
    <x v="7"/>
    <n v="150"/>
    <s v="Макароны"/>
    <n v="265.4767441860465"/>
    <n v="-0.103499627699181"/>
    <s v="Паста Зара"/>
    <n v="276.6756756756757"/>
    <d v="2022-03-02T00:00:00"/>
    <x v="57"/>
  </r>
  <r>
    <n v="62"/>
    <n v="465"/>
    <n v="311"/>
    <n v="2"/>
    <n v="3110"/>
    <x v="59"/>
    <x v="1"/>
    <n v="14"/>
    <s v="Йогурт"/>
    <n v="263.2542372881356"/>
    <n v="0.181367499356168"/>
    <s v="Ростагроэкспорт"/>
    <n v="257.7826086956522"/>
    <d v="2022-08-02T00:00:00"/>
    <x v="58"/>
  </r>
  <r>
    <n v="63"/>
    <n v="449"/>
    <n v="392"/>
    <n v="3"/>
    <n v="5880"/>
    <x v="33"/>
    <x v="11"/>
    <n v="371"/>
    <s v="Мясо"/>
    <n v="271.7454545454545"/>
    <n v="0.4425264284758463"/>
    <s v="Агрокомплекс"/>
    <n v="311.2"/>
    <d v="2022-10-10T00:00:00"/>
    <x v="59"/>
  </r>
  <r>
    <n v="64"/>
    <n v="144"/>
    <n v="473"/>
    <n v="5"/>
    <n v="11825"/>
    <x v="60"/>
    <x v="9"/>
    <n v="328"/>
    <s v="Макароны"/>
    <n v="265.4767441860465"/>
    <n v="0.7817003197407033"/>
    <s v="Роллтон"/>
    <n v="235.5555555555555"/>
    <d v="2022-01-07T00:00:00"/>
    <x v="60"/>
  </r>
  <r>
    <n v="65"/>
    <n v="375"/>
    <n v="231"/>
    <n v="2"/>
    <n v="2310"/>
    <x v="61"/>
    <x v="10"/>
    <n v="171"/>
    <s v="Макароны"/>
    <n v="265.4767441860465"/>
    <n v="-0.1298672857080285"/>
    <s v="Борилла"/>
    <n v="236.2758620689655"/>
    <d v="2022-05-29T00:00:00"/>
    <x v="61"/>
  </r>
  <r>
    <n v="66"/>
    <n v="408"/>
    <n v="438"/>
    <n v="3"/>
    <n v="6570"/>
    <x v="62"/>
    <x v="11"/>
    <n v="68"/>
    <s v="Йогурт"/>
    <n v="263.2542372881356"/>
    <n v="0.6637908833376256"/>
    <s v="Эрманн"/>
    <n v="248.5"/>
    <d v="2022-11-17T00:00:00"/>
    <x v="62"/>
  </r>
  <r>
    <n v="67"/>
    <n v="425"/>
    <n v="365"/>
    <n v="2"/>
    <n v="3650"/>
    <x v="63"/>
    <x v="13"/>
    <n v="346"/>
    <s v="Соль"/>
    <n v="264.8679245283019"/>
    <n v="0.3780453055990882"/>
    <s v="Экстра"/>
    <n v="320.8461538461539"/>
    <d v="2022-03-16T00:00:00"/>
    <x v="63"/>
  </r>
  <r>
    <n v="68"/>
    <n v="277"/>
    <n v="324"/>
    <n v="2"/>
    <n v="3240"/>
    <x v="64"/>
    <x v="13"/>
    <n v="415"/>
    <s v="Чай"/>
    <n v="271.1818181818182"/>
    <n v="0.1947703654039556"/>
    <s v="Greenfield"/>
    <n v="291.4545454545454"/>
    <d v="2022-04-10T00:00:00"/>
    <x v="64"/>
  </r>
  <r>
    <n v="69"/>
    <n v="130"/>
    <n v="208"/>
    <n v="5"/>
    <n v="5200"/>
    <x v="65"/>
    <x v="7"/>
    <n v="115"/>
    <s v="Соль"/>
    <n v="264.8679245283019"/>
    <n v="-0.2147029491380539"/>
    <s v="Илецкая"/>
    <n v="238.1666666666667"/>
    <d v="2022-09-28T00:00:00"/>
    <x v="65"/>
  </r>
  <r>
    <n v="70"/>
    <n v="337"/>
    <n v="115"/>
    <n v="3"/>
    <n v="1725"/>
    <x v="66"/>
    <x v="0"/>
    <n v="42"/>
    <s v="Макароны"/>
    <n v="265.4767441860465"/>
    <n v="-0.5668170469975033"/>
    <s v="Паста Зара"/>
    <n v="276.6756756756757"/>
    <d v="2022-08-10T00:00:00"/>
    <x v="66"/>
  </r>
  <r>
    <n v="71"/>
    <n v="30"/>
    <n v="261"/>
    <n v="1"/>
    <n v="1305"/>
    <x v="67"/>
    <x v="14"/>
    <n v="378"/>
    <s v="Чипсы"/>
    <n v="273.7254901960785"/>
    <n v="-0.04648997134670496"/>
    <s v="Pringles"/>
    <n v="280.2380952380952"/>
    <d v="2022-05-29T00:00:00"/>
    <x v="67"/>
  </r>
  <r>
    <n v="72"/>
    <n v="75"/>
    <n v="257"/>
    <n v="2"/>
    <n v="2570"/>
    <x v="68"/>
    <x v="17"/>
    <n v="449"/>
    <s v="Печенье"/>
    <n v="283.468085106383"/>
    <n v="-0.09337236358177592"/>
    <s v="Белогорье"/>
    <n v="249.5"/>
    <d v="2022-03-25T00:00:00"/>
    <x v="68"/>
  </r>
  <r>
    <n v="73"/>
    <n v="118"/>
    <n v="459"/>
    <n v="2"/>
    <n v="4590"/>
    <x v="69"/>
    <x v="9"/>
    <n v="318"/>
    <s v="Сахар"/>
    <n v="252.7627118644068"/>
    <n v="0.815932407966204"/>
    <s v="Продимекс"/>
    <n v="240.5"/>
    <d v="2022-11-27T00:00:00"/>
    <x v="69"/>
  </r>
  <r>
    <n v="74"/>
    <n v="19"/>
    <n v="112"/>
    <n v="4"/>
    <n v="2240"/>
    <x v="70"/>
    <x v="9"/>
    <n v="317"/>
    <s v="Мясо"/>
    <n v="271.7454545454545"/>
    <n v="-0.5878495918640438"/>
    <s v="Снежана"/>
    <n v="272.3529411764706"/>
    <d v="2022-07-28T00:00:00"/>
    <x v="70"/>
  </r>
  <r>
    <n v="75"/>
    <n v="204"/>
    <n v="491"/>
    <n v="4"/>
    <n v="9820"/>
    <x v="71"/>
    <x v="10"/>
    <n v="426"/>
    <s v="Печенье"/>
    <n v="283.468085106383"/>
    <n v="0.7321173909780079"/>
    <s v="Юбилейное"/>
    <n v="232.4444444444445"/>
    <d v="2022-07-26T00:00:00"/>
    <x v="71"/>
  </r>
  <r>
    <n v="76"/>
    <n v="304"/>
    <n v="162"/>
    <n v="1"/>
    <n v="810"/>
    <x v="72"/>
    <x v="7"/>
    <n v="25"/>
    <s v="Конфеты"/>
    <n v="267.8548387096774"/>
    <n v="-0.3951947973746011"/>
    <s v="Рот Фронт"/>
    <n v="288.2380952380952"/>
    <d v="2022-01-21T00:00:00"/>
    <x v="72"/>
  </r>
  <r>
    <n v="77"/>
    <n v="189"/>
    <n v="278"/>
    <n v="2"/>
    <n v="2780"/>
    <x v="73"/>
    <x v="15"/>
    <n v="462"/>
    <s v="Хлеб"/>
    <n v="300.3181818181818"/>
    <n v="-0.074315120326926"/>
    <s v="Дарница"/>
    <n v="264"/>
    <d v="2022-07-09T00:00:00"/>
    <x v="73"/>
  </r>
  <r>
    <n v="78"/>
    <n v="392"/>
    <n v="484"/>
    <n v="4"/>
    <n v="9680"/>
    <x v="74"/>
    <x v="2"/>
    <n v="252"/>
    <s v="Кофе"/>
    <n v="249.0238095238095"/>
    <n v="0.9435892532746917"/>
    <s v="Черная Карта"/>
    <n v="222.2"/>
    <d v="2022-03-23T00:00:00"/>
    <x v="74"/>
  </r>
  <r>
    <n v="79"/>
    <n v="10"/>
    <n v="53"/>
    <n v="1"/>
    <n v="265"/>
    <x v="75"/>
    <x v="17"/>
    <n v="392"/>
    <s v="Сок"/>
    <n v="268.6034482758621"/>
    <n v="-0.8026830990435844"/>
    <s v="Фруктовый сад"/>
    <n v="281.96875"/>
    <d v="2022-12-24T00:00:00"/>
    <x v="75"/>
  </r>
  <r>
    <n v="80"/>
    <n v="64"/>
    <n v="131"/>
    <n v="5"/>
    <n v="3275"/>
    <x v="76"/>
    <x v="7"/>
    <n v="487"/>
    <s v="Колбаса"/>
    <n v="286.9230769230769"/>
    <n v="-0.5434316353887398"/>
    <s v="Окраина"/>
    <n v="273.5833333333333"/>
    <d v="2022-09-11T00:00:00"/>
    <x v="76"/>
  </r>
  <r>
    <n v="81"/>
    <n v="116"/>
    <n v="120"/>
    <n v="2"/>
    <n v="1200"/>
    <x v="24"/>
    <x v="18"/>
    <n v="332"/>
    <s v="Соль"/>
    <n v="264.8679245283019"/>
    <n v="-0.546944009118108"/>
    <s v="Экстра"/>
    <n v="320.8461538461539"/>
    <d v="2022-10-24T00:00:00"/>
    <x v="77"/>
  </r>
  <r>
    <n v="82"/>
    <n v="334"/>
    <n v="396"/>
    <n v="4"/>
    <n v="7920"/>
    <x v="77"/>
    <x v="17"/>
    <n v="134"/>
    <s v="Молоко"/>
    <n v="294.952380952381"/>
    <n v="0.3425896028414595"/>
    <s v="Домик в деревне"/>
    <n v="274.7777777777778"/>
    <d v="2022-07-11T00:00:00"/>
    <x v="78"/>
  </r>
  <r>
    <n v="83"/>
    <n v="345"/>
    <n v="267"/>
    <n v="5"/>
    <n v="6675"/>
    <x v="78"/>
    <x v="1"/>
    <n v="287"/>
    <s v="Конфеты"/>
    <n v="267.8548387096774"/>
    <n v="-0.003191425302583317"/>
    <s v="Рот Фронт"/>
    <n v="288.2380952380952"/>
    <d v="2022-02-16T00:00:00"/>
    <x v="79"/>
  </r>
  <r>
    <n v="84"/>
    <n v="281"/>
    <n v="371"/>
    <n v="1"/>
    <n v="1855"/>
    <x v="69"/>
    <x v="14"/>
    <n v="11"/>
    <s v="Чай"/>
    <n v="271.1818181818182"/>
    <n v="0.368085819644653"/>
    <s v="Lipton"/>
    <n v="260.1578947368421"/>
    <d v="2022-05-09T00:00:00"/>
    <x v="80"/>
  </r>
  <r>
    <n v="85"/>
    <n v="276"/>
    <n v="295"/>
    <n v="1"/>
    <n v="1475"/>
    <x v="79"/>
    <x v="9"/>
    <n v="458"/>
    <s v="Колбаса"/>
    <n v="286.9230769230769"/>
    <n v="0.0281501340482575"/>
    <s v="Дымов"/>
    <n v="312.6666666666667"/>
    <d v="2022-05-13T00:00:00"/>
    <x v="81"/>
  </r>
  <r>
    <n v="86"/>
    <n v="234"/>
    <n v="75"/>
    <n v="5"/>
    <n v="1875"/>
    <x v="80"/>
    <x v="15"/>
    <n v="130"/>
    <s v="Чай"/>
    <n v="271.1818181818182"/>
    <n v="-0.7234327857861214"/>
    <s v="Greenfield"/>
    <n v="291.4545454545454"/>
    <d v="2022-10-29T00:00:00"/>
    <x v="82"/>
  </r>
  <r>
    <n v="87"/>
    <n v="319"/>
    <n v="247"/>
    <n v="2"/>
    <n v="2470"/>
    <x v="81"/>
    <x v="0"/>
    <n v="330"/>
    <s v="Йогурт"/>
    <n v="263.2542372881356"/>
    <n v="-0.06174349729590523"/>
    <s v="Эрманн"/>
    <n v="248.5"/>
    <d v="2022-09-11T00:00:00"/>
    <x v="83"/>
  </r>
  <r>
    <n v="88"/>
    <n v="375"/>
    <n v="281"/>
    <n v="2"/>
    <n v="2810"/>
    <x v="82"/>
    <x v="9"/>
    <n v="167"/>
    <s v="Макароны"/>
    <n v="265.4767441860465"/>
    <n v="0.05847312864088305"/>
    <s v="Борилла"/>
    <n v="236.2758620689655"/>
    <d v="2022-01-02T00:00:00"/>
    <x v="84"/>
  </r>
  <r>
    <n v="89"/>
    <n v="443"/>
    <n v="136"/>
    <n v="2"/>
    <n v="1360"/>
    <x v="83"/>
    <x v="17"/>
    <n v="140"/>
    <s v="Кофе"/>
    <n v="249.0238095238095"/>
    <n v="-0.453867482550913"/>
    <s v="Jacobs"/>
    <n v="276.2105263157895"/>
    <d v="2022-03-07T00:00:00"/>
    <x v="85"/>
  </r>
  <r>
    <n v="90"/>
    <n v="30"/>
    <n v="142"/>
    <n v="5"/>
    <n v="3550"/>
    <x v="84"/>
    <x v="15"/>
    <n v="423"/>
    <s v="Чипсы"/>
    <n v="273.7254901960785"/>
    <n v="-0.4812320916905445"/>
    <s v="Pringles"/>
    <n v="280.2380952380952"/>
    <d v="2022-10-07T00:00:00"/>
    <x v="86"/>
  </r>
  <r>
    <n v="91"/>
    <n v="24"/>
    <n v="414"/>
    <n v="1"/>
    <n v="2070"/>
    <x v="85"/>
    <x v="4"/>
    <n v="365"/>
    <s v="Йогурт"/>
    <n v="263.2542372881356"/>
    <n v="0.5726242595930982"/>
    <s v="Чудо"/>
    <n v="287.1"/>
    <d v="2022-10-07T00:00:00"/>
    <x v="87"/>
  </r>
  <r>
    <n v="92"/>
    <n v="357"/>
    <n v="206"/>
    <n v="2"/>
    <n v="2060"/>
    <x v="86"/>
    <x v="18"/>
    <n v="452"/>
    <s v="Мясо"/>
    <n v="271.7454545454545"/>
    <n v="-0.2419376421785093"/>
    <s v="Снежана"/>
    <n v="272.3529411764706"/>
    <d v="2022-07-27T00:00:00"/>
    <x v="88"/>
  </r>
  <r>
    <n v="93"/>
    <n v="265"/>
    <n v="66"/>
    <n v="1"/>
    <n v="330"/>
    <x v="87"/>
    <x v="16"/>
    <n v="424"/>
    <s v="Мясо"/>
    <n v="271.7454545454545"/>
    <n v="-0.7571256523484544"/>
    <s v="Мираторг"/>
    <n v="316.5833333333333"/>
    <d v="2022-01-24T00:00:00"/>
    <x v="89"/>
  </r>
  <r>
    <n v="94"/>
    <n v="102"/>
    <n v="452"/>
    <n v="1"/>
    <n v="2260"/>
    <x v="88"/>
    <x v="13"/>
    <n v="75"/>
    <s v="Печенье"/>
    <n v="283.468085106383"/>
    <n v="0.5945357652180439"/>
    <s v="Белогорье"/>
    <n v="249.5"/>
    <d v="2022-08-23T00:00:00"/>
    <x v="90"/>
  </r>
  <r>
    <n v="95"/>
    <n v="212"/>
    <n v="175"/>
    <n v="1"/>
    <n v="875"/>
    <x v="89"/>
    <x v="19"/>
    <n v="385"/>
    <s v="Чипсы"/>
    <n v="273.7254901960785"/>
    <n v="-0.3606733524355301"/>
    <s v="Lay's"/>
    <n v="320.5714285714286"/>
    <d v="2022-07-11T00:00:00"/>
    <x v="91"/>
  </r>
  <r>
    <n v="96"/>
    <n v="215"/>
    <n v="109"/>
    <n v="1"/>
    <n v="545"/>
    <x v="90"/>
    <x v="9"/>
    <n v="71"/>
    <s v="Сок"/>
    <n v="268.6034482758621"/>
    <n v="-0.5941973169009565"/>
    <s v="Фруктовый сад"/>
    <n v="281.96875"/>
    <d v="2022-07-20T00:00:00"/>
    <x v="92"/>
  </r>
  <r>
    <n v="97"/>
    <n v="364"/>
    <n v="323"/>
    <n v="2"/>
    <n v="3230"/>
    <x v="91"/>
    <x v="17"/>
    <n v="313"/>
    <s v="Сахар"/>
    <n v="252.7627118644068"/>
    <n v="0.2778783611614029"/>
    <s v="Русский сахар"/>
    <n v="293.4117647058824"/>
    <d v="2022-12-01T00:00:00"/>
    <x v="93"/>
  </r>
  <r>
    <n v="98"/>
    <n v="499"/>
    <n v="96"/>
    <n v="1"/>
    <n v="480"/>
    <x v="92"/>
    <x v="5"/>
    <n v="239"/>
    <s v="Печенье"/>
    <n v="283.468085106383"/>
    <n v="-0.6613375365908579"/>
    <s v="Посиделкино"/>
    <n v="321.6363636363636"/>
    <d v="2022-07-25T00:00:00"/>
    <x v="94"/>
  </r>
  <r>
    <n v="99"/>
    <n v="202"/>
    <n v="422"/>
    <n v="2"/>
    <n v="4220"/>
    <x v="93"/>
    <x v="5"/>
    <n v="301"/>
    <s v="Овощи"/>
    <n v="250.4878048780488"/>
    <n v="0.6847127555988315"/>
    <s v="Овощной ряд"/>
    <n v="303.8235294117647"/>
    <d v="2022-06-02T00:00:00"/>
    <x v="95"/>
  </r>
  <r>
    <n v="100"/>
    <n v="244"/>
    <n v="57"/>
    <n v="3"/>
    <n v="855"/>
    <x v="94"/>
    <x v="18"/>
    <n v="359"/>
    <s v="Мясо"/>
    <n v="271.7454545454545"/>
    <n v="-0.7902448815736652"/>
    <s v="Сава"/>
    <n v="212.8125"/>
    <d v="2022-01-23T00:00:00"/>
    <x v="96"/>
  </r>
  <r>
    <n v="101"/>
    <n v="363"/>
    <n v="414"/>
    <n v="4"/>
    <n v="8280"/>
    <x v="95"/>
    <x v="17"/>
    <n v="474"/>
    <s v="Хлеб"/>
    <n v="300.3181818181818"/>
    <n v="0.378537914333283"/>
    <s v="Дарница"/>
    <n v="264"/>
    <d v="2022-02-13T00:00:00"/>
    <x v="97"/>
  </r>
  <r>
    <n v="102"/>
    <n v="212"/>
    <n v="320"/>
    <n v="5"/>
    <n v="8000"/>
    <x v="96"/>
    <x v="2"/>
    <n v="111"/>
    <s v="Чипсы"/>
    <n v="273.7254901960785"/>
    <n v="0.1690544412607449"/>
    <s v="Lay's"/>
    <n v="320.5714285714286"/>
    <d v="2022-08-31T00:00:00"/>
    <x v="98"/>
  </r>
  <r>
    <n v="103"/>
    <n v="434"/>
    <n v="272"/>
    <n v="2"/>
    <n v="2720"/>
    <x v="25"/>
    <x v="5"/>
    <n v="126"/>
    <s v="Сыр"/>
    <n v="262.6349206349207"/>
    <n v="0.03565816511543574"/>
    <s v="Сырная долина"/>
    <n v="271"/>
    <d v="2022-09-18T00:00:00"/>
    <x v="99"/>
  </r>
  <r>
    <n v="104"/>
    <n v="305"/>
    <n v="419"/>
    <n v="4"/>
    <n v="8380"/>
    <x v="97"/>
    <x v="19"/>
    <n v="356"/>
    <s v="Печенье"/>
    <n v="283.468085106383"/>
    <n v="0.4781205434211513"/>
    <s v="Посиделкино"/>
    <n v="321.6363636363636"/>
    <d v="2022-01-09T00:00:00"/>
    <x v="100"/>
  </r>
  <r>
    <n v="105"/>
    <n v="37"/>
    <n v="478"/>
    <n v="4"/>
    <n v="9560"/>
    <x v="98"/>
    <x v="4"/>
    <n v="166"/>
    <s v="Соль"/>
    <n v="264.8679245283019"/>
    <n v="0.8046730303462031"/>
    <s v="Илецкая"/>
    <n v="238.1666666666667"/>
    <d v="2022-08-23T00:00:00"/>
    <x v="101"/>
  </r>
  <r>
    <n v="106"/>
    <n v="242"/>
    <n v="333"/>
    <n v="3"/>
    <n v="4995"/>
    <x v="64"/>
    <x v="2"/>
    <n v="162"/>
    <s v="Овощи"/>
    <n v="250.4878048780488"/>
    <n v="0.3294060370009737"/>
    <s v="Овощной ряд"/>
    <n v="303.8235294117647"/>
    <d v="2022-03-19T00:00:00"/>
    <x v="102"/>
  </r>
  <r>
    <n v="107"/>
    <n v="332"/>
    <n v="327"/>
    <n v="2"/>
    <n v="3270"/>
    <x v="99"/>
    <x v="11"/>
    <n v="459"/>
    <s v="Чай"/>
    <n v="271.1818181818182"/>
    <n v="0.2058330539725108"/>
    <s v="Тесс"/>
    <n v="281.75"/>
    <d v="2022-07-01T00:00:00"/>
    <x v="99"/>
  </r>
  <r>
    <n v="108"/>
    <n v="452"/>
    <n v="89"/>
    <n v="3"/>
    <n v="1335"/>
    <x v="100"/>
    <x v="14"/>
    <n v="211"/>
    <s v="Фрукты"/>
    <n v="274.1627906976744"/>
    <n v="-0.6753753499024515"/>
    <s v="Экзотик"/>
    <n v="253.6875"/>
    <d v="2022-03-01T00:00:00"/>
    <x v="103"/>
  </r>
  <r>
    <n v="109"/>
    <n v="452"/>
    <n v="78"/>
    <n v="3"/>
    <n v="1170"/>
    <x v="101"/>
    <x v="2"/>
    <n v="132"/>
    <s v="Фрукты"/>
    <n v="274.1627906976744"/>
    <n v="-0.715497497667317"/>
    <s v="Экзотик"/>
    <n v="253.6875"/>
    <d v="2022-02-09T00:00:00"/>
    <x v="104"/>
  </r>
  <r>
    <n v="110"/>
    <n v="132"/>
    <n v="278"/>
    <n v="3"/>
    <n v="4170"/>
    <x v="102"/>
    <x v="3"/>
    <n v="236"/>
    <s v="Рыба"/>
    <n v="258.5128205128205"/>
    <n v="0.07538186867684993"/>
    <s v="Меридиан"/>
    <n v="260.6470588235294"/>
    <d v="2022-09-16T00:00:00"/>
    <x v="105"/>
  </r>
  <r>
    <n v="111"/>
    <n v="457"/>
    <n v="211"/>
    <n v="4"/>
    <n v="4220"/>
    <x v="103"/>
    <x v="9"/>
    <n v="333"/>
    <s v="Сок"/>
    <n v="268.6034482758621"/>
    <n v="-0.2144553565697414"/>
    <s v="Rich"/>
    <n v="272.25"/>
    <d v="2022-10-23T00:00:00"/>
    <x v="106"/>
  </r>
  <r>
    <n v="112"/>
    <n v="250"/>
    <n v="97"/>
    <n v="5"/>
    <n v="2425"/>
    <x v="55"/>
    <x v="19"/>
    <n v="298"/>
    <s v="Фрукты"/>
    <n v="274.1627906976744"/>
    <n v="-0.6461956060734584"/>
    <s v="Фрукты-Ягоды"/>
    <n v="280.6666666666667"/>
    <d v="2022-09-17T00:00:00"/>
    <x v="107"/>
  </r>
  <r>
    <n v="113"/>
    <n v="195"/>
    <n v="240"/>
    <n v="2"/>
    <n v="2400"/>
    <x v="104"/>
    <x v="6"/>
    <n v="273"/>
    <s v="Хлеб"/>
    <n v="300.3181818181818"/>
    <n v="-0.2008475858937491"/>
    <s v="Каравай"/>
    <n v="331.1666666666667"/>
    <d v="2022-02-07T00:00:00"/>
    <x v="108"/>
  </r>
  <r>
    <n v="114"/>
    <n v="186"/>
    <n v="244"/>
    <n v="1"/>
    <n v="1220"/>
    <x v="105"/>
    <x v="9"/>
    <n v="321"/>
    <s v="Сыр"/>
    <n v="262.6349206349207"/>
    <n v="-0.07095370482291807"/>
    <s v="President"/>
    <n v="238.7222222222222"/>
    <d v="2022-07-14T00:00:00"/>
    <x v="78"/>
  </r>
  <r>
    <n v="115"/>
    <n v="490"/>
    <n v="219"/>
    <n v="1"/>
    <n v="1095"/>
    <x v="106"/>
    <x v="12"/>
    <n v="119"/>
    <s v="Сыр"/>
    <n v="262.6349206349207"/>
    <n v="-0.1661428744107338"/>
    <s v="Сырная долина"/>
    <n v="271"/>
    <d v="2022-05-09T00:00:00"/>
    <x v="109"/>
  </r>
  <r>
    <n v="116"/>
    <n v="72"/>
    <n v="162"/>
    <n v="1"/>
    <n v="810"/>
    <x v="107"/>
    <x v="9"/>
    <n v="472"/>
    <s v="Конфеты"/>
    <n v="267.8548387096774"/>
    <n v="-0.3951947973746011"/>
    <s v="Бабаевский"/>
    <n v="250.2592592592593"/>
    <d v="2022-12-06T00:00:00"/>
    <x v="110"/>
  </r>
  <r>
    <n v="117"/>
    <n v="430"/>
    <n v="119"/>
    <n v="3"/>
    <n v="1785"/>
    <x v="108"/>
    <x v="16"/>
    <n v="396"/>
    <s v="Чай"/>
    <n v="271.1818181818182"/>
    <n v="-0.5611800201139792"/>
    <s v="Ахмад"/>
    <n v="243.3"/>
    <d v="2022-11-06T00:00:00"/>
    <x v="111"/>
  </r>
  <r>
    <n v="118"/>
    <n v="223"/>
    <n v="174"/>
    <n v="2"/>
    <n v="1740"/>
    <x v="109"/>
    <x v="6"/>
    <n v="269"/>
    <s v="Чай"/>
    <n v="271.1818181818182"/>
    <n v="-0.3583640630238015"/>
    <s v="Greenfield"/>
    <n v="291.4545454545454"/>
    <d v="2022-06-08T00:00:00"/>
    <x v="112"/>
  </r>
  <r>
    <n v="119"/>
    <n v="164"/>
    <n v="229"/>
    <n v="3"/>
    <n v="3435"/>
    <x v="110"/>
    <x v="14"/>
    <n v="16"/>
    <s v="Молоко"/>
    <n v="294.952380952381"/>
    <n v="-0.2236034872457217"/>
    <s v="Беллакт"/>
    <n v="322.5454545454546"/>
    <d v="2022-06-01T00:00:00"/>
    <x v="113"/>
  </r>
  <r>
    <n v="120"/>
    <n v="223"/>
    <n v="411"/>
    <n v="5"/>
    <n v="10275"/>
    <x v="20"/>
    <x v="15"/>
    <n v="281"/>
    <s v="Чай"/>
    <n v="271.1818181818182"/>
    <n v="0.5155883338920551"/>
    <s v="Greenfield"/>
    <n v="291.4545454545454"/>
    <d v="2022-05-30T00:00:00"/>
    <x v="114"/>
  </r>
  <r>
    <n v="121"/>
    <n v="244"/>
    <n v="245"/>
    <n v="4"/>
    <n v="4900"/>
    <x v="111"/>
    <x v="17"/>
    <n v="149"/>
    <s v="Мясо"/>
    <n v="271.7454545454545"/>
    <n v="-0.09842098220259599"/>
    <s v="Сава"/>
    <n v="212.8125"/>
    <d v="2022-11-17T00:00:00"/>
    <x v="115"/>
  </r>
  <r>
    <n v="122"/>
    <n v="393"/>
    <n v="113"/>
    <n v="5"/>
    <n v="2825"/>
    <x v="112"/>
    <x v="11"/>
    <n v="71"/>
    <s v="Рыба"/>
    <n v="258.5128205128205"/>
    <n v="-0.5628843483435826"/>
    <s v="Русское море"/>
    <n v="292.6666666666667"/>
    <d v="2022-07-20T00:00:00"/>
    <x v="116"/>
  </r>
  <r>
    <n v="123"/>
    <n v="166"/>
    <n v="73"/>
    <n v="4"/>
    <n v="1460"/>
    <x v="72"/>
    <x v="16"/>
    <n v="126"/>
    <s v="Сок"/>
    <n v="268.6034482758621"/>
    <n v="-0.728223891135503"/>
    <s v="Добрый"/>
    <n v="242.8181818181818"/>
    <d v="2022-09-18T00:00:00"/>
    <x v="117"/>
  </r>
  <r>
    <n v="124"/>
    <n v="249"/>
    <n v="368"/>
    <n v="2"/>
    <n v="3680"/>
    <x v="113"/>
    <x v="14"/>
    <n v="380"/>
    <s v="Чай"/>
    <n v="271.1818181818182"/>
    <n v="0.3570231310760978"/>
    <s v="Lipton"/>
    <n v="260.1578947368421"/>
    <d v="2022-01-02T00:00:00"/>
    <x v="118"/>
  </r>
  <r>
    <n v="125"/>
    <n v="83"/>
    <n v="351"/>
    <n v="1"/>
    <n v="1755"/>
    <x v="114"/>
    <x v="7"/>
    <n v="11"/>
    <s v="Сок"/>
    <n v="268.6034482758621"/>
    <n v="0.3067590987868283"/>
    <s v="Сады Придонья"/>
    <n v="254.1818181818182"/>
    <d v="2022-05-09T00:00:00"/>
    <x v="116"/>
  </r>
  <r>
    <n v="126"/>
    <n v="242"/>
    <n v="221"/>
    <n v="5"/>
    <n v="5525"/>
    <x v="115"/>
    <x v="12"/>
    <n v="114"/>
    <s v="Овощи"/>
    <n v="250.4878048780488"/>
    <n v="-0.1177215189873418"/>
    <s v="Овощной ряд"/>
    <n v="303.8235294117647"/>
    <d v="2022-11-24T00:00:00"/>
    <x v="119"/>
  </r>
  <r>
    <n v="127"/>
    <n v="281"/>
    <n v="442"/>
    <n v="5"/>
    <n v="11050"/>
    <x v="116"/>
    <x v="2"/>
    <n v="381"/>
    <s v="Чай"/>
    <n v="271.1818181818182"/>
    <n v="0.6299027824337915"/>
    <s v="Lipton"/>
    <n v="260.1578947368421"/>
    <d v="2022-06-02T00:00:00"/>
    <x v="120"/>
  </r>
  <r>
    <n v="128"/>
    <n v="236"/>
    <n v="465"/>
    <n v="1"/>
    <n v="2325"/>
    <x v="105"/>
    <x v="18"/>
    <n v="342"/>
    <s v="Печенье"/>
    <n v="283.468085106383"/>
    <n v="0.6403963071380319"/>
    <s v="Посиделкино"/>
    <n v="321.6363636363636"/>
    <d v="2022-01-09T00:00:00"/>
    <x v="121"/>
  </r>
  <r>
    <n v="129"/>
    <n v="379"/>
    <n v="380"/>
    <n v="1"/>
    <n v="1900"/>
    <x v="117"/>
    <x v="18"/>
    <n v="276"/>
    <s v="Йогурт"/>
    <n v="263.2542372881356"/>
    <n v="0.4434715426216844"/>
    <s v="Активиа"/>
    <n v="293.6666666666667"/>
    <d v="2022-03-12T00:00:00"/>
    <x v="122"/>
  </r>
  <r>
    <n v="130"/>
    <n v="37"/>
    <n v="313"/>
    <n v="1"/>
    <n v="1565"/>
    <x v="118"/>
    <x v="8"/>
    <n v="293"/>
    <s v="Соль"/>
    <n v="264.8679245283019"/>
    <n v="0.1817210428836016"/>
    <s v="Илецкая"/>
    <n v="238.1666666666667"/>
    <d v="2022-01-12T00:00:00"/>
    <x v="123"/>
  </r>
  <r>
    <n v="131"/>
    <n v="431"/>
    <n v="141"/>
    <n v="5"/>
    <n v="3525"/>
    <x v="119"/>
    <x v="10"/>
    <n v="386"/>
    <s v="Овощи"/>
    <n v="250.4878048780488"/>
    <n v="-0.4370983446932815"/>
    <s v="Гавриш"/>
    <n v="247.6666666666667"/>
    <d v="2022-06-22T00:00:00"/>
    <x v="124"/>
  </r>
  <r>
    <n v="132"/>
    <n v="237"/>
    <n v="348"/>
    <n v="2"/>
    <n v="3480"/>
    <x v="120"/>
    <x v="1"/>
    <n v="362"/>
    <s v="Конфеты"/>
    <n v="267.8548387096774"/>
    <n v="0.2992111760101162"/>
    <s v="Рот Фронт"/>
    <n v="288.2380952380952"/>
    <d v="2022-12-21T00:00:00"/>
    <x v="77"/>
  </r>
  <r>
    <n v="133"/>
    <n v="452"/>
    <n v="349"/>
    <n v="1"/>
    <n v="1745"/>
    <x v="67"/>
    <x v="3"/>
    <n v="283"/>
    <s v="Фрукты"/>
    <n v="274.1627906976744"/>
    <n v="0.2729663245398253"/>
    <s v="Экзотик"/>
    <n v="253.6875"/>
    <d v="2022-11-24T00:00:00"/>
    <x v="125"/>
  </r>
  <r>
    <n v="134"/>
    <n v="382"/>
    <n v="379"/>
    <n v="5"/>
    <n v="9475"/>
    <x v="121"/>
    <x v="8"/>
    <n v="388"/>
    <s v="Овощи"/>
    <n v="250.4878048780488"/>
    <n v="0.513047711781889"/>
    <s v="Овощной ряд"/>
    <n v="303.8235294117647"/>
    <d v="2022-01-20T00:00:00"/>
    <x v="126"/>
  </r>
  <r>
    <n v="135"/>
    <n v="452"/>
    <n v="448"/>
    <n v="4"/>
    <n v="8960"/>
    <x v="122"/>
    <x v="18"/>
    <n v="437"/>
    <s v="Фрукты"/>
    <n v="274.1627906976744"/>
    <n v="0.6340656544236152"/>
    <s v="Экзотик"/>
    <n v="253.6875"/>
    <d v="2022-01-15T00:00:00"/>
    <x v="127"/>
  </r>
  <r>
    <n v="136"/>
    <n v="463"/>
    <n v="173"/>
    <n v="2"/>
    <n v="1730"/>
    <x v="123"/>
    <x v="14"/>
    <n v="450"/>
    <s v="Кофе"/>
    <n v="249.0238095238095"/>
    <n v="-0.3052873123625586"/>
    <s v="Черная Карта"/>
    <n v="222.2"/>
    <d v="2022-02-27T00:00:00"/>
    <x v="128"/>
  </r>
  <r>
    <n v="137"/>
    <n v="494"/>
    <n v="304"/>
    <n v="3"/>
    <n v="4560"/>
    <x v="124"/>
    <x v="6"/>
    <n v="136"/>
    <s v="Сыр"/>
    <n v="262.6349206349207"/>
    <n v="0.1575003021878398"/>
    <s v="Сырная долина"/>
    <n v="271"/>
    <d v="2022-10-26T00:00:00"/>
    <x v="129"/>
  </r>
  <r>
    <n v="138"/>
    <n v="394"/>
    <n v="493"/>
    <n v="3"/>
    <n v="7395"/>
    <x v="9"/>
    <x v="4"/>
    <n v="61"/>
    <s v="Кофе"/>
    <n v="249.0238095238095"/>
    <n v="0.9797303757529401"/>
    <s v="Черная Карта"/>
    <n v="222.2"/>
    <d v="2022-07-27T00:00:00"/>
    <x v="66"/>
  </r>
  <r>
    <n v="139"/>
    <n v="380"/>
    <n v="344"/>
    <n v="5"/>
    <n v="8600"/>
    <x v="81"/>
    <x v="4"/>
    <n v="364"/>
    <s v="Конфеты"/>
    <n v="267.8548387096774"/>
    <n v="0.2842777142168964"/>
    <s v="Бабаевский"/>
    <n v="250.2592592592593"/>
    <d v="2022-11-18T00:00:00"/>
    <x v="130"/>
  </r>
  <r>
    <n v="140"/>
    <n v="449"/>
    <n v="470"/>
    <n v="4"/>
    <n v="9400"/>
    <x v="125"/>
    <x v="10"/>
    <n v="496"/>
    <s v="Мясо"/>
    <n v="271.7454545454545"/>
    <n v="0.729559748427673"/>
    <s v="Агрокомплекс"/>
    <n v="311.2"/>
    <d v="2022-11-02T00:00:00"/>
    <x v="131"/>
  </r>
  <r>
    <n v="141"/>
    <n v="309"/>
    <n v="498"/>
    <n v="1"/>
    <n v="2490"/>
    <x v="126"/>
    <x v="10"/>
    <n v="464"/>
    <s v="Конфеты"/>
    <n v="267.8548387096774"/>
    <n v="0.8592159932558558"/>
    <s v="Рот Фронт"/>
    <n v="288.2380952380952"/>
    <d v="2022-09-23T00:00:00"/>
    <x v="132"/>
  </r>
  <r>
    <n v="142"/>
    <n v="112"/>
    <n v="351"/>
    <n v="3"/>
    <n v="5265"/>
    <x v="27"/>
    <x v="10"/>
    <n v="419"/>
    <s v="Молоко"/>
    <n v="294.952380952381"/>
    <n v="0.1900226025185663"/>
    <s v="Беллакт"/>
    <n v="322.5454545454546"/>
    <d v="2022-11-04T00:00:00"/>
    <x v="133"/>
  </r>
  <r>
    <n v="143"/>
    <n v="81"/>
    <n v="116"/>
    <n v="1"/>
    <n v="580"/>
    <x v="53"/>
    <x v="19"/>
    <n v="247"/>
    <s v="Чай"/>
    <n v="271.1818181818182"/>
    <n v="-0.5722427086825344"/>
    <s v="Тесс"/>
    <n v="281.75"/>
    <d v="2022-07-20T00:00:00"/>
    <x v="134"/>
  </r>
  <r>
    <n v="144"/>
    <n v="4"/>
    <n v="314"/>
    <n v="4"/>
    <n v="6280"/>
    <x v="127"/>
    <x v="6"/>
    <n v="380"/>
    <s v="Рис"/>
    <n v="258.375"/>
    <n v="0.2152878567972907"/>
    <s v="Белый Злат"/>
    <n v="269.7058823529412"/>
    <d v="2022-01-02T00:00:00"/>
    <x v="135"/>
  </r>
  <r>
    <n v="145"/>
    <n v="209"/>
    <n v="284"/>
    <n v="5"/>
    <n v="7100"/>
    <x v="128"/>
    <x v="4"/>
    <n v="75"/>
    <s v="Хлеб"/>
    <n v="300.3181818181818"/>
    <n v="-0.05433630997426975"/>
    <s v="Русский Хлеб"/>
    <n v="316.6"/>
    <d v="2022-08-23T00:00:00"/>
    <x v="136"/>
  </r>
  <r>
    <n v="146"/>
    <n v="156"/>
    <n v="332"/>
    <n v="1"/>
    <n v="1660"/>
    <x v="129"/>
    <x v="9"/>
    <n v="356"/>
    <s v="Фрукты"/>
    <n v="274.1627906976744"/>
    <n v="0.2109593689032148"/>
    <s v="Фрукты-Ягоды"/>
    <n v="280.6666666666667"/>
    <d v="2022-01-09T00:00:00"/>
    <x v="133"/>
  </r>
  <r>
    <n v="147"/>
    <n v="441"/>
    <n v="239"/>
    <n v="2"/>
    <n v="2390"/>
    <x v="130"/>
    <x v="16"/>
    <n v="487"/>
    <s v="Чай"/>
    <n v="271.1818181818182"/>
    <n v="-0.1186724773717734"/>
    <s v="Lipton"/>
    <n v="260.1578947368421"/>
    <d v="2022-09-11T00:00:00"/>
    <x v="137"/>
  </r>
  <r>
    <n v="148"/>
    <n v="180"/>
    <n v="86"/>
    <n v="4"/>
    <n v="1720"/>
    <x v="24"/>
    <x v="9"/>
    <n v="73"/>
    <s v="Чипсы"/>
    <n v="273.7254901960785"/>
    <n v="-0.6858166189111747"/>
    <s v="Русская картошка"/>
    <n v="241.8333333333333"/>
    <d v="2022-04-14T00:00:00"/>
    <x v="68"/>
  </r>
  <r>
    <n v="149"/>
    <n v="438"/>
    <n v="154"/>
    <n v="4"/>
    <n v="3080"/>
    <x v="131"/>
    <x v="4"/>
    <n v="139"/>
    <s v="Кофе"/>
    <n v="249.0238095238095"/>
    <n v="-0.3815852375944163"/>
    <s v="Nescafe"/>
    <n v="256.9"/>
    <d v="2022-03-28T00:00:00"/>
    <x v="138"/>
  </r>
  <r>
    <n v="150"/>
    <n v="232"/>
    <n v="109"/>
    <n v="4"/>
    <n v="2180"/>
    <x v="44"/>
    <x v="12"/>
    <n v="407"/>
    <s v="Молоко"/>
    <n v="294.952380952381"/>
    <n v="-0.6304488214401034"/>
    <s v="Простоквашино"/>
    <n v="318.8181818181818"/>
    <d v="2022-03-01T00:00:00"/>
    <x v="139"/>
  </r>
  <r>
    <n v="151"/>
    <n v="206"/>
    <n v="73"/>
    <n v="5"/>
    <n v="1825"/>
    <x v="132"/>
    <x v="2"/>
    <n v="115"/>
    <s v="Молоко"/>
    <n v="294.952380952381"/>
    <n v="-0.7525024216984179"/>
    <s v="Домик в деревне"/>
    <n v="274.7777777777778"/>
    <d v="2022-09-28T00:00:00"/>
    <x v="140"/>
  </r>
  <r>
    <n v="152"/>
    <n v="295"/>
    <n v="230"/>
    <n v="4"/>
    <n v="4600"/>
    <x v="133"/>
    <x v="4"/>
    <n v="258"/>
    <s v="Печенье"/>
    <n v="283.468085106383"/>
    <n v="-0.1886211814155971"/>
    <s v="Белогорье"/>
    <n v="249.5"/>
    <d v="2022-06-05T00:00:00"/>
    <x v="141"/>
  </r>
  <r>
    <n v="153"/>
    <n v="204"/>
    <n v="88"/>
    <n v="4"/>
    <n v="1760"/>
    <x v="133"/>
    <x v="16"/>
    <n v="349"/>
    <s v="Печенье"/>
    <n v="283.468085106383"/>
    <n v="-0.6895594085416198"/>
    <s v="Юбилейное"/>
    <n v="232.4444444444445"/>
    <d v="2022-04-22T00:00:00"/>
    <x v="142"/>
  </r>
  <r>
    <n v="154"/>
    <n v="399"/>
    <n v="231"/>
    <n v="2"/>
    <n v="2310"/>
    <x v="89"/>
    <x v="15"/>
    <n v="325"/>
    <s v="Хлеб"/>
    <n v="300.3181818181818"/>
    <n v="-0.2308158014227335"/>
    <s v="Хлебный Дом"/>
    <n v="281.7333333333333"/>
    <d v="2022-11-10T00:00:00"/>
    <x v="143"/>
  </r>
  <r>
    <n v="155"/>
    <n v="221"/>
    <n v="477"/>
    <n v="4"/>
    <n v="9540"/>
    <x v="134"/>
    <x v="7"/>
    <n v="276"/>
    <s v="Чипсы"/>
    <n v="273.7254901960785"/>
    <n v="0.7426217765042979"/>
    <s v="Pringles"/>
    <n v="280.2380952380952"/>
    <d v="2022-03-12T00:00:00"/>
    <x v="144"/>
  </r>
  <r>
    <n v="156"/>
    <n v="333"/>
    <n v="74"/>
    <n v="2"/>
    <n v="740"/>
    <x v="135"/>
    <x v="8"/>
    <n v="328"/>
    <s v="Рыба"/>
    <n v="258.5128205128205"/>
    <n v="-0.7137472723665939"/>
    <s v="Санта Бремор"/>
    <n v="216.4"/>
    <d v="2022-01-07T00:00:00"/>
    <x v="145"/>
  </r>
  <r>
    <n v="157"/>
    <n v="498"/>
    <n v="430"/>
    <n v="5"/>
    <n v="10750"/>
    <x v="136"/>
    <x v="17"/>
    <n v="250"/>
    <s v="Молоко"/>
    <n v="294.952380952381"/>
    <n v="0.4578624475298676"/>
    <s v="Домик в деревне"/>
    <n v="274.7777777777778"/>
    <d v="2022-10-22T00:00:00"/>
    <x v="146"/>
  </r>
  <r>
    <n v="158"/>
    <n v="476"/>
    <n v="286"/>
    <n v="2"/>
    <n v="2860"/>
    <x v="62"/>
    <x v="11"/>
    <n v="397"/>
    <s v="Рыба"/>
    <n v="258.5128205128205"/>
    <n v="0.1063281095020829"/>
    <s v="Балтийский берег"/>
    <n v="289.8888888888889"/>
    <d v="2022-06-16T00:00:00"/>
    <x v="75"/>
  </r>
  <r>
    <n v="159"/>
    <n v="126"/>
    <n v="273"/>
    <n v="3"/>
    <n v="4095"/>
    <x v="137"/>
    <x v="8"/>
    <n v="153"/>
    <s v="Сахар"/>
    <n v="252.7627118644068"/>
    <n v="0.08006437336551997"/>
    <s v="Русский сахар"/>
    <n v="293.4117647058824"/>
    <d v="2022-08-29T00:00:00"/>
    <x v="147"/>
  </r>
  <r>
    <n v="160"/>
    <n v="255"/>
    <n v="279"/>
    <n v="3"/>
    <n v="4185"/>
    <x v="138"/>
    <x v="2"/>
    <n v="286"/>
    <s v="Кофе"/>
    <n v="249.0238095238095"/>
    <n v="0.1203747968257003"/>
    <s v="Nescafe"/>
    <n v="256.9"/>
    <d v="2022-01-02T00:00:00"/>
    <x v="148"/>
  </r>
  <r>
    <n v="161"/>
    <n v="138"/>
    <n v="210"/>
    <n v="2"/>
    <n v="2100"/>
    <x v="139"/>
    <x v="5"/>
    <n v="14"/>
    <s v="Сыр"/>
    <n v="262.6349206349207"/>
    <n v="-0.2004109754623474"/>
    <s v="Сырная долина"/>
    <n v="271"/>
    <d v="2022-08-02T00:00:00"/>
    <x v="45"/>
  </r>
  <r>
    <n v="162"/>
    <n v="403"/>
    <n v="229"/>
    <n v="1"/>
    <n v="1145"/>
    <x v="140"/>
    <x v="9"/>
    <n v="32"/>
    <s v="Чай"/>
    <n v="271.1818181818182"/>
    <n v="-0.1555481059336239"/>
    <s v="Ахмад"/>
    <n v="243.3"/>
    <d v="2022-12-27T00:00:00"/>
    <x v="149"/>
  </r>
  <r>
    <n v="163"/>
    <n v="280"/>
    <n v="192"/>
    <n v="2"/>
    <n v="1920"/>
    <x v="141"/>
    <x v="0"/>
    <n v="49"/>
    <s v="Сыр"/>
    <n v="262.6349206349207"/>
    <n v="-0.2689471775655748"/>
    <s v="President"/>
    <n v="238.7222222222222"/>
    <d v="2022-04-21T00:00:00"/>
    <x v="6"/>
  </r>
  <r>
    <n v="164"/>
    <n v="356"/>
    <n v="373"/>
    <n v="1"/>
    <n v="1865"/>
    <x v="142"/>
    <x v="2"/>
    <n v="115"/>
    <s v="Печенье"/>
    <n v="283.468085106383"/>
    <n v="0.3158447797042707"/>
    <s v="Посиделкино"/>
    <n v="321.6363636363636"/>
    <d v="2022-09-28T00:00:00"/>
    <x v="48"/>
  </r>
  <r>
    <n v="165"/>
    <n v="41"/>
    <n v="315"/>
    <n v="3"/>
    <n v="4725"/>
    <x v="143"/>
    <x v="13"/>
    <n v="420"/>
    <s v="Рис"/>
    <n v="258.375"/>
    <n v="0.2191582002902757"/>
    <s v="Агро-Альянс"/>
    <n v="317.8571428571428"/>
    <d v="2022-05-17T00:00:00"/>
    <x v="150"/>
  </r>
  <r>
    <n v="166"/>
    <n v="379"/>
    <n v="321"/>
    <n v="5"/>
    <n v="8025"/>
    <x v="9"/>
    <x v="9"/>
    <n v="47"/>
    <s v="Йогурт"/>
    <n v="263.2542372881356"/>
    <n v="0.2193535925830543"/>
    <s v="Активиа"/>
    <n v="293.6666666666667"/>
    <d v="2022-05-12T00:00:00"/>
    <x v="12"/>
  </r>
  <r>
    <n v="167"/>
    <n v="282"/>
    <n v="189"/>
    <n v="2"/>
    <n v="1890"/>
    <x v="19"/>
    <x v="9"/>
    <n v="202"/>
    <s v="Рис"/>
    <n v="258.375"/>
    <n v="-0.2685050798258345"/>
    <s v="Агро-Альянс"/>
    <n v="317.8571428571428"/>
    <d v="2022-07-24T00:00:00"/>
    <x v="151"/>
  </r>
  <r>
    <n v="168"/>
    <n v="459"/>
    <n v="405"/>
    <n v="3"/>
    <n v="6075"/>
    <x v="144"/>
    <x v="2"/>
    <n v="37"/>
    <s v="Крупа"/>
    <n v="255.1162790697674"/>
    <n v="0.5875113947128532"/>
    <s v="Националь"/>
    <n v="274.2857142857143"/>
    <d v="2022-06-16T00:00:00"/>
    <x v="152"/>
  </r>
  <r>
    <n v="169"/>
    <n v="402"/>
    <n v="426"/>
    <n v="2"/>
    <n v="4260"/>
    <x v="26"/>
    <x v="17"/>
    <n v="366"/>
    <s v="Хлеб"/>
    <n v="300.3181818181818"/>
    <n v="0.4184955350385955"/>
    <s v="Каравай"/>
    <n v="331.1666666666667"/>
    <d v="2022-09-23T00:00:00"/>
    <x v="153"/>
  </r>
  <r>
    <n v="170"/>
    <n v="320"/>
    <n v="271"/>
    <n v="1"/>
    <n v="1355"/>
    <x v="145"/>
    <x v="19"/>
    <n v="434"/>
    <s v="Конфеты"/>
    <n v="267.8548387096774"/>
    <n v="0.01174203649063643"/>
    <s v="Бабаевский"/>
    <n v="250.2592592592593"/>
    <d v="2022-06-18T00:00:00"/>
    <x v="154"/>
  </r>
  <r>
    <n v="171"/>
    <n v="19"/>
    <n v="96"/>
    <n v="4"/>
    <n v="1920"/>
    <x v="146"/>
    <x v="1"/>
    <n v="172"/>
    <s v="Мясо"/>
    <n v="271.7454545454545"/>
    <n v="-0.6467282215977519"/>
    <s v="Снежана"/>
    <n v="272.3529411764706"/>
    <d v="2022-06-25T00:00:00"/>
    <x v="155"/>
  </r>
  <r>
    <n v="172"/>
    <n v="447"/>
    <n v="65"/>
    <n v="1"/>
    <n v="325"/>
    <x v="147"/>
    <x v="3"/>
    <n v="52"/>
    <s v="Йогурт"/>
    <n v="263.2542372881356"/>
    <n v="-0.7530903940252383"/>
    <s v="Эрманн"/>
    <n v="248.5"/>
    <d v="2022-12-22T00:00:00"/>
    <x v="156"/>
  </r>
  <r>
    <n v="173"/>
    <n v="406"/>
    <n v="426"/>
    <n v="1"/>
    <n v="2130"/>
    <x v="148"/>
    <x v="4"/>
    <n v="395"/>
    <s v="Сок"/>
    <n v="268.6034482758621"/>
    <n v="0.5859811284421335"/>
    <s v="Фруктовый сад"/>
    <n v="281.96875"/>
    <d v="2022-11-25T00:00:00"/>
    <x v="157"/>
  </r>
  <r>
    <n v="174"/>
    <n v="391"/>
    <n v="356"/>
    <n v="2"/>
    <n v="3560"/>
    <x v="149"/>
    <x v="4"/>
    <n v="46"/>
    <s v="Рыба"/>
    <n v="258.5128205128205"/>
    <n v="0.3771077167228725"/>
    <s v="Балтийский берег"/>
    <n v="289.8888888888889"/>
    <d v="2022-03-16T00:00:00"/>
    <x v="158"/>
  </r>
  <r>
    <n v="175"/>
    <n v="82"/>
    <n v="233"/>
    <n v="2"/>
    <n v="2330"/>
    <x v="150"/>
    <x v="16"/>
    <n v="361"/>
    <s v="Сыр"/>
    <n v="262.6349206349207"/>
    <n v="-0.1128369394415569"/>
    <s v="Hochland"/>
    <n v="168"/>
    <d v="2022-09-27T00:00:00"/>
    <x v="159"/>
  </r>
  <r>
    <n v="176"/>
    <n v="243"/>
    <n v="494"/>
    <n v="5"/>
    <n v="12350"/>
    <x v="151"/>
    <x v="19"/>
    <n v="358"/>
    <s v="Рис"/>
    <n v="258.375"/>
    <n v="0.9119496855345912"/>
    <s v="Белый Злат"/>
    <n v="269.7058823529412"/>
    <d v="2022-07-29T00:00:00"/>
    <x v="160"/>
  </r>
  <r>
    <n v="177"/>
    <n v="432"/>
    <n v="305"/>
    <n v="3"/>
    <n v="4575"/>
    <x v="152"/>
    <x v="14"/>
    <n v="44"/>
    <s v="Макароны"/>
    <n v="265.4767441860465"/>
    <n v="0.1488765275283606"/>
    <s v="Борилла"/>
    <n v="236.2758620689655"/>
    <d v="2022-05-20T00:00:00"/>
    <x v="60"/>
  </r>
  <r>
    <n v="178"/>
    <n v="159"/>
    <n v="173"/>
    <n v="4"/>
    <n v="3460"/>
    <x v="149"/>
    <x v="2"/>
    <n v="416"/>
    <s v="Крупа"/>
    <n v="255.1162790697674"/>
    <n v="-0.3218778486782133"/>
    <s v="Националь"/>
    <n v="274.2857142857143"/>
    <d v="2022-05-22T00:00:00"/>
    <x v="161"/>
  </r>
  <r>
    <n v="179"/>
    <n v="197"/>
    <n v="177"/>
    <n v="2"/>
    <n v="1770"/>
    <x v="153"/>
    <x v="15"/>
    <n v="153"/>
    <s v="Печенье"/>
    <n v="283.468085106383"/>
    <n v="-0.3755910830893944"/>
    <s v="Юбилейное"/>
    <n v="232.4444444444445"/>
    <d v="2022-08-29T00:00:00"/>
    <x v="95"/>
  </r>
  <r>
    <n v="180"/>
    <n v="110"/>
    <n v="261"/>
    <n v="1"/>
    <n v="1305"/>
    <x v="154"/>
    <x v="13"/>
    <n v="223"/>
    <s v="Макароны"/>
    <n v="265.4767441860465"/>
    <n v="-0.01686303709868164"/>
    <s v="Паста Зара"/>
    <n v="276.6756756756757"/>
    <d v="2022-11-28T00:00:00"/>
    <x v="162"/>
  </r>
  <r>
    <n v="181"/>
    <n v="288"/>
    <n v="198"/>
    <n v="5"/>
    <n v="4950"/>
    <x v="155"/>
    <x v="18"/>
    <n v="74"/>
    <s v="Сыр"/>
    <n v="262.6349206349207"/>
    <n v="-0.2461017768644991"/>
    <s v="Hochland"/>
    <n v="168"/>
    <d v="2022-10-23T00:00:00"/>
    <x v="163"/>
  </r>
  <r>
    <n v="182"/>
    <n v="7"/>
    <n v="114"/>
    <n v="3"/>
    <n v="1710"/>
    <x v="20"/>
    <x v="14"/>
    <n v="180"/>
    <s v="Сыр"/>
    <n v="262.6349206349207"/>
    <n v="-0.5659373866795601"/>
    <s v="President"/>
    <n v="238.7222222222222"/>
    <d v="2022-02-24T00:00:00"/>
    <x v="122"/>
  </r>
  <r>
    <n v="183"/>
    <n v="385"/>
    <n v="427"/>
    <n v="3"/>
    <n v="6405"/>
    <x v="92"/>
    <x v="19"/>
    <n v="359"/>
    <s v="Макароны"/>
    <n v="265.4767441860465"/>
    <n v="0.6084271385397046"/>
    <s v="Макфа"/>
    <n v="329.2727272727273"/>
    <d v="2022-01-23T00:00:00"/>
    <x v="73"/>
  </r>
  <r>
    <n v="184"/>
    <n v="493"/>
    <n v="376"/>
    <n v="1"/>
    <n v="1880"/>
    <x v="156"/>
    <x v="0"/>
    <n v="134"/>
    <s v="Овощи"/>
    <n v="250.4878048780488"/>
    <n v="0.5010710808179162"/>
    <s v="Овощной ряд"/>
    <n v="303.8235294117647"/>
    <d v="2022-07-11T00:00:00"/>
    <x v="164"/>
  </r>
  <r>
    <n v="185"/>
    <n v="158"/>
    <n v="51"/>
    <n v="2"/>
    <n v="510"/>
    <x v="154"/>
    <x v="3"/>
    <n v="159"/>
    <s v="Сахар"/>
    <n v="252.7627118644068"/>
    <n v="-0.7982297324481995"/>
    <s v="Сладов"/>
    <n v="240.2666666666667"/>
    <d v="2022-05-05T00:00:00"/>
    <x v="165"/>
  </r>
  <r>
    <n v="186"/>
    <n v="446"/>
    <n v="316"/>
    <n v="2"/>
    <n v="3160"/>
    <x v="119"/>
    <x v="8"/>
    <n v="328"/>
    <s v="Чипсы"/>
    <n v="273.7254901960785"/>
    <n v="0.1544412607449857"/>
    <s v="Lay's"/>
    <n v="320.5714285714286"/>
    <d v="2022-01-07T00:00:00"/>
    <x v="166"/>
  </r>
  <r>
    <n v="187"/>
    <n v="428"/>
    <n v="156"/>
    <n v="1"/>
    <n v="780"/>
    <x v="157"/>
    <x v="8"/>
    <n v="325"/>
    <s v="Конфеты"/>
    <n v="267.8548387096774"/>
    <n v="-0.4175949900644307"/>
    <s v="Бабаевский"/>
    <n v="250.2592592592593"/>
    <d v="2022-11-10T00:00:00"/>
    <x v="167"/>
  </r>
  <r>
    <n v="188"/>
    <n v="192"/>
    <n v="215"/>
    <n v="1"/>
    <n v="1075"/>
    <x v="158"/>
    <x v="18"/>
    <n v="106"/>
    <s v="Мясо"/>
    <n v="271.7454545454545"/>
    <n v="-0.2088184129532985"/>
    <s v="Снежана"/>
    <n v="272.3529411764706"/>
    <d v="2022-10-24T00:00:00"/>
    <x v="144"/>
  </r>
  <r>
    <n v="189"/>
    <n v="41"/>
    <n v="59"/>
    <n v="1"/>
    <n v="295"/>
    <x v="67"/>
    <x v="1"/>
    <n v="65"/>
    <s v="Рис"/>
    <n v="258.375"/>
    <n v="-0.7716497339138848"/>
    <s v="Агро-Альянс"/>
    <n v="317.8571428571428"/>
    <d v="2022-03-03T00:00:00"/>
    <x v="168"/>
  </r>
  <r>
    <n v="190"/>
    <n v="69"/>
    <n v="88"/>
    <n v="4"/>
    <n v="1760"/>
    <x v="159"/>
    <x v="4"/>
    <n v="346"/>
    <s v="Чипсы"/>
    <n v="273.7254901960785"/>
    <n v="-0.6785100286532951"/>
    <s v="Estrella"/>
    <n v="266.2727272727273"/>
    <d v="2022-03-16T00:00:00"/>
    <x v="169"/>
  </r>
  <r>
    <n v="191"/>
    <n v="270"/>
    <n v="484"/>
    <n v="4"/>
    <n v="9680"/>
    <x v="160"/>
    <x v="0"/>
    <n v="457"/>
    <s v="Соль"/>
    <n v="264.8679245283019"/>
    <n v="0.8273258298902977"/>
    <s v="Славянская"/>
    <n v="236.9166666666667"/>
    <d v="2022-02-03T00:00:00"/>
    <x v="170"/>
  </r>
  <r>
    <n v="192"/>
    <n v="345"/>
    <n v="257"/>
    <n v="1"/>
    <n v="1285"/>
    <x v="161"/>
    <x v="1"/>
    <n v="255"/>
    <s v="Конфеты"/>
    <n v="267.8548387096774"/>
    <n v="-0.04052507978563258"/>
    <s v="Рот Фронт"/>
    <n v="288.2380952380952"/>
    <d v="2022-08-20T00:00:00"/>
    <x v="171"/>
  </r>
  <r>
    <n v="193"/>
    <n v="348"/>
    <n v="497"/>
    <n v="3"/>
    <n v="7455"/>
    <x v="162"/>
    <x v="0"/>
    <n v="42"/>
    <s v="Чипсы"/>
    <n v="273.7254901960785"/>
    <n v="0.8156876790830945"/>
    <s v="Estrella"/>
    <n v="266.2727272727273"/>
    <d v="2022-08-10T00:00:00"/>
    <x v="172"/>
  </r>
  <r>
    <n v="194"/>
    <n v="102"/>
    <n v="115"/>
    <n v="2"/>
    <n v="1150"/>
    <x v="163"/>
    <x v="8"/>
    <n v="385"/>
    <s v="Печенье"/>
    <n v="283.468085106383"/>
    <n v="-0.5943105907077986"/>
    <s v="Белогорье"/>
    <n v="249.5"/>
    <d v="2022-07-11T00:00:00"/>
    <x v="173"/>
  </r>
  <r>
    <n v="195"/>
    <n v="321"/>
    <n v="368"/>
    <n v="1"/>
    <n v="1840"/>
    <x v="164"/>
    <x v="17"/>
    <n v="436"/>
    <s v="Мясо"/>
    <n v="271.7454545454545"/>
    <n v="0.3542084838752844"/>
    <s v="Сава"/>
    <n v="212.8125"/>
    <d v="2022-05-02T00:00:00"/>
    <x v="174"/>
  </r>
  <r>
    <n v="196"/>
    <n v="176"/>
    <n v="113"/>
    <n v="4"/>
    <n v="2260"/>
    <x v="165"/>
    <x v="14"/>
    <n v="175"/>
    <s v="Сахар"/>
    <n v="252.7627118644068"/>
    <n v="-0.5529403875813049"/>
    <s v="Продимекс"/>
    <n v="240.5"/>
    <d v="2022-01-04T00:00:00"/>
    <x v="175"/>
  </r>
  <r>
    <n v="197"/>
    <n v="341"/>
    <n v="194"/>
    <n v="3"/>
    <n v="2910"/>
    <x v="166"/>
    <x v="7"/>
    <n v="274"/>
    <s v="Макароны"/>
    <n v="265.4767441860465"/>
    <n v="-0.2692391923262232"/>
    <s v="Макфа"/>
    <n v="329.2727272727273"/>
    <d v="2022-02-15T00:00:00"/>
    <x v="102"/>
  </r>
  <r>
    <n v="198"/>
    <n v="473"/>
    <n v="171"/>
    <n v="4"/>
    <n v="3420"/>
    <x v="18"/>
    <x v="19"/>
    <n v="266"/>
    <s v="Хлеб"/>
    <n v="300.3181818181818"/>
    <n v="-0.4306039049492962"/>
    <s v="Хлебный Дом"/>
    <n v="281.7333333333333"/>
    <d v="2022-08-22T00:00:00"/>
    <x v="66"/>
  </r>
  <r>
    <n v="199"/>
    <n v="482"/>
    <n v="321"/>
    <n v="2"/>
    <n v="3210"/>
    <x v="92"/>
    <x v="2"/>
    <n v="481"/>
    <s v="Крупа"/>
    <n v="255.1162790697674"/>
    <n v="0.2582497721057428"/>
    <s v="Мистраль"/>
    <n v="250.3076923076923"/>
    <d v="2022-07-14T00:00:00"/>
    <x v="176"/>
  </r>
  <r>
    <n v="200"/>
    <n v="169"/>
    <n v="386"/>
    <n v="5"/>
    <n v="9650"/>
    <x v="167"/>
    <x v="10"/>
    <n v="59"/>
    <s v="Фрукты"/>
    <n v="274.1627906976744"/>
    <n v="0.4079226397489184"/>
    <s v="Фруктовый Рай"/>
    <n v="258.3076923076923"/>
    <d v="2022-07-28T00:00:00"/>
    <x v="177"/>
  </r>
  <r>
    <n v="201"/>
    <n v="397"/>
    <n v="148"/>
    <n v="1"/>
    <n v="740"/>
    <x v="168"/>
    <x v="13"/>
    <n v="47"/>
    <s v="Йогурт"/>
    <n v="263.2542372881356"/>
    <n v="-0.4378058202420808"/>
    <s v="Ростагроэкспорт"/>
    <n v="257.7826086956522"/>
    <d v="2022-05-12T00:00:00"/>
    <x v="142"/>
  </r>
  <r>
    <n v="202"/>
    <n v="436"/>
    <n v="291"/>
    <n v="2"/>
    <n v="2910"/>
    <x v="99"/>
    <x v="13"/>
    <n v="385"/>
    <s v="Овощи"/>
    <n v="250.4878048780488"/>
    <n v="0.1617332035053554"/>
    <s v="Гавриш"/>
    <n v="247.6666666666667"/>
    <d v="2022-07-11T00:00:00"/>
    <x v="178"/>
  </r>
  <r>
    <n v="203"/>
    <n v="369"/>
    <n v="74"/>
    <n v="1"/>
    <n v="370"/>
    <x v="47"/>
    <x v="10"/>
    <n v="411"/>
    <s v="Молоко"/>
    <n v="294.952380952381"/>
    <n v="-0.7491120439134646"/>
    <s v="Домик в деревне"/>
    <n v="274.7777777777778"/>
    <d v="2022-04-22T00:00:00"/>
    <x v="179"/>
  </r>
  <r>
    <n v="204"/>
    <n v="361"/>
    <n v="245"/>
    <n v="1"/>
    <n v="1225"/>
    <x v="169"/>
    <x v="16"/>
    <n v="259"/>
    <s v="Мясо"/>
    <n v="271.7454545454545"/>
    <n v="-0.09842098220259599"/>
    <s v="Сава"/>
    <n v="212.8125"/>
    <d v="2022-05-26T00:00:00"/>
    <x v="180"/>
  </r>
  <r>
    <n v="205"/>
    <n v="226"/>
    <n v="339"/>
    <n v="4"/>
    <n v="6780"/>
    <x v="170"/>
    <x v="7"/>
    <n v="337"/>
    <s v="Сыр"/>
    <n v="262.6349206349207"/>
    <n v="0.290765139610782"/>
    <s v="Карат"/>
    <n v="311.3333333333333"/>
    <d v="2022-11-10T00:00:00"/>
    <x v="181"/>
  </r>
  <r>
    <n v="206"/>
    <n v="87"/>
    <n v="487"/>
    <n v="1"/>
    <n v="2435"/>
    <x v="171"/>
    <x v="9"/>
    <n v="172"/>
    <s v="Кофе"/>
    <n v="249.0238095238095"/>
    <n v="0.9556362941007746"/>
    <s v="Jacobs"/>
    <n v="276.2105263157895"/>
    <d v="2022-06-25T00:00:00"/>
    <x v="182"/>
  </r>
  <r>
    <n v="207"/>
    <n v="376"/>
    <n v="335"/>
    <n v="5"/>
    <n v="8375"/>
    <x v="172"/>
    <x v="9"/>
    <n v="130"/>
    <s v="Конфеты"/>
    <n v="267.8548387096774"/>
    <n v="0.250677425182152"/>
    <s v="Красный Октябрь"/>
    <n v="273.625"/>
    <d v="2022-10-29T00:00:00"/>
    <x v="183"/>
  </r>
  <r>
    <n v="208"/>
    <n v="255"/>
    <n v="214"/>
    <n v="2"/>
    <n v="2140"/>
    <x v="173"/>
    <x v="4"/>
    <n v="354"/>
    <s v="Кофе"/>
    <n v="249.0238095238095"/>
    <n v="-0.1406444210727603"/>
    <s v="Nescafe"/>
    <n v="256.9"/>
    <d v="2022-09-07T00:00:00"/>
    <x v="184"/>
  </r>
  <r>
    <n v="209"/>
    <n v="111"/>
    <n v="452"/>
    <n v="4"/>
    <n v="9040"/>
    <x v="83"/>
    <x v="7"/>
    <n v="329"/>
    <s v="Сахар"/>
    <n v="252.7627118644068"/>
    <n v="0.7882384496747803"/>
    <s v="Сладов"/>
    <n v="240.2666666666667"/>
    <d v="2022-04-02T00:00:00"/>
    <x v="185"/>
  </r>
  <r>
    <n v="210"/>
    <n v="344"/>
    <n v="172"/>
    <n v="5"/>
    <n v="4300"/>
    <x v="174"/>
    <x v="10"/>
    <n v="186"/>
    <s v="Сок"/>
    <n v="268.6034482758621"/>
    <n v="-0.3596508119905001"/>
    <s v="Сады Придонья"/>
    <n v="254.1818181818182"/>
    <d v="2022-12-19T00:00:00"/>
    <x v="186"/>
  </r>
  <r>
    <n v="211"/>
    <n v="462"/>
    <n v="104"/>
    <n v="4"/>
    <n v="2080"/>
    <x v="175"/>
    <x v="12"/>
    <n v="448"/>
    <s v="Рис"/>
    <n v="258.375"/>
    <n v="-0.5974842767295597"/>
    <s v="Белый Злат"/>
    <n v="269.7058823529412"/>
    <d v="2022-07-28T00:00:00"/>
    <x v="187"/>
  </r>
  <r>
    <n v="212"/>
    <n v="279"/>
    <n v="433"/>
    <n v="4"/>
    <n v="8660"/>
    <x v="176"/>
    <x v="17"/>
    <n v="377"/>
    <s v="Крупа"/>
    <n v="255.1162790697674"/>
    <n v="0.6972652689152232"/>
    <s v="Увелка"/>
    <n v="251.9166666666667"/>
    <d v="2022-08-21T00:00:00"/>
    <x v="180"/>
  </r>
  <r>
    <n v="213"/>
    <n v="322"/>
    <n v="79"/>
    <n v="5"/>
    <n v="1975"/>
    <x v="177"/>
    <x v="5"/>
    <n v="316"/>
    <s v="Крупа"/>
    <n v="255.1162790697674"/>
    <n v="-0.6903372835004558"/>
    <s v="Увелка"/>
    <n v="251.9166666666667"/>
    <d v="2022-08-14T00:00:00"/>
    <x v="188"/>
  </r>
  <r>
    <n v="214"/>
    <n v="494"/>
    <n v="181"/>
    <n v="1"/>
    <n v="905"/>
    <x v="170"/>
    <x v="16"/>
    <n v="356"/>
    <s v="Сыр"/>
    <n v="262.6349206349207"/>
    <n v="-0.3108304121842138"/>
    <s v="Сырная долина"/>
    <n v="271"/>
    <d v="2022-01-09T00:00:00"/>
    <x v="189"/>
  </r>
  <r>
    <n v="215"/>
    <n v="317"/>
    <n v="196"/>
    <n v="3"/>
    <n v="2940"/>
    <x v="178"/>
    <x v="8"/>
    <n v="159"/>
    <s v="Сок"/>
    <n v="268.6034482758621"/>
    <n v="-0.2702997625008025"/>
    <s v="Фруктовый сад"/>
    <n v="281.96875"/>
    <d v="2022-05-05T00:00:00"/>
    <x v="190"/>
  </r>
  <r>
    <n v="216"/>
    <n v="223"/>
    <n v="174"/>
    <n v="1"/>
    <n v="870"/>
    <x v="179"/>
    <x v="2"/>
    <n v="287"/>
    <s v="Чай"/>
    <n v="271.1818181818182"/>
    <n v="-0.3583640630238015"/>
    <s v="Greenfield"/>
    <n v="291.4545454545454"/>
    <d v="2022-02-16T00:00:00"/>
    <x v="191"/>
  </r>
  <r>
    <n v="217"/>
    <n v="25"/>
    <n v="356"/>
    <n v="3"/>
    <n v="5340"/>
    <x v="180"/>
    <x v="7"/>
    <n v="322"/>
    <s v="Чипсы"/>
    <n v="273.7254901960785"/>
    <n v="0.3005730659025787"/>
    <s v="Русская картошка"/>
    <n v="241.8333333333333"/>
    <d v="2022-11-21T00:00:00"/>
    <x v="192"/>
  </r>
  <r>
    <n v="218"/>
    <n v="392"/>
    <n v="125"/>
    <n v="5"/>
    <n v="3125"/>
    <x v="181"/>
    <x v="1"/>
    <n v="62"/>
    <s v="Кофе"/>
    <n v="249.0238095238095"/>
    <n v="-0.4980399655798834"/>
    <s v="Черная Карта"/>
    <n v="222.2"/>
    <d v="2022-04-20T00:00:00"/>
    <x v="6"/>
  </r>
  <r>
    <n v="219"/>
    <n v="410"/>
    <n v="228"/>
    <n v="2"/>
    <n v="2280"/>
    <x v="182"/>
    <x v="14"/>
    <n v="295"/>
    <s v="Чипсы"/>
    <n v="273.7254901960785"/>
    <n v="-0.1670487106017192"/>
    <s v="Lay's"/>
    <n v="320.5714285714286"/>
    <d v="2022-01-27T00:00:00"/>
    <x v="193"/>
  </r>
  <r>
    <n v="220"/>
    <n v="498"/>
    <n v="472"/>
    <n v="5"/>
    <n v="11800"/>
    <x v="183"/>
    <x v="9"/>
    <n v="171"/>
    <s v="Молоко"/>
    <n v="294.952380952381"/>
    <n v="0.6002583144979012"/>
    <s v="Домик в деревне"/>
    <n v="274.7777777777778"/>
    <d v="2022-05-29T00:00:00"/>
    <x v="194"/>
  </r>
  <r>
    <n v="221"/>
    <n v="304"/>
    <n v="163"/>
    <n v="3"/>
    <n v="2445"/>
    <x v="184"/>
    <x v="6"/>
    <n v="392"/>
    <s v="Конфеты"/>
    <n v="267.8548387096774"/>
    <n v="-0.3914614319262962"/>
    <s v="Рот Фронт"/>
    <n v="288.2380952380952"/>
    <d v="2022-12-24T00:00:00"/>
    <x v="184"/>
  </r>
  <r>
    <n v="222"/>
    <n v="333"/>
    <n v="70"/>
    <n v="1"/>
    <n v="350"/>
    <x v="185"/>
    <x v="8"/>
    <n v="229"/>
    <s v="Рыба"/>
    <n v="258.5128205128205"/>
    <n v="-0.7292203927792105"/>
    <s v="Санта Бремор"/>
    <n v="216.4"/>
    <d v="2022-07-24T00:00:00"/>
    <x v="195"/>
  </r>
  <r>
    <n v="223"/>
    <n v="207"/>
    <n v="208"/>
    <n v="5"/>
    <n v="5200"/>
    <x v="111"/>
    <x v="0"/>
    <n v="253"/>
    <s v="Сахар"/>
    <n v="252.7627118644068"/>
    <n v="-0.1770938107691277"/>
    <s v="Агросахар"/>
    <n v="215.8571428571429"/>
    <d v="2022-07-08T00:00:00"/>
    <x v="129"/>
  </r>
  <r>
    <n v="224"/>
    <n v="348"/>
    <n v="417"/>
    <n v="4"/>
    <n v="8340"/>
    <x v="186"/>
    <x v="10"/>
    <n v="235"/>
    <s v="Чипсы"/>
    <n v="273.7254901960785"/>
    <n v="0.5234240687679081"/>
    <s v="Estrella"/>
    <n v="266.2727272727273"/>
    <d v="2022-03-15T00:00:00"/>
    <x v="111"/>
  </r>
  <r>
    <n v="225"/>
    <n v="4"/>
    <n v="198"/>
    <n v="5"/>
    <n v="4950"/>
    <x v="187"/>
    <x v="0"/>
    <n v="156"/>
    <s v="Рис"/>
    <n v="258.375"/>
    <n v="-0.2336719883889695"/>
    <s v="Белый Злат"/>
    <n v="269.7058823529412"/>
    <d v="2022-12-10T00:00:00"/>
    <x v="196"/>
  </r>
  <r>
    <n v="226"/>
    <n v="317"/>
    <n v="196"/>
    <n v="2"/>
    <n v="1960"/>
    <x v="188"/>
    <x v="14"/>
    <n v="327"/>
    <s v="Сок"/>
    <n v="268.6034482758621"/>
    <n v="-0.2702997625008025"/>
    <s v="Фруктовый сад"/>
    <n v="281.96875"/>
    <d v="2022-01-04T00:00:00"/>
    <x v="197"/>
  </r>
  <r>
    <n v="227"/>
    <n v="131"/>
    <n v="376"/>
    <n v="1"/>
    <n v="1880"/>
    <x v="189"/>
    <x v="9"/>
    <n v="275"/>
    <s v="Сок"/>
    <n v="268.6034482758621"/>
    <n v="0.39983310867193"/>
    <s v="Сады Придонья"/>
    <n v="254.1818181818182"/>
    <d v="2022-03-31T00:00:00"/>
    <x v="198"/>
  </r>
  <r>
    <n v="228"/>
    <n v="96"/>
    <n v="362"/>
    <n v="4"/>
    <n v="7240"/>
    <x v="48"/>
    <x v="1"/>
    <n v="330"/>
    <s v="Соль"/>
    <n v="264.8679245283019"/>
    <n v="0.3667189058270408"/>
    <s v="Салта"/>
    <n v="273.7"/>
    <d v="2022-09-11T00:00:00"/>
    <x v="199"/>
  </r>
  <r>
    <n v="229"/>
    <n v="311"/>
    <n v="345"/>
    <n v="5"/>
    <n v="8625"/>
    <x v="157"/>
    <x v="15"/>
    <n v="177"/>
    <s v="Макароны"/>
    <n v="265.4767441860465"/>
    <n v="0.2995488590074897"/>
    <s v="Паста Зара"/>
    <n v="276.6756756756757"/>
    <d v="2022-10-23T00:00:00"/>
    <x v="200"/>
  </r>
  <r>
    <n v="230"/>
    <n v="268"/>
    <n v="81"/>
    <n v="3"/>
    <n v="1215"/>
    <x v="136"/>
    <x v="17"/>
    <n v="407"/>
    <s v="Рис"/>
    <n v="258.375"/>
    <n v="-0.6865021770682148"/>
    <s v="Мистраль"/>
    <n v="181.5714285714286"/>
    <d v="2022-03-01T00:00:00"/>
    <x v="194"/>
  </r>
  <r>
    <n v="231"/>
    <n v="495"/>
    <n v="97"/>
    <n v="4"/>
    <n v="1940"/>
    <x v="190"/>
    <x v="4"/>
    <n v="181"/>
    <s v="Чай"/>
    <n v="271.1818181818182"/>
    <n v="-0.6423064029500503"/>
    <s v="Greenfield"/>
    <n v="291.4545454545454"/>
    <d v="2022-01-07T00:00:00"/>
    <x v="201"/>
  </r>
  <r>
    <n v="232"/>
    <n v="436"/>
    <n v="184"/>
    <n v="4"/>
    <n v="3680"/>
    <x v="191"/>
    <x v="2"/>
    <n v="166"/>
    <s v="Овощи"/>
    <n v="250.4878048780488"/>
    <n v="-0.2654333008763389"/>
    <s v="Гавриш"/>
    <n v="247.6666666666667"/>
    <d v="2022-08-23T00:00:00"/>
    <x v="202"/>
  </r>
  <r>
    <n v="233"/>
    <n v="358"/>
    <n v="172"/>
    <n v="1"/>
    <n v="860"/>
    <x v="116"/>
    <x v="15"/>
    <n v="478"/>
    <s v="Конфеты"/>
    <n v="267.8548387096774"/>
    <n v="-0.3578611428915518"/>
    <s v="Славянка"/>
    <n v="268"/>
    <d v="2022-06-14T00:00:00"/>
    <x v="203"/>
  </r>
  <r>
    <n v="234"/>
    <n v="160"/>
    <n v="288"/>
    <n v="2"/>
    <n v="2880"/>
    <x v="192"/>
    <x v="10"/>
    <n v="429"/>
    <s v="Крупа"/>
    <n v="255.1162790697674"/>
    <n v="0.1288969917958067"/>
    <s v="Мистраль"/>
    <n v="250.3076923076923"/>
    <d v="2022-03-05T00:00:00"/>
    <x v="136"/>
  </r>
  <r>
    <n v="235"/>
    <n v="23"/>
    <n v="174"/>
    <n v="3"/>
    <n v="2610"/>
    <x v="193"/>
    <x v="13"/>
    <n v="181"/>
    <s v="Рыба"/>
    <n v="258.5128205128205"/>
    <n v="-0.3269192620511803"/>
    <s v="Санта Бремор"/>
    <n v="216.4"/>
    <d v="2022-01-07T00:00:00"/>
    <x v="204"/>
  </r>
  <r>
    <n v="236"/>
    <n v="49"/>
    <n v="292"/>
    <n v="3"/>
    <n v="4380"/>
    <x v="194"/>
    <x v="1"/>
    <n v="431"/>
    <s v="Рис"/>
    <n v="258.375"/>
    <n v="0.1301402999516208"/>
    <s v="Агро-Альянс"/>
    <n v="317.8571428571428"/>
    <d v="2022-03-03T00:00:00"/>
    <x v="123"/>
  </r>
  <r>
    <n v="237"/>
    <n v="485"/>
    <n v="243"/>
    <n v="3"/>
    <n v="3645"/>
    <x v="195"/>
    <x v="13"/>
    <n v="34"/>
    <s v="Макароны"/>
    <n v="265.4767441860465"/>
    <n v="-0.08466558626428977"/>
    <s v="Борилла"/>
    <n v="236.2758620689655"/>
    <d v="2022-04-03T00:00:00"/>
    <x v="1"/>
  </r>
  <r>
    <n v="238"/>
    <n v="131"/>
    <n v="382"/>
    <n v="5"/>
    <n v="9550"/>
    <x v="196"/>
    <x v="5"/>
    <n v="147"/>
    <s v="Сок"/>
    <n v="268.6034482758621"/>
    <n v="0.4221708710443544"/>
    <s v="Сады Придонья"/>
    <n v="254.1818181818182"/>
    <d v="2022-09-23T00:00:00"/>
    <x v="159"/>
  </r>
  <r>
    <n v="239"/>
    <n v="270"/>
    <n v="308"/>
    <n v="1"/>
    <n v="1540"/>
    <x v="197"/>
    <x v="1"/>
    <n v="496"/>
    <s v="Соль"/>
    <n v="264.8679245283019"/>
    <n v="0.1628437099301894"/>
    <s v="Славянская"/>
    <n v="236.9166666666667"/>
    <d v="2022-11-02T00:00:00"/>
    <x v="205"/>
  </r>
  <r>
    <n v="240"/>
    <n v="345"/>
    <n v="357"/>
    <n v="4"/>
    <n v="7140"/>
    <x v="198"/>
    <x v="14"/>
    <n v="202"/>
    <s v="Конфеты"/>
    <n v="267.8548387096774"/>
    <n v="0.3328114650448606"/>
    <s v="Рот Фронт"/>
    <n v="288.2380952380952"/>
    <d v="2022-07-24T00:00:00"/>
    <x v="206"/>
  </r>
  <r>
    <n v="241"/>
    <n v="40"/>
    <n v="82"/>
    <n v="1"/>
    <n v="410"/>
    <x v="199"/>
    <x v="4"/>
    <n v="312"/>
    <s v="Колбаса"/>
    <n v="286.9230769230769"/>
    <n v="-0.7142091152815013"/>
    <s v="Микоян"/>
    <n v="82"/>
    <d v="2022-11-21T00:00:00"/>
    <x v="207"/>
  </r>
  <r>
    <n v="242"/>
    <n v="275"/>
    <n v="219"/>
    <n v="1"/>
    <n v="1095"/>
    <x v="200"/>
    <x v="16"/>
    <n v="41"/>
    <s v="Сыр"/>
    <n v="262.6349206349207"/>
    <n v="-0.1661428744107338"/>
    <s v="Сырная долина"/>
    <n v="271"/>
    <d v="2022-10-08T00:00:00"/>
    <x v="176"/>
  </r>
  <r>
    <n v="243"/>
    <n v="205"/>
    <n v="117"/>
    <n v="5"/>
    <n v="2925"/>
    <x v="201"/>
    <x v="19"/>
    <n v="389"/>
    <s v="Макароны"/>
    <n v="265.4767441860465"/>
    <n v="-0.559283430423547"/>
    <s v="Борилла"/>
    <n v="236.2758620689655"/>
    <d v="2022-11-11T00:00:00"/>
    <x v="208"/>
  </r>
  <r>
    <n v="244"/>
    <n v="219"/>
    <n v="474"/>
    <n v="5"/>
    <n v="11850"/>
    <x v="202"/>
    <x v="10"/>
    <n v="24"/>
    <s v="Йогурт"/>
    <n v="263.2542372881356"/>
    <n v="0.8005408189544168"/>
    <s v="Чудо"/>
    <n v="287.1"/>
    <d v="2022-02-17T00:00:00"/>
    <x v="209"/>
  </r>
  <r>
    <n v="245"/>
    <n v="425"/>
    <n v="334"/>
    <n v="2"/>
    <n v="3340"/>
    <x v="0"/>
    <x v="7"/>
    <n v="25"/>
    <s v="Соль"/>
    <n v="264.8679245283019"/>
    <n v="0.2610058412879328"/>
    <s v="Экстра"/>
    <n v="320.8461538461539"/>
    <d v="2022-01-21T00:00:00"/>
    <x v="97"/>
  </r>
  <r>
    <n v="246"/>
    <n v="452"/>
    <n v="220"/>
    <n v="5"/>
    <n v="5500"/>
    <x v="203"/>
    <x v="4"/>
    <n v="411"/>
    <s v="Фрукты"/>
    <n v="274.1627906976744"/>
    <n v="-0.197557044702689"/>
    <s v="Экзотик"/>
    <n v="253.6875"/>
    <d v="2022-04-22T00:00:00"/>
    <x v="98"/>
  </r>
  <r>
    <n v="247"/>
    <n v="285"/>
    <n v="282"/>
    <n v="5"/>
    <n v="7050"/>
    <x v="204"/>
    <x v="16"/>
    <n v="106"/>
    <s v="Макароны"/>
    <n v="265.4767441860465"/>
    <n v="0.06223993692786123"/>
    <s v="Паста Зара"/>
    <n v="276.6756756756757"/>
    <d v="2022-10-24T00:00:00"/>
    <x v="87"/>
  </r>
  <r>
    <n v="248"/>
    <n v="435"/>
    <n v="499"/>
    <n v="5"/>
    <n v="12475"/>
    <x v="92"/>
    <x v="4"/>
    <n v="175"/>
    <s v="Мясо"/>
    <n v="271.7454545454545"/>
    <n v="0.8362772648200187"/>
    <s v="Снежана"/>
    <n v="272.3529411764706"/>
    <d v="2022-01-04T00:00:00"/>
    <x v="168"/>
  </r>
  <r>
    <n v="249"/>
    <n v="26"/>
    <n v="170"/>
    <n v="1"/>
    <n v="850"/>
    <x v="184"/>
    <x v="17"/>
    <n v="286"/>
    <s v="Мясо"/>
    <n v="271.7454545454545"/>
    <n v="-0.3744145590793524"/>
    <s v="Сава"/>
    <n v="212.8125"/>
    <d v="2022-01-02T00:00:00"/>
    <x v="210"/>
  </r>
  <r>
    <n v="250"/>
    <n v="157"/>
    <n v="52"/>
    <n v="1"/>
    <n v="260"/>
    <x v="205"/>
    <x v="0"/>
    <n v="249"/>
    <s v="Сыр"/>
    <n v="262.6349206349207"/>
    <n v="-0.8020065272573431"/>
    <s v="President"/>
    <n v="238.7222222222222"/>
    <d v="2022-08-08T00:00:00"/>
    <x v="211"/>
  </r>
  <r>
    <n v="251"/>
    <n v="273"/>
    <n v="156"/>
    <n v="5"/>
    <n v="3900"/>
    <x v="119"/>
    <x v="15"/>
    <n v="168"/>
    <s v="Конфеты"/>
    <n v="267.8548387096774"/>
    <n v="-0.4175949900644307"/>
    <s v="Красный Октябрь"/>
    <n v="273.625"/>
    <d v="2022-05-25T00:00:00"/>
    <x v="212"/>
  </r>
  <r>
    <n v="252"/>
    <n v="340"/>
    <n v="450"/>
    <n v="3"/>
    <n v="6750"/>
    <x v="206"/>
    <x v="7"/>
    <n v="121"/>
    <s v="Сыр"/>
    <n v="262.6349206349207"/>
    <n v="0.7134050525806839"/>
    <s v="Карат"/>
    <n v="311.3333333333333"/>
    <d v="2022-07-21T00:00:00"/>
    <x v="213"/>
  </r>
  <r>
    <n v="253"/>
    <n v="34"/>
    <n v="366"/>
    <n v="4"/>
    <n v="7320"/>
    <x v="131"/>
    <x v="6"/>
    <n v="259"/>
    <s v="Крупа"/>
    <n v="255.1162790697674"/>
    <n v="0.4346399270738377"/>
    <s v="Ярмарка"/>
    <n v="252.0909090909091"/>
    <d v="2022-05-26T00:00:00"/>
    <x v="214"/>
  </r>
  <r>
    <n v="254"/>
    <n v="296"/>
    <n v="210"/>
    <n v="1"/>
    <n v="1050"/>
    <x v="168"/>
    <x v="1"/>
    <n v="255"/>
    <s v="Крупа"/>
    <n v="255.1162790697674"/>
    <n v="-0.1768459434822243"/>
    <s v="Мистраль"/>
    <n v="250.3076923076923"/>
    <d v="2022-08-20T00:00:00"/>
    <x v="215"/>
  </r>
  <r>
    <n v="255"/>
    <n v="116"/>
    <n v="379"/>
    <n v="4"/>
    <n v="7580"/>
    <x v="207"/>
    <x v="14"/>
    <n v="405"/>
    <s v="Соль"/>
    <n v="264.8679245283019"/>
    <n v="0.4309018378686422"/>
    <s v="Экстра"/>
    <n v="320.8461538461539"/>
    <d v="2022-08-25T00:00:00"/>
    <x v="101"/>
  </r>
  <r>
    <n v="256"/>
    <n v="117"/>
    <n v="102"/>
    <n v="4"/>
    <n v="2040"/>
    <x v="208"/>
    <x v="16"/>
    <n v="376"/>
    <s v="Макароны"/>
    <n v="265.4767441860465"/>
    <n v="-0.6157855547282204"/>
    <s v="Роллтон"/>
    <n v="235.5555555555555"/>
    <d v="2022-06-18T00:00:00"/>
    <x v="216"/>
  </r>
  <r>
    <n v="257"/>
    <n v="239"/>
    <n v="380"/>
    <n v="5"/>
    <n v="9500"/>
    <x v="37"/>
    <x v="0"/>
    <n v="489"/>
    <s v="Йогурт"/>
    <n v="263.2542372881356"/>
    <n v="0.4434715426216844"/>
    <s v="Эрманн"/>
    <n v="248.5"/>
    <d v="2022-01-26T00:00:00"/>
    <x v="217"/>
  </r>
  <r>
    <n v="258"/>
    <n v="201"/>
    <n v="355"/>
    <n v="5"/>
    <n v="8875"/>
    <x v="110"/>
    <x v="11"/>
    <n v="483"/>
    <s v="Печенье"/>
    <n v="283.468085106383"/>
    <n v="0.2523455678150566"/>
    <s v="Белогорье"/>
    <n v="249.5"/>
    <d v="2022-10-21T00:00:00"/>
    <x v="218"/>
  </r>
  <r>
    <n v="259"/>
    <n v="377"/>
    <n v="403"/>
    <n v="4"/>
    <n v="8060"/>
    <x v="209"/>
    <x v="16"/>
    <n v="107"/>
    <s v="Колбаса"/>
    <n v="286.9230769230769"/>
    <n v="0.4045576407506704"/>
    <s v="Окраина"/>
    <n v="273.5833333333333"/>
    <d v="2022-07-02T00:00:00"/>
    <x v="219"/>
  </r>
  <r>
    <n v="260"/>
    <n v="485"/>
    <n v="101"/>
    <n v="1"/>
    <n v="505"/>
    <x v="94"/>
    <x v="13"/>
    <n v="51"/>
    <s v="Макароны"/>
    <n v="265.4767441860465"/>
    <n v="-0.6195523630151987"/>
    <s v="Борилла"/>
    <n v="236.2758620689655"/>
    <d v="2022-02-13T00:00:00"/>
    <x v="220"/>
  </r>
  <r>
    <n v="261"/>
    <n v="251"/>
    <n v="294"/>
    <n v="1"/>
    <n v="1470"/>
    <x v="96"/>
    <x v="4"/>
    <n v="47"/>
    <s v="Овощи"/>
    <n v="250.4878048780488"/>
    <n v="0.1737098344693282"/>
    <s v="Гавриш"/>
    <n v="247.6666666666667"/>
    <d v="2022-05-12T00:00:00"/>
    <x v="221"/>
  </r>
  <r>
    <n v="262"/>
    <n v="409"/>
    <n v="299"/>
    <n v="1"/>
    <n v="1495"/>
    <x v="114"/>
    <x v="2"/>
    <n v="411"/>
    <s v="Фрукты"/>
    <n v="274.1627906976744"/>
    <n v="0.0905929256086182"/>
    <s v="Фруктовый Рай"/>
    <n v="258.3076923076923"/>
    <d v="2022-04-22T00:00:00"/>
    <x v="222"/>
  </r>
  <r>
    <n v="263"/>
    <n v="422"/>
    <n v="349"/>
    <n v="2"/>
    <n v="3490"/>
    <x v="210"/>
    <x v="10"/>
    <n v="160"/>
    <s v="Кофе"/>
    <n v="249.0238095238095"/>
    <n v="0.4014724161009657"/>
    <s v="Nescafe"/>
    <n v="256.9"/>
    <d v="2022-03-29T00:00:00"/>
    <x v="79"/>
  </r>
  <r>
    <n v="264"/>
    <n v="222"/>
    <n v="500"/>
    <n v="2"/>
    <n v="5000"/>
    <x v="211"/>
    <x v="18"/>
    <n v="9"/>
    <s v="Молоко"/>
    <n v="294.952380952381"/>
    <n v="0.6951888924765901"/>
    <s v="Простоквашино"/>
    <n v="318.8181818181818"/>
    <d v="2022-12-05T00:00:00"/>
    <x v="223"/>
  </r>
  <r>
    <n v="265"/>
    <n v="497"/>
    <n v="387"/>
    <n v="2"/>
    <n v="3870"/>
    <x v="212"/>
    <x v="7"/>
    <n v="456"/>
    <s v="Конфеты"/>
    <n v="267.8548387096774"/>
    <n v="0.4448124284940085"/>
    <s v="Бабаевский"/>
    <n v="250.2592592592593"/>
    <d v="2022-02-26T00:00:00"/>
    <x v="224"/>
  </r>
  <r>
    <n v="266"/>
    <n v="217"/>
    <n v="412"/>
    <n v="2"/>
    <n v="4120"/>
    <x v="25"/>
    <x v="11"/>
    <n v="110"/>
    <s v="Мясо"/>
    <n v="271.7454545454545"/>
    <n v="0.5161247156429813"/>
    <s v="Агрокомплекс"/>
    <n v="311.2"/>
    <d v="2022-01-19T00:00:00"/>
    <x v="134"/>
  </r>
  <r>
    <n v="267"/>
    <n v="351"/>
    <n v="155"/>
    <n v="5"/>
    <n v="3875"/>
    <x v="81"/>
    <x v="9"/>
    <n v="216"/>
    <s v="Чипсы"/>
    <n v="273.7254901960785"/>
    <n v="-0.4337392550143266"/>
    <s v="Русская картошка"/>
    <n v="241.8333333333333"/>
    <d v="2022-04-04T00:00:00"/>
    <x v="225"/>
  </r>
  <r>
    <n v="268"/>
    <n v="494"/>
    <n v="214"/>
    <n v="1"/>
    <n v="1070"/>
    <x v="119"/>
    <x v="6"/>
    <n v="424"/>
    <s v="Сыр"/>
    <n v="262.6349206349207"/>
    <n v="-0.1851807083282969"/>
    <s v="Сырная долина"/>
    <n v="271"/>
    <d v="2022-01-24T00:00:00"/>
    <x v="226"/>
  </r>
  <r>
    <n v="269"/>
    <n v="464"/>
    <n v="290"/>
    <n v="3"/>
    <n v="4350"/>
    <x v="134"/>
    <x v="14"/>
    <n v="77"/>
    <s v="Сыр"/>
    <n v="262.6349206349207"/>
    <n v="0.1041943672186629"/>
    <s v="Сырная долина"/>
    <n v="271"/>
    <d v="2022-03-24T00:00:00"/>
    <x v="227"/>
  </r>
  <r>
    <n v="270"/>
    <n v="462"/>
    <n v="271"/>
    <n v="2"/>
    <n v="2710"/>
    <x v="45"/>
    <x v="0"/>
    <n v="192"/>
    <s v="Рис"/>
    <n v="258.375"/>
    <n v="0.04886308659893568"/>
    <s v="Белый Злат"/>
    <n v="269.7058823529412"/>
    <d v="2022-01-11T00:00:00"/>
    <x v="61"/>
  </r>
  <r>
    <n v="271"/>
    <n v="102"/>
    <n v="326"/>
    <n v="2"/>
    <n v="3260"/>
    <x v="213"/>
    <x v="16"/>
    <n v="130"/>
    <s v="Печенье"/>
    <n v="283.468085106383"/>
    <n v="0.1500412819935448"/>
    <s v="Белогорье"/>
    <n v="249.5"/>
    <d v="2022-10-29T00:00:00"/>
    <x v="228"/>
  </r>
  <r>
    <n v="272"/>
    <n v="345"/>
    <n v="420"/>
    <n v="2"/>
    <n v="4200"/>
    <x v="214"/>
    <x v="11"/>
    <n v="308"/>
    <s v="Конфеты"/>
    <n v="267.8548387096774"/>
    <n v="0.5680134882880712"/>
    <s v="Рот Фронт"/>
    <n v="288.2380952380952"/>
    <d v="2022-01-01T00:00:00"/>
    <x v="229"/>
  </r>
  <r>
    <n v="273"/>
    <n v="445"/>
    <n v="71"/>
    <n v="4"/>
    <n v="1420"/>
    <x v="215"/>
    <x v="17"/>
    <n v="455"/>
    <s v="Сахар"/>
    <n v="252.7627118644068"/>
    <n v="-0.7191041373298465"/>
    <s v="Сладов"/>
    <n v="240.2666666666667"/>
    <d v="2022-09-16T00:00:00"/>
    <x v="230"/>
  </r>
  <r>
    <n v="274"/>
    <n v="241"/>
    <n v="400"/>
    <n v="3"/>
    <n v="6000"/>
    <x v="178"/>
    <x v="17"/>
    <n v="490"/>
    <s v="Колбаса"/>
    <n v="286.9230769230769"/>
    <n v="0.3941018766756033"/>
    <s v="Окраина"/>
    <n v="273.5833333333333"/>
    <d v="2022-02-11T00:00:00"/>
    <x v="231"/>
  </r>
  <r>
    <n v="275"/>
    <n v="258"/>
    <n v="109"/>
    <n v="2"/>
    <n v="1090"/>
    <x v="216"/>
    <x v="2"/>
    <n v="480"/>
    <s v="Рыба"/>
    <n v="258.5128205128205"/>
    <n v="-0.5783574687561992"/>
    <s v="Санта Бремор"/>
    <n v="216.4"/>
    <d v="2022-01-07T00:00:00"/>
    <x v="232"/>
  </r>
  <r>
    <n v="276"/>
    <n v="376"/>
    <n v="217"/>
    <n v="1"/>
    <n v="1085"/>
    <x v="217"/>
    <x v="4"/>
    <n v="321"/>
    <s v="Конфеты"/>
    <n v="267.8548387096774"/>
    <n v="-0.1898596977178298"/>
    <s v="Красный Октябрь"/>
    <n v="273.625"/>
    <d v="2022-07-14T00:00:00"/>
    <x v="233"/>
  </r>
  <r>
    <n v="277"/>
    <n v="7"/>
    <n v="104"/>
    <n v="1"/>
    <n v="520"/>
    <x v="63"/>
    <x v="7"/>
    <n v="496"/>
    <s v="Сыр"/>
    <n v="262.6349206349207"/>
    <n v="-0.6040130545146863"/>
    <s v="President"/>
    <n v="238.7222222222222"/>
    <d v="2022-11-02T00:00:00"/>
    <x v="234"/>
  </r>
  <r>
    <n v="278"/>
    <n v="428"/>
    <n v="428"/>
    <n v="4"/>
    <n v="8560"/>
    <x v="21"/>
    <x v="10"/>
    <n v="203"/>
    <s v="Конфеты"/>
    <n v="267.8548387096774"/>
    <n v="0.5978804118745107"/>
    <s v="Бабаевский"/>
    <n v="250.2592592592593"/>
    <d v="2022-05-04T00:00:00"/>
    <x v="235"/>
  </r>
  <r>
    <n v="279"/>
    <n v="216"/>
    <n v="83"/>
    <n v="3"/>
    <n v="1245"/>
    <x v="100"/>
    <x v="9"/>
    <n v="457"/>
    <s v="Кофе"/>
    <n v="249.0238095238095"/>
    <n v="-0.6666985371450425"/>
    <s v="Черная Карта"/>
    <n v="222.2"/>
    <d v="2022-02-03T00:00:00"/>
    <x v="235"/>
  </r>
  <r>
    <n v="280"/>
    <n v="272"/>
    <n v="113"/>
    <n v="3"/>
    <n v="1695"/>
    <x v="171"/>
    <x v="15"/>
    <n v="21"/>
    <s v="Крупа"/>
    <n v="255.1162790697674"/>
    <n v="-0.5570647219690064"/>
    <s v="Ярмарка"/>
    <n v="252.0909090909091"/>
    <d v="2022-11-16T00:00:00"/>
    <x v="236"/>
  </r>
  <r>
    <n v="281"/>
    <n v="236"/>
    <n v="221"/>
    <n v="4"/>
    <n v="4420"/>
    <x v="218"/>
    <x v="11"/>
    <n v="333"/>
    <s v="Печенье"/>
    <n v="283.468085106383"/>
    <n v="-0.2203707873602042"/>
    <s v="Посиделкино"/>
    <n v="321.6363636363636"/>
    <d v="2022-10-23T00:00:00"/>
    <x v="237"/>
  </r>
  <r>
    <n v="282"/>
    <n v="225"/>
    <n v="114"/>
    <n v="3"/>
    <n v="1710"/>
    <x v="219"/>
    <x v="7"/>
    <n v="405"/>
    <s v="Соль"/>
    <n v="264.8679245283019"/>
    <n v="-0.5695968086622026"/>
    <s v="Илецкая"/>
    <n v="238.1666666666667"/>
    <d v="2022-08-25T00:00:00"/>
    <x v="238"/>
  </r>
  <r>
    <n v="283"/>
    <n v="167"/>
    <n v="488"/>
    <n v="3"/>
    <n v="7320"/>
    <x v="75"/>
    <x v="0"/>
    <n v="32"/>
    <s v="Мясо"/>
    <n v="271.7454545454545"/>
    <n v="0.7957982068780944"/>
    <s v="Сава"/>
    <n v="212.8125"/>
    <d v="2022-12-27T00:00:00"/>
    <x v="239"/>
  </r>
  <r>
    <n v="284"/>
    <n v="467"/>
    <n v="421"/>
    <n v="5"/>
    <n v="10525"/>
    <x v="124"/>
    <x v="6"/>
    <n v="334"/>
    <s v="Макароны"/>
    <n v="265.4767441860465"/>
    <n v="0.5858262888178354"/>
    <s v="Борилла"/>
    <n v="236.2758620689655"/>
    <d v="2022-11-16T00:00:00"/>
    <x v="240"/>
  </r>
  <r>
    <n v="285"/>
    <n v="430"/>
    <n v="380"/>
    <n v="1"/>
    <n v="1900"/>
    <x v="220"/>
    <x v="19"/>
    <n v="449"/>
    <s v="Чай"/>
    <n v="271.1818181818182"/>
    <n v="0.4012738853503184"/>
    <s v="Ахмад"/>
    <n v="243.3"/>
    <d v="2022-03-25T00:00:00"/>
    <x v="241"/>
  </r>
  <r>
    <n v="286"/>
    <n v="139"/>
    <n v="232"/>
    <n v="3"/>
    <n v="3480"/>
    <x v="91"/>
    <x v="18"/>
    <n v="302"/>
    <s v="Йогурт"/>
    <n v="263.2542372881356"/>
    <n v="-0.1187226371362349"/>
    <s v="Ростагроэкспорт"/>
    <n v="257.7826086956522"/>
    <d v="2022-10-25T00:00:00"/>
    <x v="242"/>
  </r>
  <r>
    <n v="287"/>
    <n v="351"/>
    <n v="93"/>
    <n v="3"/>
    <n v="1395"/>
    <x v="221"/>
    <x v="12"/>
    <n v="341"/>
    <s v="Чипсы"/>
    <n v="273.7254901960785"/>
    <n v="-0.6602435530085959"/>
    <s v="Русская картошка"/>
    <n v="241.8333333333333"/>
    <d v="2022-06-12T00:00:00"/>
    <x v="243"/>
  </r>
  <r>
    <n v="288"/>
    <n v="404"/>
    <n v="136"/>
    <n v="2"/>
    <n v="1360"/>
    <x v="64"/>
    <x v="3"/>
    <n v="62"/>
    <s v="Йогурт"/>
    <n v="263.2542372881356"/>
    <n v="-0.4833891321143445"/>
    <s v="Ростагроэкспорт"/>
    <n v="257.7826086956522"/>
    <d v="2022-04-20T00:00:00"/>
    <x v="138"/>
  </r>
  <r>
    <n v="289"/>
    <n v="237"/>
    <n v="157"/>
    <n v="5"/>
    <n v="3925"/>
    <x v="76"/>
    <x v="16"/>
    <n v="366"/>
    <s v="Конфеты"/>
    <n v="267.8548387096774"/>
    <n v="-0.4138616246161257"/>
    <s v="Рот Фронт"/>
    <n v="288.2380952380952"/>
    <d v="2022-09-23T00:00:00"/>
    <x v="244"/>
  </r>
  <r>
    <n v="290"/>
    <n v="323"/>
    <n v="363"/>
    <n v="4"/>
    <n v="7260"/>
    <x v="222"/>
    <x v="7"/>
    <n v="463"/>
    <s v="Рыба"/>
    <n v="258.5128205128205"/>
    <n v="0.4041856774449515"/>
    <s v="Меридиан"/>
    <n v="260.6470588235294"/>
    <d v="2022-11-04T00:00:00"/>
    <x v="172"/>
  </r>
  <r>
    <n v="291"/>
    <n v="457"/>
    <n v="289"/>
    <n v="5"/>
    <n v="7225"/>
    <x v="128"/>
    <x v="16"/>
    <n v="421"/>
    <s v="Сок"/>
    <n v="268.6034482758621"/>
    <n v="0.07593555427177612"/>
    <s v="Rich"/>
    <n v="272.25"/>
    <d v="2022-02-28T00:00:00"/>
    <x v="87"/>
  </r>
  <r>
    <n v="292"/>
    <n v="328"/>
    <n v="448"/>
    <n v="4"/>
    <n v="8960"/>
    <x v="218"/>
    <x v="10"/>
    <n v="86"/>
    <s v="Чипсы"/>
    <n v="273.7254901960785"/>
    <n v="0.6366762177650429"/>
    <s v="Русская картошка"/>
    <n v="241.8333333333333"/>
    <d v="2022-05-11T00:00:00"/>
    <x v="245"/>
  </r>
  <r>
    <n v="293"/>
    <n v="424"/>
    <n v="226"/>
    <n v="2"/>
    <n v="2260"/>
    <x v="177"/>
    <x v="9"/>
    <n v="397"/>
    <s v="Печенье"/>
    <n v="283.468085106383"/>
    <n v="-0.2027321173909781"/>
    <s v="КДВ"/>
    <n v="323.0769230769231"/>
    <d v="2022-06-16T00:00:00"/>
    <x v="246"/>
  </r>
  <r>
    <n v="294"/>
    <n v="86"/>
    <n v="261"/>
    <n v="5"/>
    <n v="6525"/>
    <x v="223"/>
    <x v="2"/>
    <n v="319"/>
    <s v="Сахар"/>
    <n v="252.7627118644068"/>
    <n v="0.03258901629450817"/>
    <s v="Русский сахар"/>
    <n v="293.4117647058824"/>
    <d v="2022-04-23T00:00:00"/>
    <x v="224"/>
  </r>
  <r>
    <n v="295"/>
    <n v="17"/>
    <n v="253"/>
    <n v="3"/>
    <n v="3795"/>
    <x v="150"/>
    <x v="15"/>
    <n v="290"/>
    <s v="Кофе"/>
    <n v="249.0238095238095"/>
    <n v="0.01596710966631609"/>
    <s v="Jacobs"/>
    <n v="276.2105263157895"/>
    <d v="2022-08-04T00:00:00"/>
    <x v="50"/>
  </r>
  <r>
    <n v="296"/>
    <n v="43"/>
    <n v="457"/>
    <n v="3"/>
    <n v="6855"/>
    <x v="224"/>
    <x v="8"/>
    <n v="13"/>
    <s v="Печенье"/>
    <n v="283.468085106383"/>
    <n v="0.61217443518727"/>
    <s v="КДВ"/>
    <n v="323.0769230769231"/>
    <d v="2022-06-12T00:00:00"/>
    <x v="247"/>
  </r>
  <r>
    <n v="297"/>
    <n v="5"/>
    <n v="65"/>
    <n v="5"/>
    <n v="1625"/>
    <x v="170"/>
    <x v="14"/>
    <n v="302"/>
    <s v="Макароны"/>
    <n v="265.4767441860465"/>
    <n v="-0.7551574613464149"/>
    <s v="Роллтон"/>
    <n v="235.5555555555555"/>
    <d v="2022-10-25T00:00:00"/>
    <x v="151"/>
  </r>
  <r>
    <n v="298"/>
    <n v="298"/>
    <n v="65"/>
    <n v="1"/>
    <n v="325"/>
    <x v="225"/>
    <x v="19"/>
    <n v="453"/>
    <s v="Крупа"/>
    <n v="255.1162790697674"/>
    <n v="-0.7452142206016408"/>
    <s v="Увелка"/>
    <n v="251.9166666666667"/>
    <d v="2022-03-15T00:00:00"/>
    <x v="248"/>
  </r>
  <r>
    <n v="299"/>
    <n v="436"/>
    <n v="320"/>
    <n v="3"/>
    <n v="4800"/>
    <x v="85"/>
    <x v="13"/>
    <n v="16"/>
    <s v="Овощи"/>
    <n v="250.4878048780488"/>
    <n v="0.2775073028237585"/>
    <s v="Гавриш"/>
    <n v="247.6666666666667"/>
    <d v="2022-06-01T00:00:00"/>
    <x v="249"/>
  </r>
  <r>
    <n v="300"/>
    <n v="421"/>
    <n v="145"/>
    <n v="4"/>
    <n v="2900"/>
    <x v="226"/>
    <x v="13"/>
    <n v="120"/>
    <s v="Чай"/>
    <n v="271.1818181818182"/>
    <n v="-0.465303385853168"/>
    <s v="Greenfield"/>
    <n v="291.4545454545454"/>
    <d v="2022-05-10T00:00:00"/>
    <x v="46"/>
  </r>
  <r>
    <n v="301"/>
    <n v="223"/>
    <n v="467"/>
    <n v="5"/>
    <n v="11675"/>
    <x v="132"/>
    <x v="4"/>
    <n v="295"/>
    <s v="Чай"/>
    <n v="271.1818181818182"/>
    <n v="0.7220918538384176"/>
    <s v="Greenfield"/>
    <n v="291.4545454545454"/>
    <d v="2022-01-27T00:00:00"/>
    <x v="250"/>
  </r>
  <r>
    <n v="302"/>
    <n v="483"/>
    <n v="124"/>
    <n v="4"/>
    <n v="2480"/>
    <x v="227"/>
    <x v="6"/>
    <n v="381"/>
    <s v="Колбаса"/>
    <n v="286.9230769230769"/>
    <n v="-0.567828418230563"/>
    <s v="Дымов"/>
    <n v="312.6666666666667"/>
    <d v="2022-06-02T00:00:00"/>
    <x v="145"/>
  </r>
  <r>
    <n v="303"/>
    <n v="414"/>
    <n v="406"/>
    <n v="3"/>
    <n v="6090"/>
    <x v="52"/>
    <x v="3"/>
    <n v="287"/>
    <s v="Фрукты"/>
    <n v="274.1627906976744"/>
    <n v="0.4808719993214012"/>
    <s v="Экзотик"/>
    <n v="253.6875"/>
    <d v="2022-02-16T00:00:00"/>
    <x v="251"/>
  </r>
  <r>
    <n v="304"/>
    <n v="389"/>
    <n v="76"/>
    <n v="4"/>
    <n v="1520"/>
    <x v="228"/>
    <x v="10"/>
    <n v="415"/>
    <s v="Чай"/>
    <n v="271.1818181818182"/>
    <n v="-0.7197452229299364"/>
    <s v="Ахмад"/>
    <n v="243.3"/>
    <d v="2022-04-10T00:00:00"/>
    <x v="252"/>
  </r>
  <r>
    <n v="305"/>
    <n v="367"/>
    <n v="79"/>
    <n v="5"/>
    <n v="1975"/>
    <x v="229"/>
    <x v="18"/>
    <n v="292"/>
    <s v="Колбаса"/>
    <n v="286.9230769230769"/>
    <n v="-0.7246648793565684"/>
    <s v="Окраина"/>
    <n v="273.5833333333333"/>
    <d v="2022-02-16T00:00:00"/>
    <x v="133"/>
  </r>
  <r>
    <n v="306"/>
    <n v="128"/>
    <n v="466"/>
    <n v="1"/>
    <n v="2330"/>
    <x v="230"/>
    <x v="19"/>
    <n v="389"/>
    <s v="Мясо"/>
    <n v="271.7454545454545"/>
    <n v="0.7148400909942458"/>
    <s v="Мираторг"/>
    <n v="316.5833333333333"/>
    <d v="2022-11-11T00:00:00"/>
    <x v="253"/>
  </r>
  <r>
    <n v="307"/>
    <n v="368"/>
    <n v="265"/>
    <n v="5"/>
    <n v="6625"/>
    <x v="231"/>
    <x v="7"/>
    <n v="106"/>
    <s v="Сыр"/>
    <n v="262.6349206349207"/>
    <n v="0.009005197630847173"/>
    <s v="Сырная долина"/>
    <n v="271"/>
    <d v="2022-10-24T00:00:00"/>
    <x v="254"/>
  </r>
  <r>
    <n v="308"/>
    <n v="74"/>
    <n v="397"/>
    <n v="2"/>
    <n v="3970"/>
    <x v="169"/>
    <x v="11"/>
    <n v="458"/>
    <s v="Колбаса"/>
    <n v="286.9230769230769"/>
    <n v="0.3836461126005364"/>
    <s v="Черкизово"/>
    <n v="320.25"/>
    <d v="2022-05-13T00:00:00"/>
    <x v="255"/>
  </r>
  <r>
    <n v="309"/>
    <n v="276"/>
    <n v="359"/>
    <n v="2"/>
    <n v="3590"/>
    <x v="191"/>
    <x v="5"/>
    <n v="203"/>
    <s v="Колбаса"/>
    <n v="286.9230769230769"/>
    <n v="0.251206434316354"/>
    <s v="Дымов"/>
    <n v="312.6666666666667"/>
    <d v="2022-05-04T00:00:00"/>
    <x v="256"/>
  </r>
  <r>
    <n v="310"/>
    <n v="149"/>
    <n v="168"/>
    <n v="4"/>
    <n v="3360"/>
    <x v="232"/>
    <x v="1"/>
    <n v="1"/>
    <s v="Конфеты"/>
    <n v="267.8548387096774"/>
    <n v="-0.3727946046847715"/>
    <s v="Бабаевский"/>
    <n v="250.2592592592593"/>
    <d v="2022-01-24T00:00:00"/>
    <x v="202"/>
  </r>
  <r>
    <n v="311"/>
    <n v="229"/>
    <n v="156"/>
    <n v="4"/>
    <n v="3120"/>
    <x v="233"/>
    <x v="14"/>
    <n v="204"/>
    <s v="Мясо"/>
    <n v="271.7454545454545"/>
    <n v="-0.4259333600963469"/>
    <s v="Сава"/>
    <n v="212.8125"/>
    <d v="2022-11-02T00:00:00"/>
    <x v="93"/>
  </r>
  <r>
    <n v="312"/>
    <n v="28"/>
    <n v="78"/>
    <n v="4"/>
    <n v="1560"/>
    <x v="234"/>
    <x v="14"/>
    <n v="490"/>
    <s v="Крупа"/>
    <n v="255.1162790697674"/>
    <n v="-0.694257064721969"/>
    <s v="Националь"/>
    <n v="274.2857142857143"/>
    <d v="2022-02-11T00:00:00"/>
    <x v="99"/>
  </r>
  <r>
    <n v="313"/>
    <n v="260"/>
    <n v="489"/>
    <n v="3"/>
    <n v="7335"/>
    <x v="235"/>
    <x v="17"/>
    <n v="98"/>
    <s v="Соль"/>
    <n v="264.8679245283019"/>
    <n v="0.8462031628437099"/>
    <s v="Экстра"/>
    <n v="320.8461538461539"/>
    <d v="2022-03-17T00:00:00"/>
    <x v="257"/>
  </r>
  <r>
    <n v="314"/>
    <n v="140"/>
    <n v="106"/>
    <n v="3"/>
    <n v="1590"/>
    <x v="144"/>
    <x v="3"/>
    <n v="181"/>
    <s v="Рис"/>
    <n v="258.375"/>
    <n v="-0.5897435897435898"/>
    <s v="Белый Злат"/>
    <n v="269.7058823529412"/>
    <d v="2022-01-07T00:00:00"/>
    <x v="258"/>
  </r>
  <r>
    <n v="315"/>
    <n v="270"/>
    <n v="204"/>
    <n v="3"/>
    <n v="3060"/>
    <x v="118"/>
    <x v="13"/>
    <n v="226"/>
    <s v="Соль"/>
    <n v="264.8679245283019"/>
    <n v="-0.2298048155007836"/>
    <s v="Славянская"/>
    <n v="236.9166666666667"/>
    <d v="2022-05-21T00:00:00"/>
    <x v="259"/>
  </r>
  <r>
    <n v="316"/>
    <n v="67"/>
    <n v="317"/>
    <n v="4"/>
    <n v="6340"/>
    <x v="236"/>
    <x v="4"/>
    <n v="322"/>
    <s v="Йогурт"/>
    <n v="263.2542372881356"/>
    <n v="0.2041591552922999"/>
    <s v="Чудо"/>
    <n v="287.1"/>
    <d v="2022-11-21T00:00:00"/>
    <x v="260"/>
  </r>
  <r>
    <n v="317"/>
    <n v="448"/>
    <n v="442"/>
    <n v="1"/>
    <n v="2210"/>
    <x v="28"/>
    <x v="15"/>
    <n v="296"/>
    <s v="Йогурт"/>
    <n v="263.2542372881356"/>
    <n v="0.6789853206283802"/>
    <s v="Ростагроэкспорт"/>
    <n v="257.7826086956522"/>
    <d v="2022-07-16T00:00:00"/>
    <x v="182"/>
  </r>
  <r>
    <n v="318"/>
    <n v="331"/>
    <n v="88"/>
    <n v="3"/>
    <n v="1320"/>
    <x v="237"/>
    <x v="0"/>
    <n v="458"/>
    <s v="Соль"/>
    <n v="264.8679245283019"/>
    <n v="-0.667758940019946"/>
    <s v="Салта"/>
    <n v="273.7"/>
    <d v="2022-05-13T00:00:00"/>
    <x v="261"/>
  </r>
  <r>
    <n v="319"/>
    <n v="325"/>
    <n v="99"/>
    <n v="2"/>
    <n v="990"/>
    <x v="238"/>
    <x v="8"/>
    <n v="11"/>
    <s v="Сок"/>
    <n v="268.6034482758621"/>
    <n v="-0.6314269208549972"/>
    <s v="Добрый"/>
    <n v="242.8181818181818"/>
    <d v="2022-05-09T00:00:00"/>
    <x v="117"/>
  </r>
  <r>
    <n v="320"/>
    <n v="346"/>
    <n v="178"/>
    <n v="5"/>
    <n v="4450"/>
    <x v="235"/>
    <x v="14"/>
    <n v="75"/>
    <s v="Чай"/>
    <n v="271.1818181818182"/>
    <n v="-0.3436138115990613"/>
    <s v="Greenfield"/>
    <n v="291.4545454545454"/>
    <d v="2022-08-23T00:00:00"/>
    <x v="262"/>
  </r>
  <r>
    <n v="321"/>
    <n v="397"/>
    <n v="299"/>
    <n v="3"/>
    <n v="4485"/>
    <x v="239"/>
    <x v="7"/>
    <n v="29"/>
    <s v="Йогурт"/>
    <n v="263.2542372881356"/>
    <n v="0.1357841874839043"/>
    <s v="Ростагроэкспорт"/>
    <n v="257.7826086956522"/>
    <d v="2022-05-23T00:00:00"/>
    <x v="263"/>
  </r>
  <r>
    <n v="322"/>
    <n v="115"/>
    <n v="479"/>
    <n v="1"/>
    <n v="2395"/>
    <x v="141"/>
    <x v="12"/>
    <n v="297"/>
    <s v="Сыр"/>
    <n v="262.6349206349207"/>
    <n v="0.8238244893025504"/>
    <s v="President"/>
    <n v="238.7222222222222"/>
    <d v="2022-04-15T00:00:00"/>
    <x v="264"/>
  </r>
  <r>
    <n v="323"/>
    <n v="360"/>
    <n v="463"/>
    <n v="3"/>
    <n v="6945"/>
    <x v="240"/>
    <x v="19"/>
    <n v="497"/>
    <s v="Соль"/>
    <n v="264.8679245283019"/>
    <n v="0.7480410314859667"/>
    <s v="Славянская"/>
    <n v="236.9166666666667"/>
    <d v="2022-09-22T00:00:00"/>
    <x v="162"/>
  </r>
  <r>
    <n v="324"/>
    <n v="230"/>
    <n v="431"/>
    <n v="3"/>
    <n v="6465"/>
    <x v="181"/>
    <x v="18"/>
    <n v="191"/>
    <s v="Сок"/>
    <n v="268.6034482758621"/>
    <n v="0.6045959304191539"/>
    <s v="Фруктовый сад"/>
    <n v="281.96875"/>
    <d v="2022-11-01T00:00:00"/>
    <x v="265"/>
  </r>
  <r>
    <n v="325"/>
    <n v="229"/>
    <n v="173"/>
    <n v="4"/>
    <n v="3460"/>
    <x v="123"/>
    <x v="16"/>
    <n v="327"/>
    <s v="Мясо"/>
    <n v="271.7454545454545"/>
    <n v="-0.3633748160042821"/>
    <s v="Сава"/>
    <n v="212.8125"/>
    <d v="2022-01-04T00:00:00"/>
    <x v="92"/>
  </r>
  <r>
    <n v="326"/>
    <n v="486"/>
    <n v="213"/>
    <n v="1"/>
    <n v="1065"/>
    <x v="241"/>
    <x v="18"/>
    <n v="58"/>
    <s v="Соль"/>
    <n v="264.8679245283019"/>
    <n v="-0.1958256161846417"/>
    <s v="Илецкая"/>
    <n v="238.1666666666667"/>
    <d v="2022-03-08T00:00:00"/>
    <x v="266"/>
  </r>
  <r>
    <n v="327"/>
    <n v="353"/>
    <n v="115"/>
    <n v="2"/>
    <n v="1150"/>
    <x v="242"/>
    <x v="13"/>
    <n v="446"/>
    <s v="Макароны"/>
    <n v="265.4767441860465"/>
    <n v="-0.5668170469975033"/>
    <s v="Паста Зара"/>
    <n v="276.6756756756757"/>
    <d v="2022-04-20T00:00:00"/>
    <x v="265"/>
  </r>
  <r>
    <n v="328"/>
    <n v="65"/>
    <n v="455"/>
    <n v="5"/>
    <n v="11375"/>
    <x v="243"/>
    <x v="9"/>
    <n v="117"/>
    <s v="Хлеб"/>
    <n v="300.3181818181818"/>
    <n v="0.515059785076434"/>
    <s v="Хлебный Дом"/>
    <n v="281.7333333333333"/>
    <d v="2022-05-25T00:00:00"/>
    <x v="267"/>
  </r>
  <r>
    <n v="329"/>
    <n v="490"/>
    <n v="176"/>
    <n v="3"/>
    <n v="2640"/>
    <x v="87"/>
    <x v="15"/>
    <n v="32"/>
    <s v="Сыр"/>
    <n v="262.6349206349207"/>
    <n v="-0.3298682461017769"/>
    <s v="Сырная долина"/>
    <n v="271"/>
    <d v="2022-12-27T00:00:00"/>
    <x v="268"/>
  </r>
  <r>
    <n v="330"/>
    <n v="188"/>
    <n v="154"/>
    <n v="4"/>
    <n v="3080"/>
    <x v="244"/>
    <x v="18"/>
    <n v="187"/>
    <s v="Молоко"/>
    <n v="294.952380952381"/>
    <n v="-0.4778818211172102"/>
    <s v="Вимм-Билль-Данн"/>
    <n v="193.5"/>
    <d v="2022-10-14T00:00:00"/>
    <x v="20"/>
  </r>
  <r>
    <n v="331"/>
    <n v="17"/>
    <n v="212"/>
    <n v="3"/>
    <n v="3180"/>
    <x v="245"/>
    <x v="16"/>
    <n v="111"/>
    <s v="Кофе"/>
    <n v="249.0238095238095"/>
    <n v="-0.1486757816234822"/>
    <s v="Jacobs"/>
    <n v="276.2105263157895"/>
    <d v="2022-08-31T00:00:00"/>
    <x v="269"/>
  </r>
  <r>
    <n v="332"/>
    <n v="405"/>
    <n v="389"/>
    <n v="5"/>
    <n v="9725"/>
    <x v="118"/>
    <x v="6"/>
    <n v="231"/>
    <s v="Хлеб"/>
    <n v="300.3181818181818"/>
    <n v="0.2952928711972151"/>
    <s v="Каравай"/>
    <n v="331.1666666666667"/>
    <d v="2022-07-10T00:00:00"/>
    <x v="223"/>
  </r>
  <r>
    <n v="333"/>
    <n v="23"/>
    <n v="476"/>
    <n v="3"/>
    <n v="7140"/>
    <x v="246"/>
    <x v="2"/>
    <n v="283"/>
    <s v="Рыба"/>
    <n v="258.5128205128205"/>
    <n v="0.8413013291013689"/>
    <s v="Санта Бремор"/>
    <n v="216.4"/>
    <d v="2022-11-24T00:00:00"/>
    <x v="270"/>
  </r>
  <r>
    <n v="334"/>
    <n v="99"/>
    <n v="51"/>
    <n v="5"/>
    <n v="1275"/>
    <x v="56"/>
    <x v="8"/>
    <n v="265"/>
    <s v="Овощи"/>
    <n v="250.4878048780488"/>
    <n v="-0.7963972736124635"/>
    <s v="Семко"/>
    <n v="208"/>
    <d v="2022-07-14T00:00:00"/>
    <x v="51"/>
  </r>
  <r>
    <n v="335"/>
    <n v="196"/>
    <n v="452"/>
    <n v="2"/>
    <n v="4520"/>
    <x v="209"/>
    <x v="0"/>
    <n v="136"/>
    <s v="Конфеты"/>
    <n v="267.8548387096774"/>
    <n v="0.687481182633829"/>
    <s v="Рот Фронт"/>
    <n v="288.2380952380952"/>
    <d v="2022-10-26T00:00:00"/>
    <x v="271"/>
  </r>
  <r>
    <n v="336"/>
    <n v="415"/>
    <n v="222"/>
    <n v="3"/>
    <n v="3330"/>
    <x v="247"/>
    <x v="17"/>
    <n v="395"/>
    <s v="Чипсы"/>
    <n v="273.7254901960785"/>
    <n v="-0.1889684813753583"/>
    <s v="Pringles"/>
    <n v="280.2380952380952"/>
    <d v="2022-11-25T00:00:00"/>
    <x v="272"/>
  </r>
  <r>
    <n v="337"/>
    <n v="328"/>
    <n v="100"/>
    <n v="1"/>
    <n v="500"/>
    <x v="93"/>
    <x v="5"/>
    <n v="391"/>
    <s v="Чипсы"/>
    <n v="273.7254901960785"/>
    <n v="-0.6346704871060171"/>
    <s v="Русская картошка"/>
    <n v="241.8333333333333"/>
    <d v="2022-04-24T00:00:00"/>
    <x v="18"/>
  </r>
  <r>
    <n v="338"/>
    <n v="271"/>
    <n v="382"/>
    <n v="1"/>
    <n v="1910"/>
    <x v="248"/>
    <x v="1"/>
    <n v="355"/>
    <s v="Сыр"/>
    <n v="262.6349206349207"/>
    <n v="0.4544905113018252"/>
    <s v="Сырная долина"/>
    <n v="271"/>
    <d v="2022-03-11T00:00:00"/>
    <x v="273"/>
  </r>
  <r>
    <n v="339"/>
    <n v="204"/>
    <n v="279"/>
    <n v="4"/>
    <n v="5580"/>
    <x v="249"/>
    <x v="4"/>
    <n v="277"/>
    <s v="Печенье"/>
    <n v="283.468085106383"/>
    <n v="-0.01576221571718084"/>
    <s v="Юбилейное"/>
    <n v="232.4444444444445"/>
    <d v="2022-07-08T00:00:00"/>
    <x v="271"/>
  </r>
  <r>
    <n v="340"/>
    <n v="60"/>
    <n v="500"/>
    <n v="2"/>
    <n v="5000"/>
    <x v="30"/>
    <x v="19"/>
    <n v="145"/>
    <s v="Кофе"/>
    <n v="249.0238095238095"/>
    <n v="1.007840137680466"/>
    <s v="Jacobs"/>
    <n v="276.2105263157895"/>
    <d v="2022-04-02T00:00:00"/>
    <x v="161"/>
  </r>
  <r>
    <n v="341"/>
    <n v="76"/>
    <n v="92"/>
    <n v="2"/>
    <n v="920"/>
    <x v="250"/>
    <x v="0"/>
    <n v="104"/>
    <s v="Печенье"/>
    <n v="283.468085106383"/>
    <n v="-0.6754484725662389"/>
    <s v="Юбилейное"/>
    <n v="232.4444444444445"/>
    <d v="2022-07-30T00:00:00"/>
    <x v="32"/>
  </r>
  <r>
    <n v="342"/>
    <n v="201"/>
    <n v="179"/>
    <n v="5"/>
    <n v="4475"/>
    <x v="251"/>
    <x v="6"/>
    <n v="109"/>
    <s v="Печенье"/>
    <n v="283.468085106383"/>
    <n v="-0.3685356151017039"/>
    <s v="Белогорье"/>
    <n v="249.5"/>
    <d v="2022-06-20T00:00:00"/>
    <x v="274"/>
  </r>
  <r>
    <n v="343"/>
    <n v="462"/>
    <n v="209"/>
    <n v="4"/>
    <n v="4180"/>
    <x v="17"/>
    <x v="14"/>
    <n v="369"/>
    <s v="Рис"/>
    <n v="258.375"/>
    <n v="-0.1910982099661345"/>
    <s v="Белый Злат"/>
    <n v="269.7058823529412"/>
    <d v="2022-04-27T00:00:00"/>
    <x v="235"/>
  </r>
  <r>
    <n v="344"/>
    <n v="210"/>
    <n v="486"/>
    <n v="5"/>
    <n v="12150"/>
    <x v="252"/>
    <x v="3"/>
    <n v="78"/>
    <s v="Колбаса"/>
    <n v="286.9230769230769"/>
    <n v="0.6938337801608581"/>
    <s v="Окраина"/>
    <n v="273.5833333333333"/>
    <d v="2022-04-07T00:00:00"/>
    <x v="8"/>
  </r>
  <r>
    <n v="345"/>
    <n v="404"/>
    <n v="123"/>
    <n v="1"/>
    <n v="615"/>
    <x v="253"/>
    <x v="12"/>
    <n v="298"/>
    <s v="Йогурт"/>
    <n v="263.2542372881356"/>
    <n v="-0.5327710533092969"/>
    <s v="Ростагроэкспорт"/>
    <n v="257.7826086956522"/>
    <d v="2022-09-17T00:00:00"/>
    <x v="275"/>
  </r>
  <r>
    <n v="346"/>
    <n v="178"/>
    <n v="179"/>
    <n v="1"/>
    <n v="895"/>
    <x v="254"/>
    <x v="13"/>
    <n v="130"/>
    <s v="Йогурт"/>
    <n v="263.2542372881356"/>
    <n v="-0.3200489312387329"/>
    <s v="Ростагроэкспорт"/>
    <n v="257.7826086956522"/>
    <d v="2022-10-29T00:00:00"/>
    <x v="276"/>
  </r>
  <r>
    <n v="347"/>
    <n v="423"/>
    <n v="218"/>
    <n v="3"/>
    <n v="3270"/>
    <x v="255"/>
    <x v="8"/>
    <n v="66"/>
    <s v="Чипсы"/>
    <n v="273.7254901960785"/>
    <n v="-0.2035816618911176"/>
    <s v="Pringles"/>
    <n v="280.2380952380952"/>
    <d v="2022-08-04T00:00:00"/>
    <x v="277"/>
  </r>
  <r>
    <n v="348"/>
    <n v="70"/>
    <n v="51"/>
    <n v="1"/>
    <n v="255"/>
    <x v="121"/>
    <x v="1"/>
    <n v="261"/>
    <s v="Рис"/>
    <n v="258.375"/>
    <n v="-0.8026124818577649"/>
    <s v="Мистраль"/>
    <n v="181.5714285714286"/>
    <d v="2022-10-14T00:00:00"/>
    <x v="278"/>
  </r>
  <r>
    <n v="349"/>
    <n v="335"/>
    <n v="392"/>
    <n v="5"/>
    <n v="9800"/>
    <x v="256"/>
    <x v="8"/>
    <n v="307"/>
    <s v="Хлеб"/>
    <n v="300.3181818181818"/>
    <n v="0.3052822763735432"/>
    <s v="Каравай"/>
    <n v="331.1666666666667"/>
    <d v="2022-07-22T00:00:00"/>
    <x v="49"/>
  </r>
  <r>
    <n v="350"/>
    <n v="427"/>
    <n v="273"/>
    <n v="5"/>
    <n v="6825"/>
    <x v="48"/>
    <x v="14"/>
    <n v="190"/>
    <s v="Хлеб"/>
    <n v="300.3181818181818"/>
    <n v="-0.09096412895413952"/>
    <s v="Русский Хлеб"/>
    <n v="316.6"/>
    <d v="2022-05-08T00:00:00"/>
    <x v="279"/>
  </r>
  <r>
    <n v="351"/>
    <n v="137"/>
    <n v="154"/>
    <n v="1"/>
    <n v="770"/>
    <x v="164"/>
    <x v="16"/>
    <n v="144"/>
    <s v="Фрукты"/>
    <n v="274.1627906976744"/>
    <n v="-0.4382899312918823"/>
    <s v="Экзотик"/>
    <n v="253.6875"/>
    <d v="2022-05-24T00:00:00"/>
    <x v="218"/>
  </r>
  <r>
    <n v="352"/>
    <n v="303"/>
    <n v="68"/>
    <n v="4"/>
    <n v="1360"/>
    <x v="36"/>
    <x v="16"/>
    <n v="76"/>
    <s v="Фрукты"/>
    <n v="274.1627906976744"/>
    <n v="-0.7519721774535584"/>
    <s v="Фруктовый Рай"/>
    <n v="258.3076923076923"/>
    <d v="2022-01-14T00:00:00"/>
    <x v="280"/>
  </r>
  <r>
    <n v="353"/>
    <n v="23"/>
    <n v="380"/>
    <n v="1"/>
    <n v="1900"/>
    <x v="217"/>
    <x v="8"/>
    <n v="84"/>
    <s v="Рыба"/>
    <n v="258.5128205128205"/>
    <n v="0.4699464391985717"/>
    <s v="Санта Бремор"/>
    <n v="216.4"/>
    <d v="2022-09-01T00:00:00"/>
    <x v="281"/>
  </r>
  <r>
    <n v="354"/>
    <n v="398"/>
    <n v="417"/>
    <n v="4"/>
    <n v="8340"/>
    <x v="128"/>
    <x v="15"/>
    <n v="81"/>
    <s v="Сок"/>
    <n v="268.6034482758621"/>
    <n v="0.5524744848834968"/>
    <s v="Фруктовый сад"/>
    <n v="281.96875"/>
    <d v="2022-09-21T00:00:00"/>
    <x v="178"/>
  </r>
  <r>
    <n v="355"/>
    <n v="8"/>
    <n v="404"/>
    <n v="1"/>
    <n v="2020"/>
    <x v="93"/>
    <x v="14"/>
    <n v="157"/>
    <s v="Макароны"/>
    <n v="265.4767441860465"/>
    <n v="0.5217905479392055"/>
    <s v="Паста Зара"/>
    <n v="276.6756756756757"/>
    <d v="2022-08-10T00:00:00"/>
    <x v="282"/>
  </r>
  <r>
    <n v="356"/>
    <n v="485"/>
    <n v="193"/>
    <n v="1"/>
    <n v="965"/>
    <x v="175"/>
    <x v="12"/>
    <n v="57"/>
    <s v="Макароны"/>
    <n v="265.4767441860465"/>
    <n v="-0.2730060006132013"/>
    <s v="Борилла"/>
    <n v="236.2758620689655"/>
    <d v="2022-04-18T00:00:00"/>
    <x v="123"/>
  </r>
  <r>
    <n v="357"/>
    <n v="60"/>
    <n v="320"/>
    <n v="4"/>
    <n v="6400"/>
    <x v="257"/>
    <x v="10"/>
    <n v="273"/>
    <s v="Кофе"/>
    <n v="249.0238095238095"/>
    <n v="0.2850176881154987"/>
    <s v="Jacobs"/>
    <n v="276.2105263157895"/>
    <d v="2022-02-07T00:00:00"/>
    <x v="283"/>
  </r>
  <r>
    <n v="358"/>
    <n v="290"/>
    <n v="470"/>
    <n v="5"/>
    <n v="11750"/>
    <x v="103"/>
    <x v="12"/>
    <n v="479"/>
    <s v="Сахар"/>
    <n v="252.7627118644068"/>
    <n v="0.8594514852812982"/>
    <s v="Продимекс"/>
    <n v="240.5"/>
    <d v="2022-08-20T00:00:00"/>
    <x v="284"/>
  </r>
  <r>
    <n v="359"/>
    <n v="386"/>
    <n v="424"/>
    <n v="3"/>
    <n v="6360"/>
    <x v="218"/>
    <x v="19"/>
    <n v="406"/>
    <s v="Крупа"/>
    <n v="255.1162790697674"/>
    <n v="0.6619872379216043"/>
    <s v="Увелка"/>
    <n v="251.9166666666667"/>
    <d v="2022-11-30T00:00:00"/>
    <x v="272"/>
  </r>
  <r>
    <n v="360"/>
    <n v="348"/>
    <n v="147"/>
    <n v="4"/>
    <n v="2940"/>
    <x v="201"/>
    <x v="14"/>
    <n v="157"/>
    <s v="Чипсы"/>
    <n v="273.7254901960785"/>
    <n v="-0.4629656160458453"/>
    <s v="Estrella"/>
    <n v="266.2727272727273"/>
    <d v="2022-08-10T00:00:00"/>
    <x v="16"/>
  </r>
  <r>
    <n v="361"/>
    <n v="350"/>
    <n v="319"/>
    <n v="3"/>
    <n v="4785"/>
    <x v="258"/>
    <x v="0"/>
    <n v="56"/>
    <s v="Фрукты"/>
    <n v="274.1627906976744"/>
    <n v="0.163542285181101"/>
    <s v="Фрукты-Ягоды"/>
    <n v="280.6666666666667"/>
    <d v="2022-04-11T00:00:00"/>
    <x v="285"/>
  </r>
  <r>
    <n v="362"/>
    <n v="126"/>
    <n v="479"/>
    <n v="2"/>
    <n v="4790"/>
    <x v="210"/>
    <x v="16"/>
    <n v="10"/>
    <s v="Сахар"/>
    <n v="252.7627118644068"/>
    <n v="0.8950580030845572"/>
    <s v="Русский сахар"/>
    <n v="293.4117647058824"/>
    <d v="2022-11-16T00:00:00"/>
    <x v="286"/>
  </r>
  <r>
    <n v="363"/>
    <n v="258"/>
    <n v="181"/>
    <n v="5"/>
    <n v="4525"/>
    <x v="259"/>
    <x v="19"/>
    <n v="174"/>
    <s v="Рыба"/>
    <n v="258.5128205128205"/>
    <n v="-0.2998413013291014"/>
    <s v="Санта Бремор"/>
    <n v="216.4"/>
    <d v="2022-08-06T00:00:00"/>
    <x v="287"/>
  </r>
  <r>
    <n v="364"/>
    <n v="325"/>
    <n v="361"/>
    <n v="5"/>
    <n v="9025"/>
    <x v="244"/>
    <x v="3"/>
    <n v="110"/>
    <s v="Сок"/>
    <n v="268.6034482758621"/>
    <n v="0.343988702740869"/>
    <s v="Добрый"/>
    <n v="242.8181818181818"/>
    <d v="2022-01-19T00:00:00"/>
    <x v="288"/>
  </r>
  <r>
    <n v="365"/>
    <n v="320"/>
    <n v="254"/>
    <n v="1"/>
    <n v="1270"/>
    <x v="72"/>
    <x v="11"/>
    <n v="72"/>
    <s v="Конфеты"/>
    <n v="267.8548387096774"/>
    <n v="-0.05172517613054739"/>
    <s v="Бабаевский"/>
    <n v="250.2592592592593"/>
    <d v="2022-12-11T00:00:00"/>
    <x v="289"/>
  </r>
  <r>
    <n v="366"/>
    <n v="329"/>
    <n v="187"/>
    <n v="4"/>
    <n v="3740"/>
    <x v="260"/>
    <x v="12"/>
    <n v="307"/>
    <s v="Соль"/>
    <n v="264.8679245283019"/>
    <n v="-0.293987747542385"/>
    <s v="Славянская"/>
    <n v="236.9166666666667"/>
    <d v="2022-07-22T00:00:00"/>
    <x v="174"/>
  </r>
  <r>
    <n v="367"/>
    <n v="226"/>
    <n v="155"/>
    <n v="4"/>
    <n v="3100"/>
    <x v="167"/>
    <x v="13"/>
    <n v="202"/>
    <s v="Сыр"/>
    <n v="262.6349206349207"/>
    <n v="-0.4098271485555421"/>
    <s v="Карат"/>
    <n v="311.3333333333333"/>
    <d v="2022-07-24T00:00:00"/>
    <x v="290"/>
  </r>
  <r>
    <n v="368"/>
    <n v="270"/>
    <n v="78"/>
    <n v="4"/>
    <n v="1560"/>
    <x v="261"/>
    <x v="16"/>
    <n v="157"/>
    <s v="Соль"/>
    <n v="264.8679245283019"/>
    <n v="-0.7055136059267701"/>
    <s v="Славянская"/>
    <n v="236.9166666666667"/>
    <d v="2022-08-10T00:00:00"/>
    <x v="291"/>
  </r>
  <r>
    <n v="369"/>
    <n v="233"/>
    <n v="478"/>
    <n v="2"/>
    <n v="4780"/>
    <x v="37"/>
    <x v="14"/>
    <n v="270"/>
    <s v="Йогурт"/>
    <n v="263.2542372881356"/>
    <n v="0.8157352562451714"/>
    <s v="Ростагроэкспорт"/>
    <n v="257.7826086956522"/>
    <d v="2022-09-23T00:00:00"/>
    <x v="14"/>
  </r>
  <r>
    <n v="370"/>
    <n v="178"/>
    <n v="176"/>
    <n v="5"/>
    <n v="4400"/>
    <x v="87"/>
    <x v="9"/>
    <n v="65"/>
    <s v="Йогурт"/>
    <n v="263.2542372881356"/>
    <n v="-0.3314447592067988"/>
    <s v="Ростагроэкспорт"/>
    <n v="257.7826086956522"/>
    <d v="2022-03-03T00:00:00"/>
    <x v="41"/>
  </r>
  <r>
    <n v="371"/>
    <n v="293"/>
    <n v="179"/>
    <n v="4"/>
    <n v="3580"/>
    <x v="240"/>
    <x v="3"/>
    <n v="38"/>
    <s v="Конфеты"/>
    <n v="267.8548387096774"/>
    <n v="-0.3317275847534172"/>
    <s v="Бабаевский"/>
    <n v="250.2592592592593"/>
    <d v="2022-09-15T00:00:00"/>
    <x v="52"/>
  </r>
  <r>
    <n v="372"/>
    <n v="286"/>
    <n v="122"/>
    <n v="5"/>
    <n v="3050"/>
    <x v="191"/>
    <x v="5"/>
    <n v="356"/>
    <s v="Йогурт"/>
    <n v="263.2542372881356"/>
    <n v="-0.5365696626319856"/>
    <s v="Ростагроэкспорт"/>
    <n v="257.7826086956522"/>
    <d v="2022-01-09T00:00:00"/>
    <x v="292"/>
  </r>
  <r>
    <n v="373"/>
    <n v="11"/>
    <n v="199"/>
    <n v="4"/>
    <n v="3980"/>
    <x v="262"/>
    <x v="9"/>
    <n v="296"/>
    <s v="Хлеб"/>
    <n v="300.3181818181818"/>
    <n v="-0.3373694566369002"/>
    <s v="Русский Хлеб"/>
    <n v="316.6"/>
    <d v="2022-07-16T00:00:00"/>
    <x v="138"/>
  </r>
  <r>
    <n v="374"/>
    <n v="441"/>
    <n v="173"/>
    <n v="3"/>
    <n v="2595"/>
    <x v="6"/>
    <x v="6"/>
    <n v="62"/>
    <s v="Чай"/>
    <n v="271.1818181818182"/>
    <n v="-0.3620516258799866"/>
    <s v="Lipton"/>
    <n v="260.1578947368421"/>
    <d v="2022-04-20T00:00:00"/>
    <x v="108"/>
  </r>
  <r>
    <n v="375"/>
    <n v="19"/>
    <n v="142"/>
    <n v="3"/>
    <n v="2130"/>
    <x v="211"/>
    <x v="2"/>
    <n v="18"/>
    <s v="Мясо"/>
    <n v="271.7454545454545"/>
    <n v="-0.4774521611133413"/>
    <s v="Снежана"/>
    <n v="272.3529411764706"/>
    <d v="2022-01-17T00:00:00"/>
    <x v="293"/>
  </r>
  <r>
    <n v="376"/>
    <n v="340"/>
    <n v="157"/>
    <n v="2"/>
    <n v="1570"/>
    <x v="263"/>
    <x v="10"/>
    <n v="376"/>
    <s v="Сыр"/>
    <n v="262.6349206349207"/>
    <n v="-0.4022120149885169"/>
    <s v="Карат"/>
    <n v="311.3333333333333"/>
    <d v="2022-06-18T00:00:00"/>
    <x v="294"/>
  </r>
  <r>
    <n v="377"/>
    <n v="142"/>
    <n v="160"/>
    <n v="4"/>
    <n v="3200"/>
    <x v="29"/>
    <x v="2"/>
    <n v="459"/>
    <s v="Фрукты"/>
    <n v="274.1627906976744"/>
    <n v="-0.4164051234201375"/>
    <s v="Фруктовый Рай"/>
    <n v="258.3076923076923"/>
    <d v="2022-07-01T00:00:00"/>
    <x v="116"/>
  </r>
  <r>
    <n v="378"/>
    <n v="452"/>
    <n v="325"/>
    <n v="2"/>
    <n v="3250"/>
    <x v="264"/>
    <x v="7"/>
    <n v="88"/>
    <s v="Фрукты"/>
    <n v="274.1627906976744"/>
    <n v="0.1854270930528459"/>
    <s v="Экзотик"/>
    <n v="253.6875"/>
    <d v="2022-03-10T00:00:00"/>
    <x v="295"/>
  </r>
  <r>
    <n v="379"/>
    <n v="340"/>
    <n v="457"/>
    <n v="1"/>
    <n v="2285"/>
    <x v="212"/>
    <x v="5"/>
    <n v="325"/>
    <s v="Сыр"/>
    <n v="262.6349206349207"/>
    <n v="0.7400580200652724"/>
    <s v="Карат"/>
    <n v="311.3333333333333"/>
    <d v="2022-11-10T00:00:00"/>
    <x v="296"/>
  </r>
  <r>
    <n v="380"/>
    <n v="466"/>
    <n v="425"/>
    <n v="5"/>
    <n v="10625"/>
    <x v="265"/>
    <x v="13"/>
    <n v="129"/>
    <s v="Фрукты"/>
    <n v="274.1627906976744"/>
    <n v="0.5501738909152598"/>
    <s v="Green Garden"/>
    <n v="369.2"/>
    <d v="2022-11-03T00:00:00"/>
    <x v="34"/>
  </r>
  <r>
    <n v="381"/>
    <n v="71"/>
    <n v="125"/>
    <n v="4"/>
    <n v="2500"/>
    <x v="248"/>
    <x v="9"/>
    <n v="19"/>
    <s v="Печенье"/>
    <n v="283.468085106383"/>
    <n v="-0.5590332507693463"/>
    <s v="Белогорье"/>
    <n v="249.5"/>
    <d v="2022-12-07T00:00:00"/>
    <x v="297"/>
  </r>
  <r>
    <n v="382"/>
    <n v="451"/>
    <n v="227"/>
    <n v="3"/>
    <n v="3405"/>
    <x v="266"/>
    <x v="10"/>
    <n v="304"/>
    <s v="Рис"/>
    <n v="258.375"/>
    <n v="-0.1214320270924044"/>
    <s v="Белый Злат"/>
    <n v="269.7058823529412"/>
    <d v="2022-11-21T00:00:00"/>
    <x v="298"/>
  </r>
  <r>
    <n v="383"/>
    <n v="116"/>
    <n v="426"/>
    <n v="5"/>
    <n v="10650"/>
    <x v="69"/>
    <x v="17"/>
    <n v="285"/>
    <s v="Соль"/>
    <n v="264.8679245283019"/>
    <n v="0.6083487676307167"/>
    <s v="Экстра"/>
    <n v="320.8461538461539"/>
    <d v="2022-12-27T00:00:00"/>
    <x v="299"/>
  </r>
  <r>
    <n v="384"/>
    <n v="480"/>
    <n v="70"/>
    <n v="1"/>
    <n v="350"/>
    <x v="212"/>
    <x v="2"/>
    <n v="464"/>
    <s v="Молоко"/>
    <n v="294.952380952381"/>
    <n v="-0.7626735550532774"/>
    <s v="Беллакт"/>
    <n v="322.5454545454546"/>
    <d v="2022-09-23T00:00:00"/>
    <x v="300"/>
  </r>
  <r>
    <n v="385"/>
    <n v="409"/>
    <n v="386"/>
    <n v="1"/>
    <n v="1930"/>
    <x v="231"/>
    <x v="5"/>
    <n v="461"/>
    <s v="Фрукты"/>
    <n v="274.1627906976744"/>
    <n v="0.4079226397489184"/>
    <s v="Фруктовый Рай"/>
    <n v="258.3076923076923"/>
    <d v="2022-04-16T00:00:00"/>
    <x v="275"/>
  </r>
  <r>
    <n v="386"/>
    <n v="129"/>
    <n v="235"/>
    <n v="2"/>
    <n v="2350"/>
    <x v="267"/>
    <x v="2"/>
    <n v="149"/>
    <s v="Мясо"/>
    <n v="271.7454545454545"/>
    <n v="-0.1352201257861635"/>
    <s v="Агрокомплекс"/>
    <n v="311.2"/>
    <d v="2022-11-17T00:00:00"/>
    <x v="301"/>
  </r>
  <r>
    <n v="387"/>
    <n v="283"/>
    <n v="107"/>
    <n v="3"/>
    <n v="1605"/>
    <x v="152"/>
    <x v="10"/>
    <n v="222"/>
    <s v="Конфеты"/>
    <n v="267.8548387096774"/>
    <n v="-0.6005298970313724"/>
    <s v="Рот Фронт"/>
    <n v="288.2380952380952"/>
    <d v="2022-05-13T00:00:00"/>
    <x v="302"/>
  </r>
  <r>
    <n v="388"/>
    <n v="36"/>
    <n v="83"/>
    <n v="4"/>
    <n v="1660"/>
    <x v="176"/>
    <x v="5"/>
    <n v="333"/>
    <s v="Макароны"/>
    <n v="265.4767441860465"/>
    <n v="-0.6873549121808068"/>
    <s v="Роллтон"/>
    <n v="235.5555555555555"/>
    <d v="2022-10-23T00:00:00"/>
    <x v="11"/>
  </r>
  <r>
    <n v="389"/>
    <n v="290"/>
    <n v="50"/>
    <n v="5"/>
    <n v="1250"/>
    <x v="268"/>
    <x v="9"/>
    <n v="495"/>
    <s v="Сахар"/>
    <n v="252.7627118644068"/>
    <n v="-0.8021860122041172"/>
    <s v="Продимекс"/>
    <n v="240.5"/>
    <d v="2022-04-03T00:00:00"/>
    <x v="303"/>
  </r>
  <r>
    <n v="390"/>
    <n v="229"/>
    <n v="269"/>
    <n v="5"/>
    <n v="6725"/>
    <x v="199"/>
    <x v="6"/>
    <n v="278"/>
    <s v="Мясо"/>
    <n v="271.7454545454545"/>
    <n v="-0.01010303760203402"/>
    <s v="Сава"/>
    <n v="212.8125"/>
    <d v="2022-12-25T00:00:00"/>
    <x v="62"/>
  </r>
  <r>
    <n v="391"/>
    <n v="313"/>
    <n v="385"/>
    <n v="4"/>
    <n v="7700"/>
    <x v="269"/>
    <x v="10"/>
    <n v="246"/>
    <s v="Конфеты"/>
    <n v="267.8548387096774"/>
    <n v="0.4373456975973986"/>
    <s v="Бабаевский"/>
    <n v="250.2592592592593"/>
    <d v="2022-09-01T00:00:00"/>
    <x v="304"/>
  </r>
  <r>
    <n v="392"/>
    <n v="368"/>
    <n v="64"/>
    <n v="5"/>
    <n v="1600"/>
    <x v="270"/>
    <x v="4"/>
    <n v="480"/>
    <s v="Сыр"/>
    <n v="262.6349206349207"/>
    <n v="-0.7563157258551916"/>
    <s v="Сырная долина"/>
    <n v="271"/>
    <d v="2022-01-07T00:00:00"/>
    <x v="305"/>
  </r>
  <r>
    <n v="393"/>
    <n v="322"/>
    <n v="223"/>
    <n v="2"/>
    <n v="2230"/>
    <x v="271"/>
    <x v="7"/>
    <n v="205"/>
    <s v="Крупа"/>
    <n v="255.1162790697674"/>
    <n v="-0.1258887876025524"/>
    <s v="Увелка"/>
    <n v="251.9166666666667"/>
    <d v="2022-12-23T00:00:00"/>
    <x v="260"/>
  </r>
  <r>
    <n v="394"/>
    <n v="206"/>
    <n v="226"/>
    <n v="2"/>
    <n v="2260"/>
    <x v="131"/>
    <x v="7"/>
    <n v="357"/>
    <s v="Молоко"/>
    <n v="294.952380952381"/>
    <n v="-0.2337746206005812"/>
    <s v="Домик в деревне"/>
    <n v="274.7777777777778"/>
    <d v="2022-12-18T00:00:00"/>
    <x v="202"/>
  </r>
  <r>
    <n v="395"/>
    <n v="18"/>
    <n v="459"/>
    <n v="3"/>
    <n v="6885"/>
    <x v="272"/>
    <x v="8"/>
    <n v="152"/>
    <s v="Рыба"/>
    <n v="258.5128205128205"/>
    <n v="0.7755405673477487"/>
    <s v="Меридиан"/>
    <n v="260.6470588235294"/>
    <d v="2022-08-18T00:00:00"/>
    <x v="273"/>
  </r>
  <r>
    <n v="396"/>
    <n v="145"/>
    <n v="455"/>
    <n v="3"/>
    <n v="6825"/>
    <x v="273"/>
    <x v="14"/>
    <n v="323"/>
    <s v="Овощи"/>
    <n v="250.4878048780488"/>
    <n v="0.8164556962025316"/>
    <s v="Семко"/>
    <n v="208"/>
    <d v="2022-09-17T00:00:00"/>
    <x v="306"/>
  </r>
  <r>
    <n v="397"/>
    <n v="491"/>
    <n v="193"/>
    <n v="1"/>
    <n v="965"/>
    <x v="274"/>
    <x v="6"/>
    <n v="185"/>
    <s v="Овощи"/>
    <n v="250.4878048780488"/>
    <n v="-0.2295034079844207"/>
    <s v="Зеленая грядка"/>
    <n v="159.2"/>
    <d v="2022-05-02T00:00:00"/>
    <x v="307"/>
  </r>
  <r>
    <n v="398"/>
    <n v="258"/>
    <n v="113"/>
    <n v="1"/>
    <n v="565"/>
    <x v="148"/>
    <x v="16"/>
    <n v="314"/>
    <s v="Рыба"/>
    <n v="258.5128205128205"/>
    <n v="-0.5628843483435826"/>
    <s v="Санта Бремор"/>
    <n v="216.4"/>
    <d v="2022-12-04T00:00:00"/>
    <x v="24"/>
  </r>
  <r>
    <n v="399"/>
    <n v="29"/>
    <n v="91"/>
    <n v="5"/>
    <n v="2275"/>
    <x v="275"/>
    <x v="0"/>
    <n v="476"/>
    <s v="Соль"/>
    <n v="264.8679245283019"/>
    <n v="-0.6564325402478985"/>
    <s v="Илецкая"/>
    <n v="238.1666666666667"/>
    <d v="2022-05-22T00:00:00"/>
    <x v="308"/>
  </r>
  <r>
    <n v="400"/>
    <n v="321"/>
    <n v="61"/>
    <n v="5"/>
    <n v="1525"/>
    <x v="42"/>
    <x v="12"/>
    <n v="375"/>
    <s v="Мясо"/>
    <n v="271.7454545454545"/>
    <n v="-0.7755252241402382"/>
    <s v="Сава"/>
    <n v="212.8125"/>
    <d v="2022-04-23T00:00:00"/>
    <x v="230"/>
  </r>
  <r>
    <n v="401"/>
    <n v="50"/>
    <n v="95"/>
    <n v="4"/>
    <n v="1900"/>
    <x v="129"/>
    <x v="12"/>
    <n v="376"/>
    <s v="Сок"/>
    <n v="268.6034482758621"/>
    <n v="-0.6463187624366133"/>
    <s v="Добрый"/>
    <n v="242.8181818181818"/>
    <d v="2022-06-18T00:00:00"/>
    <x v="12"/>
  </r>
  <r>
    <n v="402"/>
    <n v="495"/>
    <n v="469"/>
    <n v="2"/>
    <n v="4690"/>
    <x v="27"/>
    <x v="16"/>
    <n v="233"/>
    <s v="Чай"/>
    <n v="271.1818181818182"/>
    <n v="0.7294669795507878"/>
    <s v="Greenfield"/>
    <n v="291.4545454545454"/>
    <d v="2022-02-24T00:00:00"/>
    <x v="309"/>
  </r>
  <r>
    <n v="403"/>
    <n v="207"/>
    <n v="237"/>
    <n v="2"/>
    <n v="2370"/>
    <x v="138"/>
    <x v="3"/>
    <n v="69"/>
    <s v="Сахар"/>
    <n v="252.7627118644068"/>
    <n v="-0.06236169784751555"/>
    <s v="Агросахар"/>
    <n v="215.8571428571429"/>
    <d v="2022-01-26T00:00:00"/>
    <x v="117"/>
  </r>
  <r>
    <n v="404"/>
    <n v="145"/>
    <n v="356"/>
    <n v="3"/>
    <n v="5340"/>
    <x v="276"/>
    <x v="0"/>
    <n v="254"/>
    <s v="Овощи"/>
    <n v="250.4878048780488"/>
    <n v="0.4212268743914314"/>
    <s v="Семко"/>
    <n v="208"/>
    <d v="2022-10-28T00:00:00"/>
    <x v="310"/>
  </r>
  <r>
    <n v="405"/>
    <n v="249"/>
    <n v="275"/>
    <n v="3"/>
    <n v="4125"/>
    <x v="103"/>
    <x v="15"/>
    <n v="219"/>
    <s v="Чай"/>
    <n v="271.1818181818182"/>
    <n v="0.01407978545088828"/>
    <s v="Lipton"/>
    <n v="260.1578947368421"/>
    <d v="2022-01-24T00:00:00"/>
    <x v="311"/>
  </r>
  <r>
    <n v="406"/>
    <n v="377"/>
    <n v="129"/>
    <n v="1"/>
    <n v="645"/>
    <x v="277"/>
    <x v="4"/>
    <n v="456"/>
    <s v="Колбаса"/>
    <n v="286.9230769230769"/>
    <n v="-0.5504021447721179"/>
    <s v="Окраина"/>
    <n v="273.5833333333333"/>
    <d v="2022-02-26T00:00:00"/>
    <x v="15"/>
  </r>
  <r>
    <n v="407"/>
    <n v="427"/>
    <n v="499"/>
    <n v="4"/>
    <n v="9980"/>
    <x v="27"/>
    <x v="15"/>
    <n v="283"/>
    <s v="Хлеб"/>
    <n v="300.3181818181818"/>
    <n v="0.6615710609959136"/>
    <s v="Русский Хлеб"/>
    <n v="316.6"/>
    <d v="2022-11-24T00:00:00"/>
    <x v="312"/>
  </r>
  <r>
    <n v="408"/>
    <n v="445"/>
    <n v="164"/>
    <n v="2"/>
    <n v="1640"/>
    <x v="240"/>
    <x v="7"/>
    <n v="232"/>
    <s v="Сахар"/>
    <n v="252.7627118644068"/>
    <n v="-0.3511701200295044"/>
    <s v="Сладов"/>
    <n v="240.2666666666667"/>
    <d v="2022-12-28T00:00:00"/>
    <x v="187"/>
  </r>
  <r>
    <n v="409"/>
    <n v="336"/>
    <n v="265"/>
    <n v="3"/>
    <n v="3975"/>
    <x v="278"/>
    <x v="1"/>
    <n v="434"/>
    <s v="Чипсы"/>
    <n v="273.7254901960785"/>
    <n v="-0.03187679083094563"/>
    <s v="Estrella"/>
    <n v="266.2727272727273"/>
    <d v="2022-06-18T00:00:00"/>
    <x v="281"/>
  </r>
  <r>
    <n v="410"/>
    <n v="96"/>
    <n v="386"/>
    <n v="4"/>
    <n v="7720"/>
    <x v="279"/>
    <x v="9"/>
    <n v="252"/>
    <s v="Соль"/>
    <n v="264.8679245283019"/>
    <n v="0.4573301040034192"/>
    <s v="Салта"/>
    <n v="273.7"/>
    <d v="2022-03-23T00:00:00"/>
    <x v="313"/>
  </r>
  <r>
    <n v="411"/>
    <n v="117"/>
    <n v="288"/>
    <n v="5"/>
    <n v="7200"/>
    <x v="280"/>
    <x v="11"/>
    <n v="372"/>
    <s v="Макароны"/>
    <n v="265.4767441860465"/>
    <n v="0.08484078664973072"/>
    <s v="Роллтон"/>
    <n v="235.5555555555555"/>
    <d v="2022-07-30T00:00:00"/>
    <x v="210"/>
  </r>
  <r>
    <n v="412"/>
    <n v="440"/>
    <n v="201"/>
    <n v="5"/>
    <n v="5025"/>
    <x v="281"/>
    <x v="14"/>
    <n v="432"/>
    <s v="Фрукты"/>
    <n v="274.1627906976744"/>
    <n v="-0.2668589362965477"/>
    <s v="Фруктовый Рай"/>
    <n v="258.3076923076923"/>
    <d v="2022-06-06T00:00:00"/>
    <x v="314"/>
  </r>
  <r>
    <n v="413"/>
    <n v="51"/>
    <n v="271"/>
    <n v="4"/>
    <n v="5420"/>
    <x v="282"/>
    <x v="7"/>
    <n v="221"/>
    <s v="Колбаса"/>
    <n v="286.9230769230769"/>
    <n v="-0.05549597855227872"/>
    <s v="Дымов"/>
    <n v="312.6666666666667"/>
    <d v="2022-09-16T00:00:00"/>
    <x v="86"/>
  </r>
  <r>
    <n v="414"/>
    <n v="398"/>
    <n v="419"/>
    <n v="2"/>
    <n v="4190"/>
    <x v="165"/>
    <x v="16"/>
    <n v="164"/>
    <s v="Сок"/>
    <n v="268.6034482758621"/>
    <n v="0.559920405674305"/>
    <s v="Фруктовый сад"/>
    <n v="281.96875"/>
    <d v="2022-04-27T00:00:00"/>
    <x v="315"/>
  </r>
  <r>
    <n v="415"/>
    <n v="443"/>
    <n v="192"/>
    <n v="5"/>
    <n v="4800"/>
    <x v="108"/>
    <x v="14"/>
    <n v="413"/>
    <s v="Кофе"/>
    <n v="249.0238095238095"/>
    <n v="-0.2289893871307008"/>
    <s v="Jacobs"/>
    <n v="276.2105263157895"/>
    <d v="2022-05-18T00:00:00"/>
    <x v="217"/>
  </r>
  <r>
    <n v="416"/>
    <n v="118"/>
    <n v="193"/>
    <n v="2"/>
    <n v="1930"/>
    <x v="53"/>
    <x v="3"/>
    <n v="148"/>
    <s v="Сахар"/>
    <n v="252.7627118644068"/>
    <n v="-0.2364380071078924"/>
    <s v="Продимекс"/>
    <n v="240.5"/>
    <d v="2022-05-19T00:00:00"/>
    <x v="316"/>
  </r>
  <r>
    <n v="417"/>
    <n v="371"/>
    <n v="245"/>
    <n v="1"/>
    <n v="1225"/>
    <x v="225"/>
    <x v="19"/>
    <n v="209"/>
    <s v="Сахар"/>
    <n v="252.7627118644068"/>
    <n v="-0.03071145980017431"/>
    <s v="Русский сахар"/>
    <n v="293.4117647058824"/>
    <d v="2022-03-08T00:00:00"/>
    <x v="317"/>
  </r>
  <r>
    <n v="418"/>
    <n v="216"/>
    <n v="209"/>
    <n v="3"/>
    <n v="3135"/>
    <x v="283"/>
    <x v="8"/>
    <n v="263"/>
    <s v="Кофе"/>
    <n v="249.0238095238095"/>
    <n v="-0.1607228224495649"/>
    <s v="Черная Карта"/>
    <n v="222.2"/>
    <d v="2022-02-20T00:00:00"/>
    <x v="318"/>
  </r>
  <r>
    <n v="419"/>
    <n v="390"/>
    <n v="120"/>
    <n v="1"/>
    <n v="600"/>
    <x v="105"/>
    <x v="6"/>
    <n v="449"/>
    <s v="Сок"/>
    <n v="268.6034482758621"/>
    <n v="-0.5532447525515116"/>
    <s v="Сады Придонья"/>
    <n v="254.1818181818182"/>
    <d v="2022-03-25T00:00:00"/>
    <x v="319"/>
  </r>
  <r>
    <n v="420"/>
    <n v="14"/>
    <n v="251"/>
    <n v="1"/>
    <n v="1255"/>
    <x v="79"/>
    <x v="15"/>
    <n v="321"/>
    <s v="Сок"/>
    <n v="268.6034482758621"/>
    <n v="-0.06553694075357863"/>
    <s v="Rich"/>
    <n v="272.25"/>
    <d v="2022-07-14T00:00:00"/>
    <x v="84"/>
  </r>
  <r>
    <n v="421"/>
    <n v="451"/>
    <n v="443"/>
    <n v="4"/>
    <n v="8860"/>
    <x v="95"/>
    <x v="18"/>
    <n v="101"/>
    <s v="Рис"/>
    <n v="258.375"/>
    <n v="0.7145621673923561"/>
    <s v="Белый Злат"/>
    <n v="269.7058823529412"/>
    <d v="2022-06-15T00:00:00"/>
    <x v="320"/>
  </r>
  <r>
    <n v="422"/>
    <n v="312"/>
    <n v="234"/>
    <n v="1"/>
    <n v="1170"/>
    <x v="284"/>
    <x v="9"/>
    <n v="124"/>
    <s v="Хлеб"/>
    <n v="300.3181818181818"/>
    <n v="-0.2208263962464053"/>
    <s v="Каравай"/>
    <n v="331.1666666666667"/>
    <d v="2022-08-22T00:00:00"/>
    <x v="58"/>
  </r>
  <r>
    <n v="423"/>
    <n v="217"/>
    <n v="260"/>
    <n v="5"/>
    <n v="6500"/>
    <x v="180"/>
    <x v="4"/>
    <n v="257"/>
    <s v="Мясо"/>
    <n v="271.7454545454545"/>
    <n v="-0.04322226682724473"/>
    <s v="Агрокомплекс"/>
    <n v="311.2"/>
    <d v="2022-05-20T00:00:00"/>
    <x v="142"/>
  </r>
  <r>
    <n v="424"/>
    <n v="10"/>
    <n v="203"/>
    <n v="4"/>
    <n v="4060"/>
    <x v="194"/>
    <x v="4"/>
    <n v="276"/>
    <s v="Сок"/>
    <n v="268.6034482758621"/>
    <n v="-0.2442390397329739"/>
    <s v="Фруктовый сад"/>
    <n v="281.96875"/>
    <d v="2022-03-12T00:00:00"/>
    <x v="321"/>
  </r>
  <r>
    <n v="425"/>
    <n v="60"/>
    <n v="251"/>
    <n v="2"/>
    <n v="2510"/>
    <x v="143"/>
    <x v="17"/>
    <n v="309"/>
    <s v="Кофе"/>
    <n v="249.0238095238095"/>
    <n v="0.007935749115594248"/>
    <s v="Jacobs"/>
    <n v="276.2105263157895"/>
    <d v="2022-05-30T00:00:00"/>
    <x v="322"/>
  </r>
  <r>
    <n v="426"/>
    <n v="74"/>
    <n v="210"/>
    <n v="3"/>
    <n v="3150"/>
    <x v="165"/>
    <x v="9"/>
    <n v="319"/>
    <s v="Колбаса"/>
    <n v="286.9230769230769"/>
    <n v="-0.2680965147453083"/>
    <s v="Черкизово"/>
    <n v="320.25"/>
    <d v="2022-04-23T00:00:00"/>
    <x v="68"/>
  </r>
  <r>
    <n v="427"/>
    <n v="116"/>
    <n v="295"/>
    <n v="1"/>
    <n v="1475"/>
    <x v="127"/>
    <x v="2"/>
    <n v="359"/>
    <s v="Соль"/>
    <n v="264.8679245283019"/>
    <n v="0.1137626442513178"/>
    <s v="Экстра"/>
    <n v="320.8461538461539"/>
    <d v="2022-01-23T00:00:00"/>
    <x v="309"/>
  </r>
  <r>
    <n v="428"/>
    <n v="401"/>
    <n v="78"/>
    <n v="3"/>
    <n v="1170"/>
    <x v="285"/>
    <x v="2"/>
    <n v="395"/>
    <s v="Чай"/>
    <n v="271.1818181818182"/>
    <n v="-0.7123700972175662"/>
    <s v="Greenfield"/>
    <n v="291.4545454545454"/>
    <d v="2022-11-25T00:00:00"/>
    <x v="323"/>
  </r>
  <r>
    <n v="429"/>
    <n v="348"/>
    <n v="162"/>
    <n v="2"/>
    <n v="1620"/>
    <x v="286"/>
    <x v="11"/>
    <n v="107"/>
    <s v="Чипсы"/>
    <n v="273.7254901960785"/>
    <n v="-0.4081661891117478"/>
    <s v="Estrella"/>
    <n v="266.2727272727273"/>
    <d v="2022-07-02T00:00:00"/>
    <x v="324"/>
  </r>
  <r>
    <n v="430"/>
    <n v="382"/>
    <n v="278"/>
    <n v="2"/>
    <n v="2780"/>
    <x v="287"/>
    <x v="17"/>
    <n v="103"/>
    <s v="Овощи"/>
    <n v="250.4878048780488"/>
    <n v="0.1098344693281401"/>
    <s v="Овощной ряд"/>
    <n v="303.8235294117647"/>
    <d v="2022-08-14T00:00:00"/>
    <x v="325"/>
  </r>
  <r>
    <n v="431"/>
    <n v="477"/>
    <n v="420"/>
    <n v="1"/>
    <n v="2100"/>
    <x v="250"/>
    <x v="3"/>
    <n v="221"/>
    <s v="Макароны"/>
    <n v="265.4767441860465"/>
    <n v="0.5820594805308572"/>
    <s v="Борилла"/>
    <n v="236.2758620689655"/>
    <d v="2022-09-16T00:00:00"/>
    <x v="103"/>
  </r>
  <r>
    <n v="432"/>
    <n v="91"/>
    <n v="413"/>
    <n v="2"/>
    <n v="4130"/>
    <x v="87"/>
    <x v="11"/>
    <n v="31"/>
    <s v="Сыр"/>
    <n v="262.6349206349207"/>
    <n v="0.5725250815907166"/>
    <s v="Сырная долина"/>
    <n v="271"/>
    <d v="2022-01-19T00:00:00"/>
    <x v="326"/>
  </r>
  <r>
    <n v="433"/>
    <n v="52"/>
    <n v="272"/>
    <n v="3"/>
    <n v="4080"/>
    <x v="288"/>
    <x v="1"/>
    <n v="306"/>
    <s v="Соль"/>
    <n v="264.8679245283019"/>
    <n v="0.02692691266562175"/>
    <s v="Илецкая"/>
    <n v="238.1666666666667"/>
    <d v="2022-11-07T00:00:00"/>
    <x v="327"/>
  </r>
  <r>
    <n v="434"/>
    <n v="438"/>
    <n v="435"/>
    <n v="1"/>
    <n v="2175"/>
    <x v="213"/>
    <x v="19"/>
    <n v="383"/>
    <s v="Кофе"/>
    <n v="249.0238095238095"/>
    <n v="0.7468209197820059"/>
    <s v="Nescafe"/>
    <n v="256.9"/>
    <d v="2022-11-11T00:00:00"/>
    <x v="328"/>
  </r>
  <r>
    <n v="435"/>
    <n v="384"/>
    <n v="303"/>
    <n v="2"/>
    <n v="3030"/>
    <x v="4"/>
    <x v="6"/>
    <n v="235"/>
    <s v="Сахар"/>
    <n v="252.7627118644068"/>
    <n v="0.1987527660430497"/>
    <s v="Сладов"/>
    <n v="240.2666666666667"/>
    <d v="2022-03-15T00:00:00"/>
    <x v="84"/>
  </r>
  <r>
    <n v="436"/>
    <n v="473"/>
    <n v="231"/>
    <n v="3"/>
    <n v="3465"/>
    <x v="289"/>
    <x v="3"/>
    <n v="448"/>
    <s v="Хлеб"/>
    <n v="300.3181818181818"/>
    <n v="-0.2308158014227335"/>
    <s v="Хлебный Дом"/>
    <n v="281.7333333333333"/>
    <d v="2022-07-28T00:00:00"/>
    <x v="155"/>
  </r>
  <r>
    <n v="437"/>
    <n v="383"/>
    <n v="429"/>
    <n v="4"/>
    <n v="8580"/>
    <x v="290"/>
    <x v="12"/>
    <n v="367"/>
    <s v="Фрукты"/>
    <n v="274.1627906976744"/>
    <n v="0.5647637628297564"/>
    <s v="Фруктовый Рай"/>
    <n v="258.3076923076923"/>
    <d v="2022-11-02T00:00:00"/>
    <x v="329"/>
  </r>
  <r>
    <n v="438"/>
    <n v="406"/>
    <n v="87"/>
    <n v="2"/>
    <n v="870"/>
    <x v="291"/>
    <x v="11"/>
    <n v="255"/>
    <s v="Сок"/>
    <n v="268.6034482758621"/>
    <n v="-0.676102445599846"/>
    <s v="Фруктовый сад"/>
    <n v="281.96875"/>
    <d v="2022-08-20T00:00:00"/>
    <x v="141"/>
  </r>
  <r>
    <n v="439"/>
    <n v="252"/>
    <n v="50"/>
    <n v="1"/>
    <n v="250"/>
    <x v="111"/>
    <x v="7"/>
    <n v="138"/>
    <s v="Чай"/>
    <n v="271.1818181818182"/>
    <n v="-0.8156218571907475"/>
    <s v="Lipton"/>
    <n v="260.1578947368421"/>
    <d v="2022-06-11T00:00:00"/>
    <x v="45"/>
  </r>
  <r>
    <n v="440"/>
    <n v="365"/>
    <n v="127"/>
    <n v="1"/>
    <n v="635"/>
    <x v="187"/>
    <x v="11"/>
    <n v="158"/>
    <s v="Мясо"/>
    <n v="271.7454545454545"/>
    <n v="-0.5326508764886926"/>
    <s v="Агрокомплекс"/>
    <n v="311.2"/>
    <d v="2022-07-10T00:00:00"/>
    <x v="216"/>
  </r>
  <r>
    <n v="441"/>
    <n v="420"/>
    <n v="390"/>
    <n v="3"/>
    <n v="5850"/>
    <x v="87"/>
    <x v="1"/>
    <n v="217"/>
    <s v="Хлеб"/>
    <n v="300.3181818181818"/>
    <n v="0.2986226729226578"/>
    <s v="Хлебный Дом"/>
    <n v="281.7333333333333"/>
    <d v="2022-09-22T00:00:00"/>
    <x v="317"/>
  </r>
  <r>
    <n v="442"/>
    <n v="97"/>
    <n v="298"/>
    <n v="2"/>
    <n v="2980"/>
    <x v="246"/>
    <x v="9"/>
    <n v="102"/>
    <s v="Печенье"/>
    <n v="283.468085106383"/>
    <n v="0.0512647301658784"/>
    <s v="КДВ"/>
    <n v="323.0769230769231"/>
    <d v="2022-06-11T00:00:00"/>
    <x v="330"/>
  </r>
  <r>
    <n v="443"/>
    <n v="217"/>
    <n v="471"/>
    <n v="3"/>
    <n v="7065"/>
    <x v="292"/>
    <x v="6"/>
    <n v="425"/>
    <s v="Мясо"/>
    <n v="271.7454545454545"/>
    <n v="0.7332396627860296"/>
    <s v="Агрокомплекс"/>
    <n v="311.2"/>
    <d v="2022-08-09T00:00:00"/>
    <x v="156"/>
  </r>
  <r>
    <n v="444"/>
    <n v="47"/>
    <n v="315"/>
    <n v="3"/>
    <n v="4725"/>
    <x v="222"/>
    <x v="14"/>
    <n v="140"/>
    <s v="Мясо"/>
    <n v="271.7454545454545"/>
    <n v="0.1591730228823764"/>
    <s v="Снежана"/>
    <n v="272.3529411764706"/>
    <d v="2022-03-07T00:00:00"/>
    <x v="331"/>
  </r>
  <r>
    <n v="445"/>
    <n v="346"/>
    <n v="267"/>
    <n v="3"/>
    <n v="4005"/>
    <x v="38"/>
    <x v="13"/>
    <n v="385"/>
    <s v="Чай"/>
    <n v="271.1818181818182"/>
    <n v="-0.01542071739859208"/>
    <s v="Greenfield"/>
    <n v="291.4545454545454"/>
    <d v="2022-07-11T00:00:00"/>
    <x v="203"/>
  </r>
  <r>
    <n v="446"/>
    <n v="47"/>
    <n v="476"/>
    <n v="4"/>
    <n v="9520"/>
    <x v="293"/>
    <x v="5"/>
    <n v="43"/>
    <s v="Мясо"/>
    <n v="271.7454545454545"/>
    <n v="0.7516392345778133"/>
    <s v="Снежана"/>
    <n v="272.3529411764706"/>
    <d v="2022-12-17T00:00:00"/>
    <x v="332"/>
  </r>
  <r>
    <n v="447"/>
    <n v="290"/>
    <n v="97"/>
    <n v="4"/>
    <n v="1940"/>
    <x v="294"/>
    <x v="11"/>
    <n v="326"/>
    <s v="Сахар"/>
    <n v="252.7627118644068"/>
    <n v="-0.6162408636759874"/>
    <s v="Продимекс"/>
    <n v="240.5"/>
    <d v="2022-04-04T00:00:00"/>
    <x v="100"/>
  </r>
  <r>
    <n v="448"/>
    <n v="484"/>
    <n v="114"/>
    <n v="1"/>
    <n v="570"/>
    <x v="295"/>
    <x v="19"/>
    <n v="402"/>
    <s v="Печенье"/>
    <n v="283.468085106383"/>
    <n v="-0.5978383247016439"/>
    <s v="КДВ"/>
    <n v="323.0769230769231"/>
    <d v="2022-06-30T00:00:00"/>
    <x v="333"/>
  </r>
  <r>
    <n v="449"/>
    <n v="192"/>
    <n v="147"/>
    <n v="1"/>
    <n v="735"/>
    <x v="296"/>
    <x v="7"/>
    <n v="23"/>
    <s v="Мясо"/>
    <n v="271.7454545454545"/>
    <n v="-0.4590525893215576"/>
    <s v="Снежана"/>
    <n v="272.3529411764706"/>
    <d v="2022-05-25T00:00:00"/>
    <x v="334"/>
  </r>
  <r>
    <n v="450"/>
    <n v="187"/>
    <n v="185"/>
    <n v="2"/>
    <n v="1850"/>
    <x v="246"/>
    <x v="8"/>
    <n v="468"/>
    <s v="Макароны"/>
    <n v="265.4767441860465"/>
    <n v="-0.3031404669090272"/>
    <s v="Паста Зара"/>
    <n v="276.6756756756757"/>
    <d v="2022-02-27T00:00:00"/>
    <x v="320"/>
  </r>
  <r>
    <n v="451"/>
    <n v="429"/>
    <n v="368"/>
    <n v="2"/>
    <n v="3680"/>
    <x v="297"/>
    <x v="6"/>
    <n v="16"/>
    <s v="Крупа"/>
    <n v="255.1162790697674"/>
    <n v="0.4424794895168642"/>
    <s v="Увелка"/>
    <n v="251.9166666666667"/>
    <d v="2022-06-01T00:00:00"/>
    <x v="124"/>
  </r>
  <r>
    <n v="452"/>
    <n v="93"/>
    <n v="387"/>
    <n v="2"/>
    <n v="3870"/>
    <x v="298"/>
    <x v="8"/>
    <n v="156"/>
    <s v="Чай"/>
    <n v="271.1818181818182"/>
    <n v="0.4270868253436138"/>
    <s v="Greenfield"/>
    <n v="291.4545454545454"/>
    <d v="2022-12-10T00:00:00"/>
    <x v="335"/>
  </r>
  <r>
    <n v="453"/>
    <n v="57"/>
    <n v="174"/>
    <n v="2"/>
    <n v="1740"/>
    <x v="62"/>
    <x v="7"/>
    <n v="141"/>
    <s v="Печенье"/>
    <n v="283.468085106383"/>
    <n v="-0.38617428507093"/>
    <s v="Юбилейное"/>
    <n v="232.4444444444445"/>
    <d v="2022-07-01T00:00:00"/>
    <x v="336"/>
  </r>
  <r>
    <n v="454"/>
    <n v="198"/>
    <n v="438"/>
    <n v="4"/>
    <n v="8760"/>
    <x v="299"/>
    <x v="15"/>
    <n v="385"/>
    <s v="Мясо"/>
    <n v="271.7454545454545"/>
    <n v="0.6118024889602569"/>
    <s v="Мираторг"/>
    <n v="316.5833333333333"/>
    <d v="2022-07-11T00:00:00"/>
    <x v="337"/>
  </r>
  <r>
    <n v="455"/>
    <n v="202"/>
    <n v="308"/>
    <n v="2"/>
    <n v="3080"/>
    <x v="300"/>
    <x v="12"/>
    <n v="182"/>
    <s v="Овощи"/>
    <n v="250.4878048780488"/>
    <n v="0.2296007789678676"/>
    <s v="Овощной ряд"/>
    <n v="303.8235294117647"/>
    <d v="2022-10-22T00:00:00"/>
    <x v="338"/>
  </r>
  <r>
    <n v="456"/>
    <n v="427"/>
    <n v="240"/>
    <n v="1"/>
    <n v="1200"/>
    <x v="301"/>
    <x v="2"/>
    <n v="225"/>
    <s v="Хлеб"/>
    <n v="300.3181818181818"/>
    <n v="-0.2008475858937491"/>
    <s v="Русский Хлеб"/>
    <n v="316.6"/>
    <d v="2022-09-23T00:00:00"/>
    <x v="219"/>
  </r>
  <r>
    <n v="457"/>
    <n v="272"/>
    <n v="67"/>
    <n v="3"/>
    <n v="1005"/>
    <x v="245"/>
    <x v="5"/>
    <n v="151"/>
    <s v="Крупа"/>
    <n v="255.1162790697674"/>
    <n v="-0.7373746581586145"/>
    <s v="Ярмарка"/>
    <n v="252.0909090909091"/>
    <d v="2022-12-28T00:00:00"/>
    <x v="233"/>
  </r>
  <r>
    <n v="458"/>
    <n v="473"/>
    <n v="474"/>
    <n v="2"/>
    <n v="4740"/>
    <x v="45"/>
    <x v="4"/>
    <n v="428"/>
    <s v="Хлеб"/>
    <n v="300.3181818181818"/>
    <n v="0.5783260178598457"/>
    <s v="Хлебный Дом"/>
    <n v="281.7333333333333"/>
    <d v="2022-10-14T00:00:00"/>
    <x v="339"/>
  </r>
  <r>
    <n v="459"/>
    <n v="189"/>
    <n v="275"/>
    <n v="4"/>
    <n v="5500"/>
    <x v="105"/>
    <x v="14"/>
    <n v="438"/>
    <s v="Хлеб"/>
    <n v="300.3181818181818"/>
    <n v="-0.08430452550325407"/>
    <s v="Дарница"/>
    <n v="264"/>
    <d v="2022-05-12T00:00:00"/>
    <x v="320"/>
  </r>
  <r>
    <n v="460"/>
    <n v="362"/>
    <n v="358"/>
    <n v="4"/>
    <n v="7160"/>
    <x v="14"/>
    <x v="3"/>
    <n v="465"/>
    <s v="Хлеб"/>
    <n v="300.3181818181818"/>
    <n v="0.1920690177084909"/>
    <s v="Русский Хлеб"/>
    <n v="316.6"/>
    <d v="2022-04-20T00:00:00"/>
    <x v="93"/>
  </r>
  <r>
    <n v="461"/>
    <n v="345"/>
    <n v="455"/>
    <n v="5"/>
    <n v="11375"/>
    <x v="302"/>
    <x v="3"/>
    <n v="215"/>
    <s v="Конфеты"/>
    <n v="267.8548387096774"/>
    <n v="0.6986812789787438"/>
    <s v="Рот Фронт"/>
    <n v="288.2380952380952"/>
    <d v="2022-08-26T00:00:00"/>
    <x v="191"/>
  </r>
  <r>
    <n v="462"/>
    <n v="461"/>
    <n v="443"/>
    <n v="3"/>
    <n v="6645"/>
    <x v="185"/>
    <x v="19"/>
    <n v="314"/>
    <s v="Фрукты"/>
    <n v="274.1627906976744"/>
    <n v="0.6158283145304944"/>
    <s v="Green Garden"/>
    <n v="369.2"/>
    <d v="2022-12-04T00:00:00"/>
    <x v="304"/>
  </r>
  <r>
    <n v="463"/>
    <n v="401"/>
    <n v="464"/>
    <n v="2"/>
    <n v="4640"/>
    <x v="219"/>
    <x v="5"/>
    <n v="15"/>
    <s v="Чай"/>
    <n v="271.1818181818182"/>
    <n v="0.7110291652698626"/>
    <s v="Greenfield"/>
    <n v="291.4545454545454"/>
    <d v="2022-05-30T00:00:00"/>
    <x v="143"/>
  </r>
  <r>
    <n v="464"/>
    <n v="427"/>
    <n v="307"/>
    <n v="5"/>
    <n v="7675"/>
    <x v="246"/>
    <x v="16"/>
    <n v="191"/>
    <s v="Хлеб"/>
    <n v="300.3181818181818"/>
    <n v="0.02224912971091264"/>
    <s v="Русский Хлеб"/>
    <n v="316.6"/>
    <d v="2022-11-01T00:00:00"/>
    <x v="31"/>
  </r>
  <r>
    <n v="465"/>
    <n v="129"/>
    <n v="121"/>
    <n v="5"/>
    <n v="3025"/>
    <x v="303"/>
    <x v="16"/>
    <n v="277"/>
    <s v="Мясо"/>
    <n v="271.7454545454545"/>
    <n v="-0.5547303626388331"/>
    <s v="Агрокомплекс"/>
    <n v="311.2"/>
    <d v="2022-07-08T00:00:00"/>
    <x v="252"/>
  </r>
  <r>
    <n v="466"/>
    <n v="84"/>
    <n v="265"/>
    <n v="2"/>
    <n v="2650"/>
    <x v="228"/>
    <x v="0"/>
    <n v="101"/>
    <s v="Кофе"/>
    <n v="249.0238095238095"/>
    <n v="0.06415527297064738"/>
    <s v="Tchibo"/>
    <n v="140"/>
    <d v="2022-06-15T00:00:00"/>
    <x v="340"/>
  </r>
  <r>
    <n v="467"/>
    <n v="172"/>
    <n v="451"/>
    <n v="2"/>
    <n v="4510"/>
    <x v="256"/>
    <x v="18"/>
    <n v="141"/>
    <s v="Фрукты"/>
    <n v="274.1627906976744"/>
    <n v="0.6450080583594875"/>
    <s v="Green Garden"/>
    <n v="369.2"/>
    <d v="2022-07-01T00:00:00"/>
    <x v="245"/>
  </r>
  <r>
    <n v="468"/>
    <n v="348"/>
    <n v="212"/>
    <n v="5"/>
    <n v="5300"/>
    <x v="277"/>
    <x v="3"/>
    <n v="126"/>
    <s v="Чипсы"/>
    <n v="273.7254901960785"/>
    <n v="-0.2255014326647565"/>
    <s v="Estrella"/>
    <n v="266.2727272727273"/>
    <d v="2022-09-18T00:00:00"/>
    <x v="341"/>
  </r>
  <r>
    <n v="469"/>
    <n v="171"/>
    <n v="336"/>
    <n v="4"/>
    <n v="6720"/>
    <x v="304"/>
    <x v="7"/>
    <n v="148"/>
    <s v="Чай"/>
    <n v="271.1818181818182"/>
    <n v="0.2390211196781764"/>
    <s v="Greenfield"/>
    <n v="291.4545454545454"/>
    <d v="2022-05-19T00:00:00"/>
    <x v="188"/>
  </r>
  <r>
    <n v="470"/>
    <n v="70"/>
    <n v="407"/>
    <n v="2"/>
    <n v="4070"/>
    <x v="91"/>
    <x v="6"/>
    <n v="334"/>
    <s v="Рис"/>
    <n v="258.375"/>
    <n v="0.575229801644896"/>
    <s v="Мистраль"/>
    <n v="181.5714285714286"/>
    <d v="2022-11-16T00:00:00"/>
    <x v="342"/>
  </r>
  <r>
    <n v="471"/>
    <n v="476"/>
    <n v="109"/>
    <n v="4"/>
    <n v="2180"/>
    <x v="242"/>
    <x v="6"/>
    <n v="335"/>
    <s v="Рыба"/>
    <n v="258.5128205128205"/>
    <n v="-0.5783574687561992"/>
    <s v="Балтийский берег"/>
    <n v="289.8888888888889"/>
    <d v="2022-02-27T00:00:00"/>
    <x v="77"/>
  </r>
  <r>
    <n v="472"/>
    <n v="49"/>
    <n v="412"/>
    <n v="3"/>
    <n v="6180"/>
    <x v="153"/>
    <x v="8"/>
    <n v="370"/>
    <s v="Рис"/>
    <n v="258.375"/>
    <n v="0.5945815191098209"/>
    <s v="Агро-Альянс"/>
    <n v="317.8571428571428"/>
    <d v="2022-06-14T00:00:00"/>
    <x v="52"/>
  </r>
  <r>
    <n v="473"/>
    <n v="7"/>
    <n v="254"/>
    <n v="2"/>
    <n v="2540"/>
    <x v="305"/>
    <x v="5"/>
    <n v="76"/>
    <s v="Сыр"/>
    <n v="262.6349206349207"/>
    <n v="-0.03287803698779168"/>
    <s v="President"/>
    <n v="238.7222222222222"/>
    <d v="2022-01-14T00:00:00"/>
    <x v="343"/>
  </r>
  <r>
    <n v="474"/>
    <n v="180"/>
    <n v="338"/>
    <n v="3"/>
    <n v="5070"/>
    <x v="19"/>
    <x v="12"/>
    <n v="25"/>
    <s v="Чипсы"/>
    <n v="273.7254901960785"/>
    <n v="0.2348137535816619"/>
    <s v="Русская картошка"/>
    <n v="241.8333333333333"/>
    <d v="2022-01-21T00:00:00"/>
    <x v="210"/>
  </r>
  <r>
    <n v="475"/>
    <n v="194"/>
    <n v="268"/>
    <n v="5"/>
    <n v="6700"/>
    <x v="306"/>
    <x v="16"/>
    <n v="80"/>
    <s v="Соль"/>
    <n v="264.8679245283019"/>
    <n v="0.01182504630289216"/>
    <s v="Салта"/>
    <n v="273.7"/>
    <d v="2022-03-03T00:00:00"/>
    <x v="344"/>
  </r>
  <r>
    <n v="476"/>
    <n v="312"/>
    <n v="223"/>
    <n v="2"/>
    <n v="2230"/>
    <x v="140"/>
    <x v="4"/>
    <n v="276"/>
    <s v="Хлеб"/>
    <n v="300.3181818181818"/>
    <n v="-0.2574542152262751"/>
    <s v="Каравай"/>
    <n v="331.1666666666667"/>
    <d v="2022-03-12T00:00:00"/>
    <x v="274"/>
  </r>
  <r>
    <n v="477"/>
    <n v="235"/>
    <n v="455"/>
    <n v="5"/>
    <n v="11375"/>
    <x v="123"/>
    <x v="17"/>
    <n v="71"/>
    <s v="Хлеб"/>
    <n v="300.3181818181818"/>
    <n v="0.515059785076434"/>
    <s v="Русский Хлеб"/>
    <n v="316.6"/>
    <d v="2022-07-20T00:00:00"/>
    <x v="345"/>
  </r>
  <r>
    <n v="478"/>
    <n v="399"/>
    <n v="379"/>
    <n v="1"/>
    <n v="1895"/>
    <x v="307"/>
    <x v="10"/>
    <n v="12"/>
    <s v="Хлеб"/>
    <n v="300.3181818181818"/>
    <n v="0.2619948539427879"/>
    <s v="Хлебный Дом"/>
    <n v="281.7333333333333"/>
    <d v="2022-10-08T00:00:00"/>
    <x v="346"/>
  </r>
  <r>
    <n v="479"/>
    <n v="494"/>
    <n v="216"/>
    <n v="3"/>
    <n v="3240"/>
    <x v="118"/>
    <x v="17"/>
    <n v="9"/>
    <s v="Сыр"/>
    <n v="262.6349206349207"/>
    <n v="-0.1775655747612717"/>
    <s v="Сырная долина"/>
    <n v="271"/>
    <d v="2022-12-05T00:00:00"/>
    <x v="347"/>
  </r>
  <r>
    <n v="480"/>
    <n v="458"/>
    <n v="469"/>
    <n v="4"/>
    <n v="9380"/>
    <x v="158"/>
    <x v="12"/>
    <n v="51"/>
    <s v="Макароны"/>
    <n v="265.4767441860465"/>
    <n v="0.7666330865927904"/>
    <s v="Борилла"/>
    <n v="236.2758620689655"/>
    <d v="2022-02-13T00:00:00"/>
    <x v="348"/>
  </r>
  <r>
    <n v="481"/>
    <n v="193"/>
    <n v="94"/>
    <n v="3"/>
    <n v="1410"/>
    <x v="136"/>
    <x v="2"/>
    <n v="370"/>
    <s v="Соль"/>
    <n v="264.8679245283019"/>
    <n v="-0.6451061404758514"/>
    <s v="Салта"/>
    <n v="273.7"/>
    <d v="2022-06-14T00:00:00"/>
    <x v="246"/>
  </r>
  <r>
    <n v="482"/>
    <n v="450"/>
    <n v="494"/>
    <n v="4"/>
    <n v="9880"/>
    <x v="78"/>
    <x v="15"/>
    <n v="17"/>
    <s v="Хлеб"/>
    <n v="300.3181818181818"/>
    <n v="0.6449220523686998"/>
    <s v="Хлебный Дом"/>
    <n v="281.7333333333333"/>
    <d v="2022-11-12T00:00:00"/>
    <x v="349"/>
  </r>
  <r>
    <n v="483"/>
    <n v="334"/>
    <n v="309"/>
    <n v="5"/>
    <n v="7725"/>
    <x v="308"/>
    <x v="7"/>
    <n v="39"/>
    <s v="Молоко"/>
    <n v="294.952380952381"/>
    <n v="0.04762673555053265"/>
    <s v="Домик в деревне"/>
    <n v="274.7777777777778"/>
    <d v="2022-04-02T00:00:00"/>
    <x v="248"/>
  </r>
  <r>
    <n v="484"/>
    <n v="115"/>
    <n v="118"/>
    <n v="1"/>
    <n v="590"/>
    <x v="7"/>
    <x v="1"/>
    <n v="481"/>
    <s v="Сыр"/>
    <n v="262.6349206349207"/>
    <n v="-0.5507071195455095"/>
    <s v="President"/>
    <n v="238.7222222222222"/>
    <d v="2022-07-14T00:00:00"/>
    <x v="350"/>
  </r>
  <r>
    <n v="485"/>
    <n v="163"/>
    <n v="344"/>
    <n v="1"/>
    <n v="1720"/>
    <x v="307"/>
    <x v="2"/>
    <n v="363"/>
    <s v="Соль"/>
    <n v="264.8679245283019"/>
    <n v="0.298760507194757"/>
    <s v="Экстра"/>
    <n v="320.8461538461539"/>
    <d v="2022-04-24T00:00:00"/>
    <x v="332"/>
  </r>
  <r>
    <n v="486"/>
    <n v="321"/>
    <n v="322"/>
    <n v="3"/>
    <n v="4830"/>
    <x v="309"/>
    <x v="6"/>
    <n v="328"/>
    <s v="Мясо"/>
    <n v="271.7454545454545"/>
    <n v="0.1849324233908738"/>
    <s v="Сава"/>
    <n v="212.8125"/>
    <d v="2022-01-07T00:00:00"/>
    <x v="351"/>
  </r>
  <r>
    <n v="487"/>
    <n v="129"/>
    <n v="328"/>
    <n v="4"/>
    <n v="6560"/>
    <x v="310"/>
    <x v="3"/>
    <n v="127"/>
    <s v="Мясо"/>
    <n v="271.7454545454545"/>
    <n v="0.2070119095410143"/>
    <s v="Агрокомплекс"/>
    <n v="311.2"/>
    <d v="2022-12-19T00:00:00"/>
    <x v="24"/>
  </r>
  <r>
    <n v="488"/>
    <n v="12"/>
    <n v="357"/>
    <n v="1"/>
    <n v="1785"/>
    <x v="150"/>
    <x v="2"/>
    <n v="221"/>
    <s v="Макароны"/>
    <n v="265.4767441860465"/>
    <n v="0.3447505584512285"/>
    <s v="Макфа"/>
    <n v="329.2727272727273"/>
    <d v="2022-09-16T00:00:00"/>
    <x v="352"/>
  </r>
  <r>
    <n v="489"/>
    <n v="104"/>
    <n v="276"/>
    <n v="2"/>
    <n v="2760"/>
    <x v="126"/>
    <x v="6"/>
    <n v="134"/>
    <s v="Йогурт"/>
    <n v="263.2542372881356"/>
    <n v="0.04841617306206536"/>
    <s v="Ростагроэкспорт"/>
    <n v="257.7826086956522"/>
    <d v="2022-07-11T00:00:00"/>
    <x v="3"/>
  </r>
  <r>
    <n v="490"/>
    <n v="61"/>
    <n v="170"/>
    <n v="2"/>
    <n v="1700"/>
    <x v="257"/>
    <x v="3"/>
    <n v="374"/>
    <s v="Йогурт"/>
    <n v="263.2542372881356"/>
    <n v="-0.3542364151429307"/>
    <s v="Эрманн"/>
    <n v="248.5"/>
    <d v="2022-01-21T00:00:00"/>
    <x v="353"/>
  </r>
  <r>
    <n v="491"/>
    <n v="202"/>
    <n v="89"/>
    <n v="1"/>
    <n v="445"/>
    <x v="311"/>
    <x v="0"/>
    <n v="441"/>
    <s v="Овощи"/>
    <n v="250.4878048780488"/>
    <n v="-0.6446932814021422"/>
    <s v="Овощной ряд"/>
    <n v="303.8235294117647"/>
    <d v="2022-11-02T00:00:00"/>
    <x v="354"/>
  </r>
  <r>
    <n v="492"/>
    <n v="464"/>
    <n v="134"/>
    <n v="1"/>
    <n v="670"/>
    <x v="312"/>
    <x v="0"/>
    <n v="220"/>
    <s v="Сыр"/>
    <n v="262.6349206349207"/>
    <n v="-0.4897860510093074"/>
    <s v="Сырная долина"/>
    <n v="271"/>
    <d v="2022-01-09T00:00:00"/>
    <x v="355"/>
  </r>
  <r>
    <n v="493"/>
    <n v="335"/>
    <n v="436"/>
    <n v="1"/>
    <n v="2180"/>
    <x v="313"/>
    <x v="6"/>
    <n v="235"/>
    <s v="Хлеб"/>
    <n v="300.3181818181818"/>
    <n v="0.4517935522930225"/>
    <s v="Каравай"/>
    <n v="331.1666666666667"/>
    <d v="2022-03-15T00:00:00"/>
    <x v="305"/>
  </r>
  <r>
    <n v="494"/>
    <n v="15"/>
    <n v="318"/>
    <n v="5"/>
    <n v="7950"/>
    <x v="269"/>
    <x v="18"/>
    <n v="323"/>
    <s v="Сахар"/>
    <n v="252.7627118644068"/>
    <n v="0.2580969623818146"/>
    <s v="Агросахар"/>
    <n v="215.8571428571429"/>
    <d v="2022-09-17T00:00:00"/>
    <x v="356"/>
  </r>
  <r>
    <n v="495"/>
    <n v="441"/>
    <n v="183"/>
    <n v="1"/>
    <n v="915"/>
    <x v="90"/>
    <x v="6"/>
    <n v="296"/>
    <s v="Чай"/>
    <n v="271.1818181818182"/>
    <n v="-0.3251759973181361"/>
    <s v="Lipton"/>
    <n v="260.1578947368421"/>
    <d v="2022-07-16T00:00:00"/>
    <x v="271"/>
  </r>
  <r>
    <n v="496"/>
    <n v="149"/>
    <n v="448"/>
    <n v="2"/>
    <n v="4480"/>
    <x v="129"/>
    <x v="8"/>
    <n v="206"/>
    <s v="Конфеты"/>
    <n v="267.8548387096774"/>
    <n v="0.6725477208406092"/>
    <s v="Бабаевский"/>
    <n v="250.2592592592593"/>
    <d v="2022-01-07T00:00:00"/>
    <x v="262"/>
  </r>
  <r>
    <n v="497"/>
    <n v="490"/>
    <n v="58"/>
    <n v="4"/>
    <n v="1160"/>
    <x v="16"/>
    <x v="18"/>
    <n v="255"/>
    <s v="Сыр"/>
    <n v="262.6349206349207"/>
    <n v="-0.7791611265562675"/>
    <s v="Сырная долина"/>
    <n v="271"/>
    <d v="2022-08-20T00:00:00"/>
    <x v="59"/>
  </r>
  <r>
    <n v="498"/>
    <n v="90"/>
    <n v="162"/>
    <n v="3"/>
    <n v="2430"/>
    <x v="267"/>
    <x v="6"/>
    <n v="88"/>
    <s v="Кофе"/>
    <n v="249.0238095238095"/>
    <n v="-0.3494597953915288"/>
    <s v="Nescafe"/>
    <n v="256.9"/>
    <d v="2022-03-10T00:00:00"/>
    <x v="292"/>
  </r>
  <r>
    <n v="499"/>
    <n v="396"/>
    <n v="482"/>
    <n v="2"/>
    <n v="4820"/>
    <x v="306"/>
    <x v="12"/>
    <n v="362"/>
    <s v="Молоко"/>
    <n v="294.952380952381"/>
    <n v="0.6341620923474329"/>
    <s v="Домик в деревне"/>
    <n v="274.7777777777778"/>
    <d v="2022-12-21T00:00:00"/>
    <x v="357"/>
  </r>
  <r>
    <n v="500"/>
    <n v="323"/>
    <n v="64"/>
    <n v="4"/>
    <n v="1280"/>
    <x v="6"/>
    <x v="1"/>
    <n v="265"/>
    <s v="Рыба"/>
    <n v="258.5128205128205"/>
    <n v="-0.7524300733981353"/>
    <s v="Меридиан"/>
    <n v="260.6470588235294"/>
    <d v="2022-07-14T00:00:00"/>
    <x v="219"/>
  </r>
  <r>
    <n v="501"/>
    <n v="451"/>
    <n v="187"/>
    <n v="4"/>
    <n v="3740"/>
    <x v="264"/>
    <x v="11"/>
    <n v="164"/>
    <s v="Рис"/>
    <n v="258.375"/>
    <n v="-0.2762457668118046"/>
    <s v="Белый Злат"/>
    <n v="269.7058823529412"/>
    <d v="2022-04-27T00:00:00"/>
    <x v="9"/>
  </r>
  <r>
    <n v="502"/>
    <n v="348"/>
    <n v="461"/>
    <n v="3"/>
    <n v="6915"/>
    <x v="314"/>
    <x v="10"/>
    <n v="364"/>
    <s v="Чипсы"/>
    <n v="273.7254901960785"/>
    <n v="0.6841690544412606"/>
    <s v="Estrella"/>
    <n v="266.2727272727273"/>
    <d v="2022-11-18T00:00:00"/>
    <x v="166"/>
  </r>
  <r>
    <n v="503"/>
    <n v="111"/>
    <n v="321"/>
    <n v="5"/>
    <n v="8025"/>
    <x v="315"/>
    <x v="9"/>
    <n v="19"/>
    <s v="Сахар"/>
    <n v="252.7627118644068"/>
    <n v="0.2699658016495674"/>
    <s v="Сладов"/>
    <n v="240.2666666666667"/>
    <d v="2022-12-07T00:00:00"/>
    <x v="334"/>
  </r>
  <r>
    <n v="504"/>
    <n v="234"/>
    <n v="244"/>
    <n v="3"/>
    <n v="3660"/>
    <x v="138"/>
    <x v="12"/>
    <n v="453"/>
    <s v="Чай"/>
    <n v="271.1818181818182"/>
    <n v="-0.1002346630908482"/>
    <s v="Greenfield"/>
    <n v="291.4545454545454"/>
    <d v="2022-03-15T00:00:00"/>
    <x v="196"/>
  </r>
  <r>
    <n v="505"/>
    <n v="336"/>
    <n v="416"/>
    <n v="2"/>
    <n v="4160"/>
    <x v="77"/>
    <x v="4"/>
    <n v="335"/>
    <s v="Чипсы"/>
    <n v="273.7254901960785"/>
    <n v="0.5197707736389683"/>
    <s v="Estrella"/>
    <n v="266.2727272727273"/>
    <d v="2022-02-27T00:00:00"/>
    <x v="338"/>
  </r>
  <r>
    <n v="506"/>
    <n v="441"/>
    <n v="293"/>
    <n v="3"/>
    <n v="4395"/>
    <x v="260"/>
    <x v="16"/>
    <n v="136"/>
    <s v="Чай"/>
    <n v="271.1818181818182"/>
    <n v="0.0804559168622192"/>
    <s v="Lipton"/>
    <n v="260.1578947368421"/>
    <d v="2022-10-26T00:00:00"/>
    <x v="191"/>
  </r>
  <r>
    <n v="507"/>
    <n v="481"/>
    <n v="63"/>
    <n v="1"/>
    <n v="315"/>
    <x v="316"/>
    <x v="4"/>
    <n v="388"/>
    <s v="Чипсы"/>
    <n v="273.7254901960785"/>
    <n v="-0.7698424068767908"/>
    <s v="Pringles"/>
    <n v="280.2380952380952"/>
    <d v="2022-01-20T00:00:00"/>
    <x v="358"/>
  </r>
  <r>
    <n v="508"/>
    <n v="403"/>
    <n v="240"/>
    <n v="1"/>
    <n v="1200"/>
    <x v="317"/>
    <x v="2"/>
    <n v="341"/>
    <s v="Чай"/>
    <n v="271.1818181818182"/>
    <n v="-0.1149849145155883"/>
    <s v="Ахмад"/>
    <n v="243.3"/>
    <d v="2022-06-12T00:00:00"/>
    <x v="359"/>
  </r>
  <r>
    <n v="509"/>
    <n v="137"/>
    <n v="432"/>
    <n v="5"/>
    <n v="10800"/>
    <x v="315"/>
    <x v="14"/>
    <n v="185"/>
    <s v="Фрукты"/>
    <n v="274.1627906976744"/>
    <n v="0.5757061667656289"/>
    <s v="Экзотик"/>
    <n v="253.6875"/>
    <d v="2022-05-02T00:00:00"/>
    <x v="360"/>
  </r>
  <r>
    <n v="510"/>
    <n v="246"/>
    <n v="196"/>
    <n v="5"/>
    <n v="4900"/>
    <x v="233"/>
    <x v="7"/>
    <n v="437"/>
    <s v="Сыр"/>
    <n v="262.6349206349207"/>
    <n v="-0.2537169104315243"/>
    <s v="President"/>
    <n v="238.7222222222222"/>
    <d v="2022-01-15T00:00:00"/>
    <x v="50"/>
  </r>
  <r>
    <n v="511"/>
    <n v="4"/>
    <n v="493"/>
    <n v="4"/>
    <n v="9860"/>
    <x v="318"/>
    <x v="8"/>
    <n v="263"/>
    <s v="Рис"/>
    <n v="258.375"/>
    <n v="0.9080793420416062"/>
    <s v="Белый Злат"/>
    <n v="269.7058823529412"/>
    <d v="2022-02-20T00:00:00"/>
    <x v="361"/>
  </r>
  <r>
    <n v="512"/>
    <n v="484"/>
    <n v="436"/>
    <n v="2"/>
    <n v="4360"/>
    <x v="204"/>
    <x v="7"/>
    <n v="358"/>
    <s v="Печенье"/>
    <n v="283.468085106383"/>
    <n v="0.5380920213165201"/>
    <s v="КДВ"/>
    <n v="323.0769230769231"/>
    <d v="2022-07-29T00:00:00"/>
    <x v="362"/>
  </r>
  <r>
    <n v="513"/>
    <n v="60"/>
    <n v="412"/>
    <n v="5"/>
    <n v="10300"/>
    <x v="71"/>
    <x v="9"/>
    <n v="377"/>
    <s v="Кофе"/>
    <n v="249.0238095238095"/>
    <n v="0.6544602734487046"/>
    <s v="Jacobs"/>
    <n v="276.2105263157895"/>
    <d v="2022-08-21T00:00:00"/>
    <x v="119"/>
  </r>
  <r>
    <n v="514"/>
    <n v="477"/>
    <n v="117"/>
    <n v="3"/>
    <n v="1755"/>
    <x v="319"/>
    <x v="15"/>
    <n v="450"/>
    <s v="Макароны"/>
    <n v="265.4767441860465"/>
    <n v="-0.559283430423547"/>
    <s v="Борилла"/>
    <n v="236.2758620689655"/>
    <d v="2022-02-27T00:00:00"/>
    <x v="122"/>
  </r>
  <r>
    <n v="515"/>
    <n v="174"/>
    <n v="301"/>
    <n v="4"/>
    <n v="6020"/>
    <x v="320"/>
    <x v="6"/>
    <n v="210"/>
    <s v="Чай"/>
    <n v="271.1818181818182"/>
    <n v="0.1099564197116996"/>
    <s v="Ахмад"/>
    <n v="243.3"/>
    <d v="2022-02-10T00:00:00"/>
    <x v="363"/>
  </r>
  <r>
    <n v="516"/>
    <n v="240"/>
    <n v="156"/>
    <n v="4"/>
    <n v="3120"/>
    <x v="321"/>
    <x v="15"/>
    <n v="67"/>
    <s v="Макароны"/>
    <n v="265.4767441860465"/>
    <n v="-0.4123779072313959"/>
    <s v="Борилла"/>
    <n v="236.2758620689655"/>
    <d v="2022-06-19T00:00:00"/>
    <x v="364"/>
  </r>
  <r>
    <n v="517"/>
    <n v="299"/>
    <n v="141"/>
    <n v="4"/>
    <n v="2820"/>
    <x v="322"/>
    <x v="10"/>
    <n v="125"/>
    <s v="Чай"/>
    <n v="271.1818181818182"/>
    <n v="-0.4800536372779082"/>
    <s v="Lipton"/>
    <n v="260.1578947368421"/>
    <d v="2022-05-20T00:00:00"/>
    <x v="365"/>
  </r>
  <r>
    <n v="518"/>
    <n v="481"/>
    <n v="463"/>
    <n v="2"/>
    <n v="4630"/>
    <x v="97"/>
    <x v="14"/>
    <n v="213"/>
    <s v="Чипсы"/>
    <n v="273.7254901960785"/>
    <n v="0.6914756446991404"/>
    <s v="Pringles"/>
    <n v="280.2380952380952"/>
    <d v="2022-06-21T00:00:00"/>
    <x v="235"/>
  </r>
  <r>
    <n v="519"/>
    <n v="213"/>
    <n v="432"/>
    <n v="3"/>
    <n v="6480"/>
    <x v="41"/>
    <x v="13"/>
    <n v="254"/>
    <s v="Сахар"/>
    <n v="252.7627118644068"/>
    <n v="0.7091128545564274"/>
    <s v="Продимекс"/>
    <n v="240.5"/>
    <d v="2022-10-28T00:00:00"/>
    <x v="254"/>
  </r>
  <r>
    <n v="520"/>
    <n v="484"/>
    <n v="238"/>
    <n v="2"/>
    <n v="2380"/>
    <x v="323"/>
    <x v="6"/>
    <n v="252"/>
    <s v="Печенье"/>
    <n v="283.468085106383"/>
    <n v="-0.1603993094648353"/>
    <s v="КДВ"/>
    <n v="323.0769230769231"/>
    <d v="2022-03-23T00:00:00"/>
    <x v="28"/>
  </r>
  <r>
    <n v="521"/>
    <n v="479"/>
    <n v="131"/>
    <n v="5"/>
    <n v="3275"/>
    <x v="324"/>
    <x v="4"/>
    <n v="164"/>
    <s v="Овощи"/>
    <n v="250.4878048780488"/>
    <n v="-0.4770204479065239"/>
    <s v="Гавриш"/>
    <n v="247.6666666666667"/>
    <d v="2022-04-27T00:00:00"/>
    <x v="366"/>
  </r>
  <r>
    <n v="522"/>
    <n v="159"/>
    <n v="225"/>
    <n v="1"/>
    <n v="1125"/>
    <x v="325"/>
    <x v="13"/>
    <n v="258"/>
    <s v="Крупа"/>
    <n v="255.1162790697674"/>
    <n v="-0.118049225159526"/>
    <s v="Националь"/>
    <n v="274.2857142857143"/>
    <d v="2022-06-05T00:00:00"/>
    <x v="367"/>
  </r>
  <r>
    <n v="523"/>
    <n v="110"/>
    <n v="279"/>
    <n v="1"/>
    <n v="1395"/>
    <x v="326"/>
    <x v="10"/>
    <n v="290"/>
    <s v="Макароны"/>
    <n v="265.4767441860465"/>
    <n v="0.05093951206692648"/>
    <s v="Паста Зара"/>
    <n v="276.6756756756757"/>
    <d v="2022-08-04T00:00:00"/>
    <x v="225"/>
  </r>
  <r>
    <n v="524"/>
    <n v="224"/>
    <n v="161"/>
    <n v="2"/>
    <n v="1610"/>
    <x v="327"/>
    <x v="10"/>
    <n v="336"/>
    <s v="Чипсы"/>
    <n v="273.7254901960785"/>
    <n v="-0.4118194842406877"/>
    <s v="Pringles"/>
    <n v="280.2380952380952"/>
    <d v="2022-10-22T00:00:00"/>
    <x v="188"/>
  </r>
  <r>
    <n v="525"/>
    <n v="126"/>
    <n v="267"/>
    <n v="1"/>
    <n v="1335"/>
    <x v="63"/>
    <x v="16"/>
    <n v="437"/>
    <s v="Сахар"/>
    <n v="252.7627118644068"/>
    <n v="0.05632669483001407"/>
    <s v="Русский сахар"/>
    <n v="293.4117647058824"/>
    <d v="2022-01-15T00:00:00"/>
    <x v="368"/>
  </r>
  <r>
    <n v="526"/>
    <n v="344"/>
    <n v="110"/>
    <n v="4"/>
    <n v="2200"/>
    <x v="328"/>
    <x v="17"/>
    <n v="294"/>
    <s v="Сок"/>
    <n v="268.6034482758621"/>
    <n v="-0.5904743565055524"/>
    <s v="Сады Придонья"/>
    <n v="254.1818181818182"/>
    <d v="2022-11-14T00:00:00"/>
    <x v="369"/>
  </r>
  <r>
    <n v="527"/>
    <n v="447"/>
    <n v="316"/>
    <n v="1"/>
    <n v="1580"/>
    <x v="329"/>
    <x v="9"/>
    <n v="297"/>
    <s v="Йогурт"/>
    <n v="263.2542372881356"/>
    <n v="0.2003605459696112"/>
    <s v="Эрманн"/>
    <n v="248.5"/>
    <d v="2022-04-15T00:00:00"/>
    <x v="205"/>
  </r>
  <r>
    <n v="528"/>
    <n v="450"/>
    <n v="228"/>
    <n v="4"/>
    <n v="4560"/>
    <x v="164"/>
    <x v="7"/>
    <n v="27"/>
    <s v="Хлеб"/>
    <n v="300.3181818181818"/>
    <n v="-0.2408052065990616"/>
    <s v="Хлебный Дом"/>
    <n v="281.7333333333333"/>
    <d v="2022-01-25T00:00:00"/>
    <x v="370"/>
  </r>
  <r>
    <n v="529"/>
    <n v="60"/>
    <n v="100"/>
    <n v="1"/>
    <n v="500"/>
    <x v="330"/>
    <x v="19"/>
    <n v="102"/>
    <s v="Кофе"/>
    <n v="249.0238095238095"/>
    <n v="-0.5984319724639067"/>
    <s v="Jacobs"/>
    <n v="276.2105263157895"/>
    <d v="2022-06-11T00:00:00"/>
    <x v="371"/>
  </r>
  <r>
    <n v="530"/>
    <n v="42"/>
    <n v="332"/>
    <n v="2"/>
    <n v="3320"/>
    <x v="316"/>
    <x v="0"/>
    <n v="323"/>
    <s v="Рис"/>
    <n v="258.375"/>
    <n v="0.2849540396710208"/>
    <s v="Мистраль"/>
    <n v="181.5714285714286"/>
    <d v="2022-09-17T00:00:00"/>
    <x v="372"/>
  </r>
  <r>
    <n v="531"/>
    <n v="267"/>
    <n v="65"/>
    <n v="2"/>
    <n v="650"/>
    <x v="213"/>
    <x v="17"/>
    <n v="53"/>
    <s v="Овощи"/>
    <n v="250.4878048780488"/>
    <n v="-0.740506329113924"/>
    <s v="Семко"/>
    <n v="208"/>
    <d v="2022-02-01T00:00:00"/>
    <x v="352"/>
  </r>
  <r>
    <n v="532"/>
    <n v="161"/>
    <n v="489"/>
    <n v="5"/>
    <n v="12225"/>
    <x v="39"/>
    <x v="5"/>
    <n v="143"/>
    <s v="Молоко"/>
    <n v="294.952380952381"/>
    <n v="0.6578947368421053"/>
    <s v="Простоквашино"/>
    <n v="318.8181818181818"/>
    <d v="2022-02-09T00:00:00"/>
    <x v="84"/>
  </r>
  <r>
    <n v="533"/>
    <n v="83"/>
    <n v="315"/>
    <n v="2"/>
    <n v="3150"/>
    <x v="150"/>
    <x v="8"/>
    <n v="135"/>
    <s v="Сок"/>
    <n v="268.6034482758621"/>
    <n v="0.1727325245522817"/>
    <s v="Сады Придонья"/>
    <n v="254.1818181818182"/>
    <d v="2022-02-10T00:00:00"/>
    <x v="373"/>
  </r>
  <r>
    <n v="534"/>
    <n v="315"/>
    <n v="348"/>
    <n v="2"/>
    <n v="3480"/>
    <x v="331"/>
    <x v="4"/>
    <n v="402"/>
    <s v="Йогурт"/>
    <n v="263.2542372881356"/>
    <n v="0.3219160442956477"/>
    <s v="Чудо"/>
    <n v="287.1"/>
    <d v="2022-06-30T00:00:00"/>
    <x v="374"/>
  </r>
  <r>
    <n v="535"/>
    <n v="121"/>
    <n v="77"/>
    <n v="1"/>
    <n v="385"/>
    <x v="332"/>
    <x v="3"/>
    <n v="279"/>
    <s v="Чипсы"/>
    <n v="273.7254901960785"/>
    <n v="-0.7186962750716333"/>
    <s v="Pringles"/>
    <n v="280.2380952380952"/>
    <d v="2022-08-13T00:00:00"/>
    <x v="268"/>
  </r>
  <r>
    <n v="536"/>
    <n v="371"/>
    <n v="62"/>
    <n v="5"/>
    <n v="1550"/>
    <x v="333"/>
    <x v="2"/>
    <n v="385"/>
    <s v="Сахар"/>
    <n v="252.7627118644068"/>
    <n v="-0.7547106551331053"/>
    <s v="Русский сахар"/>
    <n v="293.4117647058824"/>
    <d v="2022-07-11T00:00:00"/>
    <x v="292"/>
  </r>
  <r>
    <n v="537"/>
    <n v="169"/>
    <n v="429"/>
    <n v="2"/>
    <n v="4290"/>
    <x v="148"/>
    <x v="18"/>
    <n v="326"/>
    <s v="Фрукты"/>
    <n v="274.1627906976744"/>
    <n v="0.5647637628297564"/>
    <s v="Фруктовый Рай"/>
    <n v="258.3076923076923"/>
    <d v="2022-04-04T00:00:00"/>
    <x v="362"/>
  </r>
  <r>
    <n v="538"/>
    <n v="433"/>
    <n v="115"/>
    <n v="4"/>
    <n v="2300"/>
    <x v="334"/>
    <x v="17"/>
    <n v="138"/>
    <s v="Рыба"/>
    <n v="258.5128205128205"/>
    <n v="-0.5551477881372744"/>
    <s v="Меридиан"/>
    <n v="260.6470588235294"/>
    <d v="2022-06-11T00:00:00"/>
    <x v="372"/>
  </r>
  <r>
    <n v="539"/>
    <n v="43"/>
    <n v="158"/>
    <n v="5"/>
    <n v="3950"/>
    <x v="330"/>
    <x v="8"/>
    <n v="271"/>
    <s v="Печенье"/>
    <n v="283.468085106383"/>
    <n v="-0.4426180289724537"/>
    <s v="КДВ"/>
    <n v="323.0769230769231"/>
    <d v="2022-11-27T00:00:00"/>
    <x v="327"/>
  </r>
  <r>
    <n v="540"/>
    <n v="453"/>
    <n v="318"/>
    <n v="4"/>
    <n v="6360"/>
    <x v="335"/>
    <x v="8"/>
    <n v="408"/>
    <s v="Макароны"/>
    <n v="265.4767441860465"/>
    <n v="0.1978450352590775"/>
    <s v="Макфа"/>
    <n v="329.2727272727273"/>
    <d v="2022-10-23T00:00:00"/>
    <x v="375"/>
  </r>
  <r>
    <n v="541"/>
    <n v="403"/>
    <n v="184"/>
    <n v="5"/>
    <n v="4600"/>
    <x v="336"/>
    <x v="3"/>
    <n v="444"/>
    <s v="Чай"/>
    <n v="271.1818181818182"/>
    <n v="-0.3214884344619511"/>
    <s v="Ахмад"/>
    <n v="243.3"/>
    <d v="2022-05-07T00:00:00"/>
    <x v="376"/>
  </r>
  <r>
    <n v="542"/>
    <n v="248"/>
    <n v="497"/>
    <n v="2"/>
    <n v="4970"/>
    <x v="137"/>
    <x v="9"/>
    <n v="116"/>
    <s v="Конфеты"/>
    <n v="267.8548387096774"/>
    <n v="0.8554826278075509"/>
    <s v="Красный Октябрь"/>
    <n v="273.625"/>
    <d v="2022-03-23T00:00:00"/>
    <x v="11"/>
  </r>
  <r>
    <n v="543"/>
    <n v="492"/>
    <n v="469"/>
    <n v="4"/>
    <n v="9380"/>
    <x v="337"/>
    <x v="2"/>
    <n v="38"/>
    <s v="Рыба"/>
    <n v="258.5128205128205"/>
    <n v="0.8142233683792899"/>
    <s v="Русское море"/>
    <n v="292.6666666666667"/>
    <d v="2022-09-15T00:00:00"/>
    <x v="377"/>
  </r>
  <r>
    <n v="544"/>
    <n v="428"/>
    <n v="263"/>
    <n v="4"/>
    <n v="5260"/>
    <x v="258"/>
    <x v="14"/>
    <n v="136"/>
    <s v="Конфеты"/>
    <n v="267.8548387096774"/>
    <n v="-0.01812488709580307"/>
    <s v="Бабаевский"/>
    <n v="250.2592592592593"/>
    <d v="2022-10-26T00:00:00"/>
    <x v="275"/>
  </r>
  <r>
    <n v="545"/>
    <n v="91"/>
    <n v="335"/>
    <n v="2"/>
    <n v="3350"/>
    <x v="338"/>
    <x v="15"/>
    <n v="310"/>
    <s v="Сыр"/>
    <n v="262.6349206349207"/>
    <n v="0.2755348724767315"/>
    <s v="Сырная долина"/>
    <n v="271"/>
    <d v="2022-09-03T00:00:00"/>
    <x v="330"/>
  </r>
  <r>
    <n v="546"/>
    <n v="122"/>
    <n v="309"/>
    <n v="3"/>
    <n v="4635"/>
    <x v="339"/>
    <x v="11"/>
    <n v="263"/>
    <s v="Фрукты"/>
    <n v="274.1627906976744"/>
    <n v="0.1270676053948596"/>
    <s v="Фрукты-Ягоды"/>
    <n v="280.6666666666667"/>
    <d v="2022-02-20T00:00:00"/>
    <x v="166"/>
  </r>
  <r>
    <n v="547"/>
    <n v="444"/>
    <n v="59"/>
    <n v="2"/>
    <n v="590"/>
    <x v="340"/>
    <x v="19"/>
    <n v="381"/>
    <s v="Йогурт"/>
    <n v="263.2542372881356"/>
    <n v="-0.7758820499613701"/>
    <s v="Эрманн"/>
    <n v="248.5"/>
    <d v="2022-06-02T00:00:00"/>
    <x v="352"/>
  </r>
  <r>
    <n v="548"/>
    <n v="334"/>
    <n v="459"/>
    <n v="5"/>
    <n v="11475"/>
    <x v="341"/>
    <x v="0"/>
    <n v="167"/>
    <s v="Молоко"/>
    <n v="294.952380952381"/>
    <n v="0.5561834032935098"/>
    <s v="Домик в деревне"/>
    <n v="274.7777777777778"/>
    <d v="2022-01-02T00:00:00"/>
    <x v="199"/>
  </r>
  <r>
    <n v="549"/>
    <n v="431"/>
    <n v="149"/>
    <n v="5"/>
    <n v="3725"/>
    <x v="305"/>
    <x v="15"/>
    <n v="12"/>
    <s v="Овощи"/>
    <n v="250.4878048780488"/>
    <n v="-0.4051606621226874"/>
    <s v="Гавриш"/>
    <n v="247.6666666666667"/>
    <d v="2022-10-08T00:00:00"/>
    <x v="378"/>
  </r>
  <r>
    <n v="550"/>
    <n v="62"/>
    <n v="88"/>
    <n v="1"/>
    <n v="440"/>
    <x v="342"/>
    <x v="6"/>
    <n v="44"/>
    <s v="Рыба"/>
    <n v="258.5128205128205"/>
    <n v="-0.659591350922436"/>
    <s v="Балтийский берег"/>
    <n v="289.8888888888889"/>
    <d v="2022-05-20T00:00:00"/>
    <x v="147"/>
  </r>
  <r>
    <n v="551"/>
    <n v="458"/>
    <n v="79"/>
    <n v="2"/>
    <n v="790"/>
    <x v="343"/>
    <x v="14"/>
    <n v="133"/>
    <s v="Макароны"/>
    <n v="265.4767441860465"/>
    <n v="-0.7024221453287197"/>
    <s v="Борилла"/>
    <n v="236.2758620689655"/>
    <d v="2022-01-27T00:00:00"/>
    <x v="379"/>
  </r>
  <r>
    <n v="552"/>
    <n v="119"/>
    <n v="369"/>
    <n v="2"/>
    <n v="3690"/>
    <x v="175"/>
    <x v="12"/>
    <n v="21"/>
    <s v="Печенье"/>
    <n v="283.468085106383"/>
    <n v="0.3017338437288899"/>
    <s v="КДВ"/>
    <n v="323.0769230769231"/>
    <d v="2022-11-16T00:00:00"/>
    <x v="380"/>
  </r>
  <r>
    <n v="553"/>
    <n v="388"/>
    <n v="107"/>
    <n v="1"/>
    <n v="535"/>
    <x v="344"/>
    <x v="4"/>
    <n v="179"/>
    <s v="Рыба"/>
    <n v="258.5128205128205"/>
    <n v="-0.5860940289625074"/>
    <s v="Меридиан"/>
    <n v="260.6470588235294"/>
    <d v="2022-09-29T00:00:00"/>
    <x v="155"/>
  </r>
  <r>
    <n v="554"/>
    <n v="303"/>
    <n v="258"/>
    <n v="4"/>
    <n v="5160"/>
    <x v="185"/>
    <x v="10"/>
    <n v="300"/>
    <s v="Фрукты"/>
    <n v="274.1627906976744"/>
    <n v="-0.0589532615149716"/>
    <s v="Фруктовый Рай"/>
    <n v="258.3076923076923"/>
    <d v="2022-09-20T00:00:00"/>
    <x v="381"/>
  </r>
  <r>
    <n v="555"/>
    <n v="160"/>
    <n v="400"/>
    <n v="3"/>
    <n v="6000"/>
    <x v="345"/>
    <x v="19"/>
    <n v="134"/>
    <s v="Крупа"/>
    <n v="255.1162790697674"/>
    <n v="0.5679124886052871"/>
    <s v="Мистраль"/>
    <n v="250.3076923076923"/>
    <d v="2022-07-11T00:00:00"/>
    <x v="382"/>
  </r>
  <r>
    <n v="556"/>
    <n v="66"/>
    <n v="230"/>
    <n v="2"/>
    <n v="2300"/>
    <x v="289"/>
    <x v="13"/>
    <n v="391"/>
    <s v="Кофе"/>
    <n v="249.0238095238095"/>
    <n v="-0.07639353666698534"/>
    <s v="Черная Карта"/>
    <n v="222.2"/>
    <d v="2022-04-24T00:00:00"/>
    <x v="157"/>
  </r>
  <r>
    <n v="557"/>
    <n v="125"/>
    <n v="187"/>
    <n v="5"/>
    <n v="4675"/>
    <x v="22"/>
    <x v="15"/>
    <n v="54"/>
    <s v="Рис"/>
    <n v="258.375"/>
    <n v="-0.2762457668118046"/>
    <s v="Националь"/>
    <n v="187"/>
    <d v="2022-10-13T00:00:00"/>
    <x v="211"/>
  </r>
  <r>
    <n v="558"/>
    <n v="280"/>
    <n v="234"/>
    <n v="2"/>
    <n v="2340"/>
    <x v="346"/>
    <x v="4"/>
    <n v="19"/>
    <s v="Сыр"/>
    <n v="262.6349206349207"/>
    <n v="-0.1090293726580444"/>
    <s v="President"/>
    <n v="238.7222222222222"/>
    <d v="2022-12-07T00:00:00"/>
    <x v="176"/>
  </r>
  <r>
    <n v="559"/>
    <n v="309"/>
    <n v="368"/>
    <n v="3"/>
    <n v="5520"/>
    <x v="111"/>
    <x v="7"/>
    <n v="340"/>
    <s v="Конфеты"/>
    <n v="267.8548387096774"/>
    <n v="0.3738784849762147"/>
    <s v="Рот Фронт"/>
    <n v="288.2380952380952"/>
    <d v="2022-12-01T00:00:00"/>
    <x v="383"/>
  </r>
  <r>
    <n v="560"/>
    <n v="317"/>
    <n v="267"/>
    <n v="3"/>
    <n v="4005"/>
    <x v="193"/>
    <x v="18"/>
    <n v="71"/>
    <s v="Сок"/>
    <n v="268.6034482758621"/>
    <n v="-0.005969574427113544"/>
    <s v="Фруктовый сад"/>
    <n v="281.96875"/>
    <d v="2022-07-20T00:00:00"/>
    <x v="362"/>
  </r>
  <r>
    <n v="561"/>
    <n v="260"/>
    <n v="370"/>
    <n v="5"/>
    <n v="9250"/>
    <x v="347"/>
    <x v="10"/>
    <n v="102"/>
    <s v="Соль"/>
    <n v="264.8679245283019"/>
    <n v="0.3969226385525002"/>
    <s v="Экстра"/>
    <n v="320.8461538461539"/>
    <d v="2022-06-11T00:00:00"/>
    <x v="384"/>
  </r>
  <r>
    <n v="562"/>
    <n v="448"/>
    <n v="170"/>
    <n v="1"/>
    <n v="850"/>
    <x v="263"/>
    <x v="18"/>
    <n v="43"/>
    <s v="Йогурт"/>
    <n v="263.2542372881356"/>
    <n v="-0.3542364151429307"/>
    <s v="Ростагроэкспорт"/>
    <n v="257.7826086956522"/>
    <d v="2022-12-17T00:00:00"/>
    <x v="43"/>
  </r>
  <r>
    <n v="563"/>
    <n v="158"/>
    <n v="71"/>
    <n v="2"/>
    <n v="710"/>
    <x v="137"/>
    <x v="5"/>
    <n v="29"/>
    <s v="Сахар"/>
    <n v="252.7627118644068"/>
    <n v="-0.7191041373298465"/>
    <s v="Сладов"/>
    <n v="240.2666666666667"/>
    <d v="2022-05-23T00:00:00"/>
    <x v="385"/>
  </r>
  <r>
    <n v="564"/>
    <n v="274"/>
    <n v="472"/>
    <n v="3"/>
    <n v="7080"/>
    <x v="306"/>
    <x v="1"/>
    <n v="272"/>
    <s v="Молоко"/>
    <n v="294.952380952381"/>
    <n v="0.6002583144979012"/>
    <s v="Простоквашино"/>
    <n v="318.8181818181818"/>
    <d v="2022-04-17T00:00:00"/>
    <x v="55"/>
  </r>
  <r>
    <n v="565"/>
    <n v="471"/>
    <n v="294"/>
    <n v="2"/>
    <n v="2940"/>
    <x v="348"/>
    <x v="3"/>
    <n v="370"/>
    <s v="Овощи"/>
    <n v="250.4878048780488"/>
    <n v="0.1737098344693282"/>
    <s v="Зеленая грядка"/>
    <n v="159.2"/>
    <d v="2022-06-14T00:00:00"/>
    <x v="386"/>
  </r>
  <r>
    <n v="566"/>
    <n v="398"/>
    <n v="65"/>
    <n v="4"/>
    <n v="1300"/>
    <x v="349"/>
    <x v="7"/>
    <n v="165"/>
    <s v="Сок"/>
    <n v="268.6034482758621"/>
    <n v="-0.7580075742987356"/>
    <s v="Фруктовый сад"/>
    <n v="281.96875"/>
    <d v="2022-02-07T00:00:00"/>
    <x v="27"/>
  </r>
  <r>
    <n v="567"/>
    <n v="395"/>
    <n v="454"/>
    <n v="5"/>
    <n v="11350"/>
    <x v="350"/>
    <x v="4"/>
    <n v="147"/>
    <s v="Соль"/>
    <n v="264.8679245283019"/>
    <n v="0.7140618321698247"/>
    <s v="Славянская"/>
    <n v="236.9166666666667"/>
    <d v="2022-09-23T00:00:00"/>
    <x v="387"/>
  </r>
  <r>
    <n v="568"/>
    <n v="424"/>
    <n v="472"/>
    <n v="3"/>
    <n v="7080"/>
    <x v="56"/>
    <x v="14"/>
    <n v="181"/>
    <s v="Печенье"/>
    <n v="283.468085106383"/>
    <n v="0.6650904450949484"/>
    <s v="КДВ"/>
    <n v="323.0769230769231"/>
    <d v="2022-01-07T00:00:00"/>
    <x v="388"/>
  </r>
  <r>
    <n v="569"/>
    <n v="474"/>
    <n v="261"/>
    <n v="2"/>
    <n v="2610"/>
    <x v="320"/>
    <x v="19"/>
    <n v="88"/>
    <s v="Молоко"/>
    <n v="294.952380952381"/>
    <n v="-0.1151113981272199"/>
    <s v="Простоквашино"/>
    <n v="318.8181818181818"/>
    <d v="2022-03-10T00:00:00"/>
    <x v="309"/>
  </r>
  <r>
    <n v="570"/>
    <n v="346"/>
    <n v="390"/>
    <n v="5"/>
    <n v="9750"/>
    <x v="351"/>
    <x v="12"/>
    <n v="10"/>
    <s v="Чай"/>
    <n v="271.1818181818182"/>
    <n v="0.4381495139121689"/>
    <s v="Greenfield"/>
    <n v="291.4545454545454"/>
    <d v="2022-11-16T00:00:00"/>
    <x v="2"/>
  </r>
  <r>
    <n v="571"/>
    <n v="132"/>
    <n v="497"/>
    <n v="4"/>
    <n v="9940"/>
    <x v="195"/>
    <x v="19"/>
    <n v="364"/>
    <s v="Рыба"/>
    <n v="258.5128205128205"/>
    <n v="0.9225352112676057"/>
    <s v="Меридиан"/>
    <n v="260.6470588235294"/>
    <d v="2022-11-18T00:00:00"/>
    <x v="389"/>
  </r>
  <r>
    <n v="572"/>
    <n v="17"/>
    <n v="363"/>
    <n v="4"/>
    <n v="7260"/>
    <x v="352"/>
    <x v="12"/>
    <n v="277"/>
    <s v="Кофе"/>
    <n v="249.0238095238095"/>
    <n v="0.4576919399560189"/>
    <s v="Jacobs"/>
    <n v="276.2105263157895"/>
    <d v="2022-07-08T00:00:00"/>
    <x v="390"/>
  </r>
  <r>
    <n v="573"/>
    <n v="63"/>
    <n v="251"/>
    <n v="1"/>
    <n v="1255"/>
    <x v="242"/>
    <x v="11"/>
    <n v="214"/>
    <s v="Рыба"/>
    <n v="258.5128205128205"/>
    <n v="-0.02906169410831183"/>
    <s v="Балтийский берег"/>
    <n v="289.8888888888889"/>
    <d v="2022-02-09T00:00:00"/>
    <x v="47"/>
  </r>
  <r>
    <n v="574"/>
    <n v="89"/>
    <n v="492"/>
    <n v="2"/>
    <n v="4920"/>
    <x v="296"/>
    <x v="9"/>
    <n v="402"/>
    <s v="Конфеты"/>
    <n v="267.8548387096774"/>
    <n v="0.8368158005660262"/>
    <s v="Рот Фронт"/>
    <n v="288.2380952380952"/>
    <d v="2022-06-30T00:00:00"/>
    <x v="105"/>
  </r>
  <r>
    <n v="575"/>
    <n v="260"/>
    <n v="449"/>
    <n v="1"/>
    <n v="2245"/>
    <x v="115"/>
    <x v="16"/>
    <n v="490"/>
    <s v="Соль"/>
    <n v="264.8679245283019"/>
    <n v="0.6951844992164125"/>
    <s v="Экстра"/>
    <n v="320.8461538461539"/>
    <d v="2022-02-11T00:00:00"/>
    <x v="90"/>
  </r>
  <r>
    <n v="576"/>
    <n v="27"/>
    <n v="193"/>
    <n v="1"/>
    <n v="965"/>
    <x v="353"/>
    <x v="7"/>
    <n v="151"/>
    <s v="Макароны"/>
    <n v="265.4767441860465"/>
    <n v="-0.2730060006132013"/>
    <s v="Паста Зара"/>
    <n v="276.6756756756757"/>
    <d v="2022-12-28T00:00:00"/>
    <x v="236"/>
  </r>
  <r>
    <n v="577"/>
    <n v="221"/>
    <n v="406"/>
    <n v="3"/>
    <n v="6090"/>
    <x v="354"/>
    <x v="19"/>
    <n v="409"/>
    <s v="Чипсы"/>
    <n v="273.7254901960785"/>
    <n v="0.4832378223495701"/>
    <s v="Pringles"/>
    <n v="280.2380952380952"/>
    <d v="2022-11-04T00:00:00"/>
    <x v="208"/>
  </r>
  <r>
    <n v="578"/>
    <n v="127"/>
    <n v="384"/>
    <n v="2"/>
    <n v="3840"/>
    <x v="168"/>
    <x v="11"/>
    <n v="348"/>
    <s v="Овощи"/>
    <n v="250.4878048780488"/>
    <n v="0.5330087633885101"/>
    <s v="Семко"/>
    <n v="208"/>
    <d v="2022-01-08T00:00:00"/>
    <x v="390"/>
  </r>
  <r>
    <n v="579"/>
    <n v="464"/>
    <n v="356"/>
    <n v="4"/>
    <n v="7120"/>
    <x v="173"/>
    <x v="11"/>
    <n v="255"/>
    <s v="Сыр"/>
    <n v="262.6349206349207"/>
    <n v="0.3554937749304967"/>
    <s v="Сырная долина"/>
    <n v="271"/>
    <d v="2022-08-20T00:00:00"/>
    <x v="391"/>
  </r>
  <r>
    <n v="580"/>
    <n v="426"/>
    <n v="438"/>
    <n v="1"/>
    <n v="2190"/>
    <x v="261"/>
    <x v="2"/>
    <n v="27"/>
    <s v="Печенье"/>
    <n v="283.468085106383"/>
    <n v="0.5451474893042108"/>
    <s v="Посиделкино"/>
    <n v="321.6363636363636"/>
    <d v="2022-01-25T00:00:00"/>
    <x v="346"/>
  </r>
  <r>
    <n v="581"/>
    <n v="224"/>
    <n v="232"/>
    <n v="5"/>
    <n v="5800"/>
    <x v="274"/>
    <x v="19"/>
    <n v="219"/>
    <s v="Чипсы"/>
    <n v="273.7254901960785"/>
    <n v="-0.15243553008596"/>
    <s v="Pringles"/>
    <n v="280.2380952380952"/>
    <d v="2022-01-24T00:00:00"/>
    <x v="96"/>
  </r>
  <r>
    <n v="582"/>
    <n v="198"/>
    <n v="383"/>
    <n v="2"/>
    <n v="3830"/>
    <x v="355"/>
    <x v="5"/>
    <n v="272"/>
    <s v="Мясо"/>
    <n v="271.7454545454545"/>
    <n v="0.4094071992506356"/>
    <s v="Мираторг"/>
    <n v="316.5833333333333"/>
    <d v="2022-04-17T00:00:00"/>
    <x v="392"/>
  </r>
  <r>
    <n v="583"/>
    <n v="233"/>
    <n v="419"/>
    <n v="5"/>
    <n v="10475"/>
    <x v="310"/>
    <x v="17"/>
    <n v="388"/>
    <s v="Йогурт"/>
    <n v="263.2542372881356"/>
    <n v="0.5916173062065413"/>
    <s v="Ростагроэкспорт"/>
    <n v="257.7826086956522"/>
    <d v="2022-01-20T00:00:00"/>
    <x v="285"/>
  </r>
  <r>
    <n v="584"/>
    <n v="355"/>
    <n v="210"/>
    <n v="1"/>
    <n v="1050"/>
    <x v="302"/>
    <x v="6"/>
    <n v="446"/>
    <s v="Кофе"/>
    <n v="249.0238095238095"/>
    <n v="-0.156707142174204"/>
    <s v="Jacobs"/>
    <n v="276.2105263157895"/>
    <d v="2022-04-20T00:00:00"/>
    <x v="217"/>
  </r>
  <r>
    <n v="585"/>
    <n v="118"/>
    <n v="214"/>
    <n v="2"/>
    <n v="2140"/>
    <x v="18"/>
    <x v="6"/>
    <n v="138"/>
    <s v="Сахар"/>
    <n v="252.7627118644068"/>
    <n v="-0.1533561322336217"/>
    <s v="Продимекс"/>
    <n v="240.5"/>
    <d v="2022-06-11T00:00:00"/>
    <x v="187"/>
  </r>
  <r>
    <n v="586"/>
    <n v="414"/>
    <n v="115"/>
    <n v="2"/>
    <n v="1150"/>
    <x v="309"/>
    <x v="4"/>
    <n v="402"/>
    <s v="Фрукты"/>
    <n v="274.1627906976744"/>
    <n v="-0.5805411824582238"/>
    <s v="Экзотик"/>
    <n v="253.6875"/>
    <d v="2022-06-30T00:00:00"/>
    <x v="99"/>
  </r>
  <r>
    <n v="587"/>
    <n v="405"/>
    <n v="340"/>
    <n v="1"/>
    <n v="1700"/>
    <x v="302"/>
    <x v="3"/>
    <n v="351"/>
    <s v="Хлеб"/>
    <n v="300.3181818181818"/>
    <n v="0.1321325866505223"/>
    <s v="Каравай"/>
    <n v="331.1666666666667"/>
    <d v="2022-10-29T00:00:00"/>
    <x v="248"/>
  </r>
  <r>
    <n v="588"/>
    <n v="313"/>
    <n v="392"/>
    <n v="5"/>
    <n v="9800"/>
    <x v="73"/>
    <x v="0"/>
    <n v="40"/>
    <s v="Конфеты"/>
    <n v="267.8548387096774"/>
    <n v="0.4634792557355332"/>
    <s v="Бабаевский"/>
    <n v="250.2592592592593"/>
    <d v="2022-10-21T00:00:00"/>
    <x v="393"/>
  </r>
  <r>
    <n v="589"/>
    <n v="113"/>
    <n v="378"/>
    <n v="1"/>
    <n v="1890"/>
    <x v="104"/>
    <x v="2"/>
    <n v="19"/>
    <s v="Сок"/>
    <n v="268.6034482758621"/>
    <n v="0.4072790294627382"/>
    <s v="Добрый"/>
    <n v="242.8181818181818"/>
    <d v="2022-12-07T00:00:00"/>
    <x v="394"/>
  </r>
  <r>
    <n v="590"/>
    <n v="474"/>
    <n v="204"/>
    <n v="2"/>
    <n v="2040"/>
    <x v="6"/>
    <x v="15"/>
    <n v="153"/>
    <s v="Молоко"/>
    <n v="294.952380952381"/>
    <n v="-0.3083629318695512"/>
    <s v="Простоквашино"/>
    <n v="318.8181818181818"/>
    <d v="2022-08-29T00:00:00"/>
    <x v="87"/>
  </r>
  <r>
    <n v="591"/>
    <n v="361"/>
    <n v="69"/>
    <n v="1"/>
    <n v="345"/>
    <x v="304"/>
    <x v="19"/>
    <n v="355"/>
    <s v="Мясо"/>
    <n v="271.7454545454545"/>
    <n v="-0.7460859092733843"/>
    <s v="Сава"/>
    <n v="212.8125"/>
    <d v="2022-03-11T00:00:00"/>
    <x v="24"/>
  </r>
  <r>
    <n v="592"/>
    <n v="291"/>
    <n v="455"/>
    <n v="5"/>
    <n v="11375"/>
    <x v="213"/>
    <x v="10"/>
    <n v="245"/>
    <s v="Рыба"/>
    <n v="258.5128205128205"/>
    <n v="0.7600674469351321"/>
    <s v="Балтийский берег"/>
    <n v="289.8888888888889"/>
    <d v="2022-05-14T00:00:00"/>
    <x v="395"/>
  </r>
  <r>
    <n v="593"/>
    <n v="360"/>
    <n v="137"/>
    <n v="2"/>
    <n v="1370"/>
    <x v="356"/>
    <x v="14"/>
    <n v="80"/>
    <s v="Соль"/>
    <n v="264.8679245283019"/>
    <n v="-0.4827610770765066"/>
    <s v="Славянская"/>
    <n v="236.9166666666667"/>
    <d v="2022-03-03T00:00:00"/>
    <x v="396"/>
  </r>
  <r>
    <n v="594"/>
    <n v="182"/>
    <n v="152"/>
    <n v="3"/>
    <n v="2280"/>
    <x v="357"/>
    <x v="14"/>
    <n v="466"/>
    <s v="Соль"/>
    <n v="264.8679245283019"/>
    <n v="-0.4261290782162701"/>
    <s v="Экстра"/>
    <n v="320.8461538461539"/>
    <d v="2022-07-30T00:00:00"/>
    <x v="397"/>
  </r>
  <r>
    <n v="595"/>
    <n v="490"/>
    <n v="170"/>
    <n v="5"/>
    <n v="4250"/>
    <x v="18"/>
    <x v="9"/>
    <n v="317"/>
    <s v="Сыр"/>
    <n v="262.6349206349207"/>
    <n v="-0.3527136468028527"/>
    <s v="Сырная долина"/>
    <n v="271"/>
    <d v="2022-07-28T00:00:00"/>
    <x v="137"/>
  </r>
  <r>
    <n v="596"/>
    <n v="215"/>
    <n v="496"/>
    <n v="2"/>
    <n v="4960"/>
    <x v="358"/>
    <x v="4"/>
    <n v="342"/>
    <s v="Сок"/>
    <n v="268.6034482758621"/>
    <n v="0.8465883561204184"/>
    <s v="Фруктовый сад"/>
    <n v="281.96875"/>
    <d v="2022-01-09T00:00:00"/>
    <x v="398"/>
  </r>
  <r>
    <n v="597"/>
    <n v="137"/>
    <n v="411"/>
    <n v="1"/>
    <n v="2055"/>
    <x v="231"/>
    <x v="19"/>
    <n v="130"/>
    <s v="Фрукты"/>
    <n v="274.1627906976744"/>
    <n v="0.4991093392145218"/>
    <s v="Экзотик"/>
    <n v="253.6875"/>
    <d v="2022-10-29T00:00:00"/>
    <x v="399"/>
  </r>
  <r>
    <n v="598"/>
    <n v="75"/>
    <n v="240"/>
    <n v="4"/>
    <n v="4800"/>
    <x v="359"/>
    <x v="14"/>
    <n v="53"/>
    <s v="Печенье"/>
    <n v="283.468085106383"/>
    <n v="-0.1533438414771449"/>
    <s v="Белогорье"/>
    <n v="249.5"/>
    <d v="2022-02-01T00:00:00"/>
    <x v="400"/>
  </r>
  <r>
    <n v="599"/>
    <n v="359"/>
    <n v="302"/>
    <n v="4"/>
    <n v="6040"/>
    <x v="183"/>
    <x v="14"/>
    <n v="122"/>
    <s v="Мясо"/>
    <n v="271.7454545454545"/>
    <n v="0.1113341362237388"/>
    <s v="Мираторг"/>
    <n v="316.5833333333333"/>
    <d v="2022-05-02T00:00:00"/>
    <x v="401"/>
  </r>
  <r>
    <n v="600"/>
    <n v="364"/>
    <n v="138"/>
    <n v="4"/>
    <n v="2760"/>
    <x v="294"/>
    <x v="14"/>
    <n v="199"/>
    <s v="Сахар"/>
    <n v="252.7627118644068"/>
    <n v="-0.4540333936833635"/>
    <s v="Русский сахар"/>
    <n v="293.4117647058824"/>
    <d v="2022-06-03T00:00:00"/>
    <x v="227"/>
  </r>
  <r>
    <n v="601"/>
    <n v="197"/>
    <n v="309"/>
    <n v="4"/>
    <n v="6180"/>
    <x v="155"/>
    <x v="7"/>
    <n v="52"/>
    <s v="Печенье"/>
    <n v="283.468085106383"/>
    <n v="0.090069804098176"/>
    <s v="Юбилейное"/>
    <n v="232.4444444444445"/>
    <d v="2022-12-22T00:00:00"/>
    <x v="124"/>
  </r>
  <r>
    <n v="602"/>
    <n v="157"/>
    <n v="473"/>
    <n v="5"/>
    <n v="11825"/>
    <x v="139"/>
    <x v="14"/>
    <n v="477"/>
    <s v="Сыр"/>
    <n v="262.6349206349207"/>
    <n v="0.8009790886014745"/>
    <s v="President"/>
    <n v="238.7222222222222"/>
    <d v="2022-06-26T00:00:00"/>
    <x v="185"/>
  </r>
  <r>
    <n v="603"/>
    <n v="105"/>
    <n v="187"/>
    <n v="1"/>
    <n v="935"/>
    <x v="123"/>
    <x v="11"/>
    <n v="24"/>
    <s v="Фрукты"/>
    <n v="274.1627906976744"/>
    <n v="-0.3179234879972856"/>
    <s v="Фрукты-Ягоды"/>
    <n v="280.6666666666667"/>
    <d v="2022-02-17T00:00:00"/>
    <x v="378"/>
  </r>
  <r>
    <n v="604"/>
    <n v="479"/>
    <n v="314"/>
    <n v="3"/>
    <n v="4710"/>
    <x v="360"/>
    <x v="8"/>
    <n v="293"/>
    <s v="Овощи"/>
    <n v="250.4878048780488"/>
    <n v="0.253554040895813"/>
    <s v="Гавриш"/>
    <n v="247.6666666666667"/>
    <d v="2022-01-12T00:00:00"/>
    <x v="402"/>
  </r>
  <r>
    <n v="605"/>
    <n v="285"/>
    <n v="122"/>
    <n v="5"/>
    <n v="3050"/>
    <x v="107"/>
    <x v="9"/>
    <n v="447"/>
    <s v="Макароны"/>
    <n v="265.4767441860465"/>
    <n v="-0.5404493889886558"/>
    <s v="Паста Зара"/>
    <n v="276.6756756756757"/>
    <d v="2022-12-03T00:00:00"/>
    <x v="403"/>
  </r>
  <r>
    <n v="606"/>
    <n v="93"/>
    <n v="184"/>
    <n v="2"/>
    <n v="1840"/>
    <x v="0"/>
    <x v="11"/>
    <n v="163"/>
    <s v="Чай"/>
    <n v="271.1818181818182"/>
    <n v="-0.3214884344619511"/>
    <s v="Greenfield"/>
    <n v="291.4545454545454"/>
    <d v="2022-01-10T00:00:00"/>
    <x v="138"/>
  </r>
  <r>
    <n v="607"/>
    <n v="199"/>
    <n v="172"/>
    <n v="3"/>
    <n v="2580"/>
    <x v="361"/>
    <x v="14"/>
    <n v="421"/>
    <s v="Макароны"/>
    <n v="265.4767441860465"/>
    <n v="-0.3521089746397442"/>
    <s v="Борилла"/>
    <n v="236.2758620689655"/>
    <d v="2022-02-28T00:00:00"/>
    <x v="326"/>
  </r>
  <r>
    <n v="608"/>
    <n v="122"/>
    <n v="482"/>
    <n v="4"/>
    <n v="9640"/>
    <x v="123"/>
    <x v="15"/>
    <n v="320"/>
    <s v="Фрукты"/>
    <n v="274.1627906976744"/>
    <n v="0.758079565696836"/>
    <s v="Фрукты-Ягоды"/>
    <n v="280.6666666666667"/>
    <d v="2022-11-04T00:00:00"/>
    <x v="404"/>
  </r>
  <r>
    <n v="609"/>
    <n v="415"/>
    <n v="350"/>
    <n v="1"/>
    <n v="1750"/>
    <x v="362"/>
    <x v="0"/>
    <n v="199"/>
    <s v="Чипсы"/>
    <n v="273.7254901960785"/>
    <n v="0.2786532951289398"/>
    <s v="Pringles"/>
    <n v="280.2380952380952"/>
    <d v="2022-06-03T00:00:00"/>
    <x v="405"/>
  </r>
  <r>
    <n v="610"/>
    <n v="315"/>
    <n v="232"/>
    <n v="1"/>
    <n v="1160"/>
    <x v="363"/>
    <x v="5"/>
    <n v="247"/>
    <s v="Йогурт"/>
    <n v="263.2542372881356"/>
    <n v="-0.1187226371362349"/>
    <s v="Чудо"/>
    <n v="287.1"/>
    <d v="2022-07-20T00:00:00"/>
    <x v="406"/>
  </r>
  <r>
    <n v="611"/>
    <n v="25"/>
    <n v="222"/>
    <n v="1"/>
    <n v="1110"/>
    <x v="58"/>
    <x v="3"/>
    <n v="364"/>
    <s v="Чипсы"/>
    <n v="273.7254901960785"/>
    <n v="-0.1889684813753583"/>
    <s v="Русская картошка"/>
    <n v="241.8333333333333"/>
    <d v="2022-11-18T00:00:00"/>
    <x v="36"/>
  </r>
  <r>
    <n v="612"/>
    <n v="207"/>
    <n v="152"/>
    <n v="3"/>
    <n v="2280"/>
    <x v="236"/>
    <x v="3"/>
    <n v="173"/>
    <s v="Сахар"/>
    <n v="252.7627118644068"/>
    <n v="-0.3986454771005163"/>
    <s v="Агросахар"/>
    <n v="215.8571428571429"/>
    <d v="2022-04-22T00:00:00"/>
    <x v="352"/>
  </r>
  <r>
    <n v="613"/>
    <n v="180"/>
    <n v="284"/>
    <n v="1"/>
    <n v="1420"/>
    <x v="33"/>
    <x v="1"/>
    <n v="485"/>
    <s v="Чипсы"/>
    <n v="273.7254901960785"/>
    <n v="0.03753581661891103"/>
    <s v="Русская картошка"/>
    <n v="241.8333333333333"/>
    <d v="2022-06-11T00:00:00"/>
    <x v="407"/>
  </r>
  <r>
    <n v="614"/>
    <n v="117"/>
    <n v="208"/>
    <n v="3"/>
    <n v="3120"/>
    <x v="330"/>
    <x v="0"/>
    <n v="401"/>
    <s v="Макароны"/>
    <n v="265.4767441860465"/>
    <n v="-0.2165038763085279"/>
    <s v="Роллтон"/>
    <n v="235.5555555555555"/>
    <d v="2022-10-22T00:00:00"/>
    <x v="227"/>
  </r>
  <r>
    <n v="615"/>
    <n v="211"/>
    <n v="338"/>
    <n v="4"/>
    <n v="6760"/>
    <x v="249"/>
    <x v="3"/>
    <n v="379"/>
    <s v="Овощи"/>
    <n v="250.4878048780488"/>
    <n v="0.3493670886075948"/>
    <s v="Овощной ряд"/>
    <n v="303.8235294117647"/>
    <d v="2022-01-20T00:00:00"/>
    <x v="408"/>
  </r>
  <r>
    <n v="616"/>
    <n v="26"/>
    <n v="143"/>
    <n v="2"/>
    <n v="1430"/>
    <x v="330"/>
    <x v="14"/>
    <n v="183"/>
    <s v="Мясо"/>
    <n v="271.7454545454545"/>
    <n v="-0.4737722467549846"/>
    <s v="Сава"/>
    <n v="212.8125"/>
    <d v="2022-12-05T00:00:00"/>
    <x v="409"/>
  </r>
  <r>
    <n v="617"/>
    <n v="22"/>
    <n v="217"/>
    <n v="3"/>
    <n v="3255"/>
    <x v="309"/>
    <x v="12"/>
    <n v="37"/>
    <s v="Конфеты"/>
    <n v="267.8548387096774"/>
    <n v="-0.1898596977178298"/>
    <s v="Бабаевский"/>
    <n v="250.2592592592593"/>
    <d v="2022-06-16T00:00:00"/>
    <x v="410"/>
  </r>
  <r>
    <n v="618"/>
    <n v="150"/>
    <n v="347"/>
    <n v="3"/>
    <n v="5205"/>
    <x v="364"/>
    <x v="2"/>
    <n v="201"/>
    <s v="Рыба"/>
    <n v="258.5128205128205"/>
    <n v="0.3422931957944852"/>
    <s v="Меридиан"/>
    <n v="260.6470588235294"/>
    <d v="2022-10-09T00:00:00"/>
    <x v="119"/>
  </r>
  <r>
    <n v="619"/>
    <n v="268"/>
    <n v="55"/>
    <n v="2"/>
    <n v="550"/>
    <x v="302"/>
    <x v="11"/>
    <n v="424"/>
    <s v="Рис"/>
    <n v="258.375"/>
    <n v="-0.7871311078858249"/>
    <s v="Мистраль"/>
    <n v="181.5714285714286"/>
    <d v="2022-01-24T00:00:00"/>
    <x v="122"/>
  </r>
  <r>
    <n v="620"/>
    <n v="67"/>
    <n v="142"/>
    <n v="4"/>
    <n v="2840"/>
    <x v="294"/>
    <x v="0"/>
    <n v="69"/>
    <s v="Йогурт"/>
    <n v="263.2542372881356"/>
    <n v="-0.4605974761782127"/>
    <s v="Чудо"/>
    <n v="287.1"/>
    <d v="2022-01-26T00:00:00"/>
    <x v="411"/>
  </r>
  <r>
    <n v="621"/>
    <n v="453"/>
    <n v="459"/>
    <n v="1"/>
    <n v="2295"/>
    <x v="10"/>
    <x v="7"/>
    <n v="498"/>
    <s v="Макароны"/>
    <n v="265.4767441860465"/>
    <n v="0.7289650037230082"/>
    <s v="Макфа"/>
    <n v="329.2727272727273"/>
    <d v="2022-06-09T00:00:00"/>
    <x v="143"/>
  </r>
  <r>
    <n v="622"/>
    <n v="191"/>
    <n v="58"/>
    <n v="1"/>
    <n v="290"/>
    <x v="57"/>
    <x v="11"/>
    <n v="237"/>
    <s v="Колбаса"/>
    <n v="286.9230769230769"/>
    <n v="-0.7978552278820376"/>
    <s v="Окраина"/>
    <n v="273.5833333333333"/>
    <d v="2022-11-21T00:00:00"/>
    <x v="412"/>
  </r>
  <r>
    <n v="623"/>
    <n v="49"/>
    <n v="465"/>
    <n v="2"/>
    <n v="4650"/>
    <x v="365"/>
    <x v="2"/>
    <n v="365"/>
    <s v="Рис"/>
    <n v="258.375"/>
    <n v="0.7997097242380262"/>
    <s v="Агро-Альянс"/>
    <n v="317.8571428571428"/>
    <d v="2022-10-07T00:00:00"/>
    <x v="237"/>
  </r>
  <r>
    <n v="624"/>
    <n v="313"/>
    <n v="152"/>
    <n v="1"/>
    <n v="760"/>
    <x v="366"/>
    <x v="8"/>
    <n v="127"/>
    <s v="Конфеты"/>
    <n v="267.8548387096774"/>
    <n v="-0.4325284518576504"/>
    <s v="Бабаевский"/>
    <n v="250.2592592592593"/>
    <d v="2022-12-19T00:00:00"/>
    <x v="413"/>
  </r>
  <r>
    <n v="625"/>
    <n v="245"/>
    <n v="144"/>
    <n v="4"/>
    <n v="2880"/>
    <x v="292"/>
    <x v="15"/>
    <n v="314"/>
    <s v="Сахар"/>
    <n v="252.7627118644068"/>
    <n v="-0.4302957151478576"/>
    <s v="Продимекс"/>
    <n v="240.5"/>
    <d v="2022-12-04T00:00:00"/>
    <x v="259"/>
  </r>
  <r>
    <n v="626"/>
    <n v="194"/>
    <n v="478"/>
    <n v="3"/>
    <n v="7170"/>
    <x v="111"/>
    <x v="8"/>
    <n v="403"/>
    <s v="Соль"/>
    <n v="264.8679245283019"/>
    <n v="0.8046730303462031"/>
    <s v="Салта"/>
    <n v="273.7"/>
    <d v="2022-02-02T00:00:00"/>
    <x v="410"/>
  </r>
  <r>
    <n v="627"/>
    <n v="154"/>
    <n v="75"/>
    <n v="1"/>
    <n v="375"/>
    <x v="336"/>
    <x v="6"/>
    <n v="255"/>
    <s v="Овощи"/>
    <n v="250.4878048780488"/>
    <n v="-0.7005842259006816"/>
    <s v="Зеленая грядка"/>
    <n v="159.2"/>
    <d v="2022-08-20T00:00:00"/>
    <x v="145"/>
  </r>
  <r>
    <n v="628"/>
    <n v="462"/>
    <n v="147"/>
    <n v="5"/>
    <n v="3675"/>
    <x v="367"/>
    <x v="15"/>
    <n v="229"/>
    <s v="Рис"/>
    <n v="258.375"/>
    <n v="-0.4310595065312046"/>
    <s v="Белый Злат"/>
    <n v="269.7058823529412"/>
    <d v="2022-07-24T00:00:00"/>
    <x v="385"/>
  </r>
  <r>
    <n v="629"/>
    <n v="310"/>
    <n v="404"/>
    <n v="4"/>
    <n v="8080"/>
    <x v="173"/>
    <x v="3"/>
    <n v="179"/>
    <s v="Макароны"/>
    <n v="265.4767441860465"/>
    <n v="0.5217905479392055"/>
    <s v="Паста Зара"/>
    <n v="276.6756756756757"/>
    <d v="2022-09-29T00:00:00"/>
    <x v="414"/>
  </r>
  <r>
    <n v="630"/>
    <n v="422"/>
    <n v="361"/>
    <n v="1"/>
    <n v="1805"/>
    <x v="114"/>
    <x v="7"/>
    <n v="277"/>
    <s v="Кофе"/>
    <n v="249.0238095238095"/>
    <n v="0.4496605794052968"/>
    <s v="Nescafe"/>
    <n v="256.9"/>
    <d v="2022-07-08T00:00:00"/>
    <x v="6"/>
  </r>
  <r>
    <n v="631"/>
    <n v="453"/>
    <n v="404"/>
    <n v="5"/>
    <n v="10100"/>
    <x v="177"/>
    <x v="0"/>
    <n v="460"/>
    <s v="Макароны"/>
    <n v="265.4767441860465"/>
    <n v="0.5217905479392055"/>
    <s v="Макфа"/>
    <n v="329.2727272727273"/>
    <d v="2022-09-17T00:00:00"/>
    <x v="366"/>
  </r>
  <r>
    <n v="632"/>
    <n v="337"/>
    <n v="132"/>
    <n v="3"/>
    <n v="1980"/>
    <x v="308"/>
    <x v="18"/>
    <n v="434"/>
    <s v="Макароны"/>
    <n v="265.4767441860465"/>
    <n v="-0.5027813061188735"/>
    <s v="Паста Зара"/>
    <n v="276.6756756756757"/>
    <d v="2022-06-18T00:00:00"/>
    <x v="141"/>
  </r>
  <r>
    <n v="633"/>
    <n v="258"/>
    <n v="333"/>
    <n v="4"/>
    <n v="6660"/>
    <x v="180"/>
    <x v="3"/>
    <n v="62"/>
    <s v="Рыба"/>
    <n v="258.5128205128205"/>
    <n v="0.2881372743503274"/>
    <s v="Санта Бремор"/>
    <n v="216.4"/>
    <d v="2022-04-20T00:00:00"/>
    <x v="385"/>
  </r>
  <r>
    <n v="634"/>
    <n v="111"/>
    <n v="420"/>
    <n v="1"/>
    <n v="2100"/>
    <x v="368"/>
    <x v="1"/>
    <n v="13"/>
    <s v="Сахар"/>
    <n v="252.7627118644068"/>
    <n v="0.6616374974854153"/>
    <s v="Сладов"/>
    <n v="240.2666666666667"/>
    <d v="2022-06-12T00:00:00"/>
    <x v="350"/>
  </r>
  <r>
    <n v="635"/>
    <n v="4"/>
    <n v="151"/>
    <n v="4"/>
    <n v="3020"/>
    <x v="369"/>
    <x v="10"/>
    <n v="116"/>
    <s v="Рис"/>
    <n v="258.375"/>
    <n v="-0.4155781325592647"/>
    <s v="Белый Злат"/>
    <n v="269.7058823529412"/>
    <d v="2022-03-23T00:00:00"/>
    <x v="405"/>
  </r>
  <r>
    <n v="636"/>
    <n v="266"/>
    <n v="141"/>
    <n v="5"/>
    <n v="3525"/>
    <x v="25"/>
    <x v="3"/>
    <n v="50"/>
    <s v="Рыба"/>
    <n v="258.5128205128205"/>
    <n v="-0.4545725054552667"/>
    <s v="Меридиан"/>
    <n v="260.6470588235294"/>
    <d v="2022-01-15T00:00:00"/>
    <x v="89"/>
  </r>
  <r>
    <n v="637"/>
    <n v="143"/>
    <n v="339"/>
    <n v="1"/>
    <n v="1695"/>
    <x v="102"/>
    <x v="3"/>
    <n v="197"/>
    <s v="Сахар"/>
    <n v="252.7627118644068"/>
    <n v="0.3411788372560853"/>
    <s v="Агросахар"/>
    <n v="215.8571428571429"/>
    <d v="2022-08-12T00:00:00"/>
    <x v="415"/>
  </r>
  <r>
    <n v="638"/>
    <n v="475"/>
    <n v="206"/>
    <n v="3"/>
    <n v="3090"/>
    <x v="86"/>
    <x v="11"/>
    <n v="243"/>
    <s v="Хлеб"/>
    <n v="300.3181818181818"/>
    <n v="-0.3140608445588012"/>
    <s v="Русский Хлеб"/>
    <n v="316.6"/>
    <d v="2022-04-30T00:00:00"/>
    <x v="416"/>
  </r>
  <r>
    <n v="639"/>
    <n v="52"/>
    <n v="105"/>
    <n v="2"/>
    <n v="1050"/>
    <x v="250"/>
    <x v="0"/>
    <n v="275"/>
    <s v="Соль"/>
    <n v="264.8679245283019"/>
    <n v="-0.6035760079783445"/>
    <s v="Илецкая"/>
    <n v="238.1666666666667"/>
    <d v="2022-03-31T00:00:00"/>
    <x v="40"/>
  </r>
  <r>
    <n v="640"/>
    <n v="47"/>
    <n v="356"/>
    <n v="3"/>
    <n v="5340"/>
    <x v="370"/>
    <x v="7"/>
    <n v="45"/>
    <s v="Мясо"/>
    <n v="271.7454545454545"/>
    <n v="0.3100495115750033"/>
    <s v="Снежана"/>
    <n v="272.3529411764706"/>
    <d v="2022-04-11T00:00:00"/>
    <x v="64"/>
  </r>
  <r>
    <n v="641"/>
    <n v="122"/>
    <n v="240"/>
    <n v="1"/>
    <n v="1200"/>
    <x v="205"/>
    <x v="1"/>
    <n v="419"/>
    <s v="Фрукты"/>
    <n v="274.1627906976744"/>
    <n v="-0.1246076851302061"/>
    <s v="Фрукты-Ягоды"/>
    <n v="280.6666666666667"/>
    <d v="2022-11-04T00:00:00"/>
    <x v="417"/>
  </r>
  <r>
    <n v="642"/>
    <n v="422"/>
    <n v="290"/>
    <n v="5"/>
    <n v="7250"/>
    <x v="257"/>
    <x v="4"/>
    <n v="125"/>
    <s v="Кофе"/>
    <n v="249.0238095238095"/>
    <n v="0.1645472798546705"/>
    <s v="Nescafe"/>
    <n v="256.9"/>
    <d v="2022-05-20T00:00:00"/>
    <x v="418"/>
  </r>
  <r>
    <n v="643"/>
    <n v="479"/>
    <n v="405"/>
    <n v="4"/>
    <n v="8100"/>
    <x v="74"/>
    <x v="11"/>
    <n v="242"/>
    <s v="Овощи"/>
    <n v="250.4878048780488"/>
    <n v="0.6168451801363193"/>
    <s v="Гавриш"/>
    <n v="247.6666666666667"/>
    <d v="2022-07-05T00:00:00"/>
    <x v="400"/>
  </r>
  <r>
    <n v="644"/>
    <n v="99"/>
    <n v="281"/>
    <n v="5"/>
    <n v="7025"/>
    <x v="184"/>
    <x v="7"/>
    <n v="329"/>
    <s v="Овощи"/>
    <n v="250.4878048780488"/>
    <n v="0.121811100292113"/>
    <s v="Семко"/>
    <n v="208"/>
    <d v="2022-04-02T00:00:00"/>
    <x v="47"/>
  </r>
  <r>
    <n v="645"/>
    <n v="272"/>
    <n v="207"/>
    <n v="5"/>
    <n v="5175"/>
    <x v="289"/>
    <x v="19"/>
    <n v="42"/>
    <s v="Крупа"/>
    <n v="255.1162790697674"/>
    <n v="-0.1886052871467639"/>
    <s v="Ярмарка"/>
    <n v="252.0909090909091"/>
    <d v="2022-08-10T00:00:00"/>
    <x v="206"/>
  </r>
  <r>
    <n v="646"/>
    <n v="493"/>
    <n v="378"/>
    <n v="2"/>
    <n v="3780"/>
    <x v="371"/>
    <x v="14"/>
    <n v="229"/>
    <s v="Овощи"/>
    <n v="250.4878048780488"/>
    <n v="0.5090555014605647"/>
    <s v="Овощной ряд"/>
    <n v="303.8235294117647"/>
    <d v="2022-07-24T00:00:00"/>
    <x v="419"/>
  </r>
  <r>
    <n v="647"/>
    <n v="360"/>
    <n v="120"/>
    <n v="2"/>
    <n v="1200"/>
    <x v="111"/>
    <x v="19"/>
    <n v="306"/>
    <s v="Соль"/>
    <n v="264.8679245283019"/>
    <n v="-0.546944009118108"/>
    <s v="Славянская"/>
    <n v="236.9166666666667"/>
    <d v="2022-11-07T00:00:00"/>
    <x v="420"/>
  </r>
  <r>
    <n v="648"/>
    <n v="215"/>
    <n v="440"/>
    <n v="2"/>
    <n v="4400"/>
    <x v="34"/>
    <x v="10"/>
    <n v="292"/>
    <s v="Сок"/>
    <n v="268.6034482758621"/>
    <n v="0.6381025739777906"/>
    <s v="Фруктовый сад"/>
    <n v="281.96875"/>
    <d v="2022-02-16T00:00:00"/>
    <x v="135"/>
  </r>
  <r>
    <n v="649"/>
    <n v="292"/>
    <n v="327"/>
    <n v="5"/>
    <n v="8175"/>
    <x v="123"/>
    <x v="12"/>
    <n v="275"/>
    <s v="Колбаса"/>
    <n v="286.9230769230769"/>
    <n v="0.1396782841823057"/>
    <s v="Дымов"/>
    <n v="312.6666666666667"/>
    <d v="2022-03-31T00:00:00"/>
    <x v="421"/>
  </r>
  <r>
    <n v="650"/>
    <n v="307"/>
    <n v="407"/>
    <n v="1"/>
    <n v="2035"/>
    <x v="342"/>
    <x v="12"/>
    <n v="103"/>
    <s v="Сыр"/>
    <n v="262.6349206349207"/>
    <n v="0.5496796808896409"/>
    <s v="Карат"/>
    <n v="311.3333333333333"/>
    <d v="2022-08-14T00:00:00"/>
    <x v="43"/>
  </r>
  <r>
    <n v="651"/>
    <n v="473"/>
    <n v="343"/>
    <n v="5"/>
    <n v="8575"/>
    <x v="372"/>
    <x v="3"/>
    <n v="460"/>
    <s v="Хлеб"/>
    <n v="300.3181818181818"/>
    <n v="0.1421219918268504"/>
    <s v="Хлебный Дом"/>
    <n v="281.7333333333333"/>
    <d v="2022-09-17T00:00:00"/>
    <x v="333"/>
  </r>
  <r>
    <n v="652"/>
    <n v="112"/>
    <n v="237"/>
    <n v="3"/>
    <n v="3555"/>
    <x v="82"/>
    <x v="17"/>
    <n v="342"/>
    <s v="Молоко"/>
    <n v="294.952380952381"/>
    <n v="-0.1964804649660963"/>
    <s v="Беллакт"/>
    <n v="322.5454545454546"/>
    <d v="2022-01-09T00:00:00"/>
    <x v="422"/>
  </r>
  <r>
    <n v="653"/>
    <n v="131"/>
    <n v="116"/>
    <n v="5"/>
    <n v="2900"/>
    <x v="238"/>
    <x v="1"/>
    <n v="246"/>
    <s v="Сок"/>
    <n v="268.6034482758621"/>
    <n v="-0.568136594133128"/>
    <s v="Сады Придонья"/>
    <n v="254.1818181818182"/>
    <d v="2022-09-01T00:00:00"/>
    <x v="330"/>
  </r>
  <r>
    <n v="654"/>
    <n v="230"/>
    <n v="453"/>
    <n v="3"/>
    <n v="6795"/>
    <x v="371"/>
    <x v="19"/>
    <n v="175"/>
    <s v="Сок"/>
    <n v="268.6034482758621"/>
    <n v="0.6865010591180434"/>
    <s v="Фруктовый сад"/>
    <n v="281.96875"/>
    <d v="2022-01-04T00:00:00"/>
    <x v="423"/>
  </r>
  <r>
    <n v="655"/>
    <n v="39"/>
    <n v="375"/>
    <n v="2"/>
    <n v="3750"/>
    <x v="148"/>
    <x v="14"/>
    <n v="366"/>
    <s v="Сыр"/>
    <n v="262.6349206349207"/>
    <n v="0.4278375438172366"/>
    <s v="Сырная долина"/>
    <n v="271"/>
    <d v="2022-09-23T00:00:00"/>
    <x v="256"/>
  </r>
  <r>
    <n v="656"/>
    <n v="481"/>
    <n v="374"/>
    <n v="5"/>
    <n v="9350"/>
    <x v="26"/>
    <x v="14"/>
    <n v="254"/>
    <s v="Чипсы"/>
    <n v="273.7254901960785"/>
    <n v="0.3663323782234955"/>
    <s v="Pringles"/>
    <n v="280.2380952380952"/>
    <d v="2022-10-28T00:00:00"/>
    <x v="45"/>
  </r>
  <r>
    <n v="657"/>
    <n v="438"/>
    <n v="81"/>
    <n v="4"/>
    <n v="1620"/>
    <x v="79"/>
    <x v="16"/>
    <n v="79"/>
    <s v="Кофе"/>
    <n v="249.0238095238095"/>
    <n v="-0.6747298976957644"/>
    <s v="Nescafe"/>
    <n v="256.9"/>
    <d v="2022-06-04T00:00:00"/>
    <x v="424"/>
  </r>
  <r>
    <n v="658"/>
    <n v="316"/>
    <n v="428"/>
    <n v="3"/>
    <n v="6420"/>
    <x v="44"/>
    <x v="4"/>
    <n v="70"/>
    <s v="Макароны"/>
    <n v="265.4767441860465"/>
    <n v="0.612193946826683"/>
    <s v="Борилла"/>
    <n v="236.2758620689655"/>
    <d v="2022-01-30T00:00:00"/>
    <x v="425"/>
  </r>
  <r>
    <n v="659"/>
    <n v="174"/>
    <n v="456"/>
    <n v="3"/>
    <n v="6840"/>
    <x v="181"/>
    <x v="15"/>
    <n v="76"/>
    <s v="Чай"/>
    <n v="271.1818181818182"/>
    <n v="0.6815286624203822"/>
    <s v="Ахмад"/>
    <n v="243.3"/>
    <d v="2022-01-14T00:00:00"/>
    <x v="426"/>
  </r>
  <r>
    <n v="660"/>
    <n v="228"/>
    <n v="247"/>
    <n v="4"/>
    <n v="4940"/>
    <x v="373"/>
    <x v="11"/>
    <n v="147"/>
    <s v="Рис"/>
    <n v="258.375"/>
    <n v="-0.04402515723270439"/>
    <s v="Мистраль"/>
    <n v="181.5714285714286"/>
    <d v="2022-09-23T00:00:00"/>
    <x v="427"/>
  </r>
  <r>
    <n v="661"/>
    <n v="269"/>
    <n v="455"/>
    <n v="5"/>
    <n v="11375"/>
    <x v="42"/>
    <x v="3"/>
    <n v="345"/>
    <s v="Сахар"/>
    <n v="252.7627118644068"/>
    <n v="0.8001072889425334"/>
    <s v="Русский сахар"/>
    <n v="293.4117647058824"/>
    <d v="2022-05-24T00:00:00"/>
    <x v="157"/>
  </r>
  <r>
    <n v="662"/>
    <n v="461"/>
    <n v="388"/>
    <n v="4"/>
    <n v="7760"/>
    <x v="374"/>
    <x v="13"/>
    <n v="303"/>
    <s v="Фрукты"/>
    <n v="274.1627906976744"/>
    <n v="0.4152175757061667"/>
    <s v="Green Garden"/>
    <n v="369.2"/>
    <d v="2022-05-08T00:00:00"/>
    <x v="428"/>
  </r>
  <r>
    <n v="663"/>
    <n v="151"/>
    <n v="496"/>
    <n v="3"/>
    <n v="7440"/>
    <x v="345"/>
    <x v="14"/>
    <n v="436"/>
    <s v="Молоко"/>
    <n v="294.952380952381"/>
    <n v="0.6816273813367775"/>
    <s v="Беллакт"/>
    <n v="322.5454545454546"/>
    <d v="2022-05-02T00:00:00"/>
    <x v="375"/>
  </r>
  <r>
    <n v="664"/>
    <n v="386"/>
    <n v="295"/>
    <n v="3"/>
    <n v="4425"/>
    <x v="40"/>
    <x v="11"/>
    <n v="25"/>
    <s v="Крупа"/>
    <n v="255.1162790697674"/>
    <n v="0.1563354603463993"/>
    <s v="Увелка"/>
    <n v="251.9166666666667"/>
    <d v="2022-01-21T00:00:00"/>
    <x v="429"/>
  </r>
  <r>
    <n v="665"/>
    <n v="452"/>
    <n v="226"/>
    <n v="4"/>
    <n v="4520"/>
    <x v="135"/>
    <x v="19"/>
    <n v="33"/>
    <s v="Фрукты"/>
    <n v="274.1627906976744"/>
    <n v="-0.1756722368309441"/>
    <s v="Экзотик"/>
    <n v="253.6875"/>
    <d v="2022-06-18T00:00:00"/>
    <x v="59"/>
  </r>
  <r>
    <n v="666"/>
    <n v="37"/>
    <n v="411"/>
    <n v="5"/>
    <n v="10275"/>
    <x v="375"/>
    <x v="13"/>
    <n v="7"/>
    <s v="Соль"/>
    <n v="264.8679245283019"/>
    <n v="0.55171676877048"/>
    <s v="Илецкая"/>
    <n v="238.1666666666667"/>
    <d v="2022-11-28T00:00:00"/>
    <x v="430"/>
  </r>
  <r>
    <n v="667"/>
    <n v="27"/>
    <n v="301"/>
    <n v="1"/>
    <n v="1505"/>
    <x v="286"/>
    <x v="14"/>
    <n v="494"/>
    <s v="Макароны"/>
    <n v="265.4767441860465"/>
    <n v="0.1338092943804476"/>
    <s v="Паста Зара"/>
    <n v="276.6756756756757"/>
    <d v="2022-06-26T00:00:00"/>
    <x v="105"/>
  </r>
  <r>
    <n v="668"/>
    <n v="435"/>
    <n v="452"/>
    <n v="4"/>
    <n v="9040"/>
    <x v="83"/>
    <x v="5"/>
    <n v="420"/>
    <s v="Мясо"/>
    <n v="271.7454545454545"/>
    <n v="0.6633212899772514"/>
    <s v="Снежана"/>
    <n v="272.3529411764706"/>
    <d v="2022-05-17T00:00:00"/>
    <x v="334"/>
  </r>
  <r>
    <n v="669"/>
    <n v="101"/>
    <n v="293"/>
    <n v="1"/>
    <n v="1465"/>
    <x v="153"/>
    <x v="14"/>
    <n v="75"/>
    <s v="Чай"/>
    <n v="271.1818181818182"/>
    <n v="0.0804559168622192"/>
    <s v="Ахмад"/>
    <n v="243.3"/>
    <d v="2022-08-23T00:00:00"/>
    <x v="431"/>
  </r>
  <r>
    <n v="670"/>
    <n v="423"/>
    <n v="382"/>
    <n v="2"/>
    <n v="3820"/>
    <x v="141"/>
    <x v="8"/>
    <n v="83"/>
    <s v="Чипсы"/>
    <n v="273.7254901960785"/>
    <n v="0.3955587392550142"/>
    <s v="Pringles"/>
    <n v="280.2380952380952"/>
    <d v="2022-06-27T00:00:00"/>
    <x v="407"/>
  </r>
  <r>
    <n v="671"/>
    <n v="411"/>
    <n v="158"/>
    <n v="3"/>
    <n v="2370"/>
    <x v="124"/>
    <x v="8"/>
    <n v="109"/>
    <s v="Хлеб"/>
    <n v="300.3181818181818"/>
    <n v="-0.4738913273800515"/>
    <s v="Хлебный Дом"/>
    <n v="281.7333333333333"/>
    <d v="2022-06-20T00:00:00"/>
    <x v="242"/>
  </r>
  <r>
    <n v="672"/>
    <n v="381"/>
    <n v="296"/>
    <n v="4"/>
    <n v="5920"/>
    <x v="136"/>
    <x v="12"/>
    <n v="465"/>
    <s v="Рыба"/>
    <n v="258.5128205128205"/>
    <n v="0.1450109105336244"/>
    <s v="Русское море"/>
    <n v="292.6666666666667"/>
    <d v="2022-04-20T00:00:00"/>
    <x v="379"/>
  </r>
  <r>
    <n v="673"/>
    <n v="400"/>
    <n v="345"/>
    <n v="2"/>
    <n v="3450"/>
    <x v="376"/>
    <x v="14"/>
    <n v="18"/>
    <s v="Молоко"/>
    <n v="294.952380952381"/>
    <n v="0.1696803358088472"/>
    <s v="Беллакт"/>
    <n v="322.5454545454546"/>
    <d v="2022-01-17T00:00:00"/>
    <x v="432"/>
  </r>
  <r>
    <n v="674"/>
    <n v="389"/>
    <n v="155"/>
    <n v="4"/>
    <n v="3100"/>
    <x v="145"/>
    <x v="19"/>
    <n v="376"/>
    <s v="Чай"/>
    <n v="271.1818181818182"/>
    <n v="-0.4284277572913174"/>
    <s v="Ахмад"/>
    <n v="243.3"/>
    <d v="2022-06-18T00:00:00"/>
    <x v="154"/>
  </r>
  <r>
    <n v="675"/>
    <n v="227"/>
    <n v="300"/>
    <n v="4"/>
    <n v="6000"/>
    <x v="140"/>
    <x v="8"/>
    <n v="88"/>
    <s v="Макароны"/>
    <n v="265.4767441860465"/>
    <n v="0.1300424860934695"/>
    <s v="Макфа"/>
    <n v="329.2727272727273"/>
    <d v="2022-03-10T00:00:00"/>
    <x v="433"/>
  </r>
  <r>
    <n v="676"/>
    <n v="243"/>
    <n v="371"/>
    <n v="3"/>
    <n v="5565"/>
    <x v="138"/>
    <x v="1"/>
    <n v="352"/>
    <s v="Рис"/>
    <n v="258.375"/>
    <n v="0.4358974358974359"/>
    <s v="Белый Злат"/>
    <n v="269.7058823529412"/>
    <d v="2022-01-12T00:00:00"/>
    <x v="355"/>
  </r>
  <r>
    <n v="677"/>
    <n v="187"/>
    <n v="273"/>
    <n v="3"/>
    <n v="4095"/>
    <x v="15"/>
    <x v="16"/>
    <n v="452"/>
    <s v="Макароны"/>
    <n v="265.4767441860465"/>
    <n v="0.02833866234505722"/>
    <s v="Паста Зара"/>
    <n v="276.6756756756757"/>
    <d v="2022-07-27T00:00:00"/>
    <x v="434"/>
  </r>
  <r>
    <n v="678"/>
    <n v="441"/>
    <n v="147"/>
    <n v="3"/>
    <n v="2205"/>
    <x v="39"/>
    <x v="9"/>
    <n v="449"/>
    <s v="Чай"/>
    <n v="271.1818181818182"/>
    <n v="-0.4579282601407979"/>
    <s v="Lipton"/>
    <n v="260.1578947368421"/>
    <d v="2022-03-25T00:00:00"/>
    <x v="161"/>
  </r>
  <r>
    <n v="679"/>
    <n v="446"/>
    <n v="440"/>
    <n v="5"/>
    <n v="11000"/>
    <x v="11"/>
    <x v="16"/>
    <n v="197"/>
    <s v="Чипсы"/>
    <n v="273.7254901960785"/>
    <n v="0.6074498567335243"/>
    <s v="Lay's"/>
    <n v="320.5714285714286"/>
    <d v="2022-08-12T00:00:00"/>
    <x v="435"/>
  </r>
  <r>
    <n v="680"/>
    <n v="55"/>
    <n v="227"/>
    <n v="4"/>
    <n v="4540"/>
    <x v="109"/>
    <x v="0"/>
    <n v="70"/>
    <s v="Крупа"/>
    <n v="255.1162790697674"/>
    <n v="-0.1102096627164996"/>
    <s v="Националь"/>
    <n v="274.2857142857143"/>
    <d v="2022-01-30T00:00:00"/>
    <x v="96"/>
  </r>
  <r>
    <n v="681"/>
    <n v="27"/>
    <n v="415"/>
    <n v="4"/>
    <n v="8300"/>
    <x v="377"/>
    <x v="17"/>
    <n v="345"/>
    <s v="Макароны"/>
    <n v="265.4767441860465"/>
    <n v="0.5632254390959659"/>
    <s v="Паста Зара"/>
    <n v="276.6756756756757"/>
    <d v="2022-05-24T00:00:00"/>
    <x v="436"/>
  </r>
  <r>
    <n v="682"/>
    <n v="110"/>
    <n v="84"/>
    <n v="5"/>
    <n v="2100"/>
    <x v="119"/>
    <x v="5"/>
    <n v="225"/>
    <s v="Макароны"/>
    <n v="265.4767441860465"/>
    <n v="-0.6835881038938285"/>
    <s v="Паста Зара"/>
    <n v="276.6756756756757"/>
    <d v="2022-09-23T00:00:00"/>
    <x v="437"/>
  </r>
  <r>
    <n v="683"/>
    <n v="196"/>
    <n v="196"/>
    <n v="4"/>
    <n v="3920"/>
    <x v="378"/>
    <x v="13"/>
    <n v="8"/>
    <s v="Конфеты"/>
    <n v="267.8548387096774"/>
    <n v="-0.2682603721322334"/>
    <s v="Рот Фронт"/>
    <n v="288.2380952380952"/>
    <d v="2022-11-18T00:00:00"/>
    <x v="403"/>
  </r>
  <r>
    <n v="684"/>
    <n v="271"/>
    <n v="123"/>
    <n v="2"/>
    <n v="1230"/>
    <x v="252"/>
    <x v="3"/>
    <n v="11"/>
    <s v="Сыр"/>
    <n v="262.6349206349207"/>
    <n v="-0.5316692856279464"/>
    <s v="Сырная долина"/>
    <n v="271"/>
    <d v="2022-05-09T00:00:00"/>
    <x v="257"/>
  </r>
  <r>
    <n v="685"/>
    <n v="189"/>
    <n v="356"/>
    <n v="1"/>
    <n v="1780"/>
    <x v="137"/>
    <x v="16"/>
    <n v="388"/>
    <s v="Хлеб"/>
    <n v="300.3181818181818"/>
    <n v="0.1854094142576055"/>
    <s v="Дарница"/>
    <n v="264"/>
    <d v="2022-01-20T00:00:00"/>
    <x v="438"/>
  </r>
  <r>
    <n v="686"/>
    <n v="372"/>
    <n v="166"/>
    <n v="5"/>
    <n v="4150"/>
    <x v="379"/>
    <x v="15"/>
    <n v="40"/>
    <s v="Кофе"/>
    <n v="249.0238095238095"/>
    <n v="-0.333397074290085"/>
    <s v="Черная Карта"/>
    <n v="222.2"/>
    <d v="2022-10-21T00:00:00"/>
    <x v="210"/>
  </r>
  <r>
    <n v="687"/>
    <n v="205"/>
    <n v="156"/>
    <n v="4"/>
    <n v="3120"/>
    <x v="360"/>
    <x v="4"/>
    <n v="286"/>
    <s v="Макароны"/>
    <n v="265.4767441860465"/>
    <n v="-0.4123779072313959"/>
    <s v="Борилла"/>
    <n v="236.2758620689655"/>
    <d v="2022-01-02T00:00:00"/>
    <x v="439"/>
  </r>
  <r>
    <n v="688"/>
    <n v="187"/>
    <n v="496"/>
    <n v="4"/>
    <n v="9920"/>
    <x v="380"/>
    <x v="2"/>
    <n v="448"/>
    <s v="Макароны"/>
    <n v="265.4767441860465"/>
    <n v="0.8683369103412026"/>
    <s v="Паста Зара"/>
    <n v="276.6756756756757"/>
    <d v="2022-07-28T00:00:00"/>
    <x v="132"/>
  </r>
  <r>
    <n v="689"/>
    <n v="194"/>
    <n v="257"/>
    <n v="5"/>
    <n v="6425"/>
    <x v="381"/>
    <x v="1"/>
    <n v="291"/>
    <s v="Соль"/>
    <n v="264.8679245283019"/>
    <n v="-0.02970508619461465"/>
    <s v="Салта"/>
    <n v="273.7"/>
    <d v="2022-05-29T00:00:00"/>
    <x v="103"/>
  </r>
  <r>
    <n v="690"/>
    <n v="51"/>
    <n v="476"/>
    <n v="2"/>
    <n v="4760"/>
    <x v="382"/>
    <x v="18"/>
    <n v="480"/>
    <s v="Колбаса"/>
    <n v="286.9230769230769"/>
    <n v="0.658981233243968"/>
    <s v="Дымов"/>
    <n v="312.6666666666667"/>
    <d v="2022-01-07T00:00:00"/>
    <x v="440"/>
  </r>
  <r>
    <n v="691"/>
    <n v="80"/>
    <n v="232"/>
    <n v="2"/>
    <n v="2320"/>
    <x v="17"/>
    <x v="8"/>
    <n v="418"/>
    <s v="Конфеты"/>
    <n v="267.8548387096774"/>
    <n v="-0.1338592159932559"/>
    <s v="Красный Октябрь"/>
    <n v="273.625"/>
    <d v="2022-05-19T00:00:00"/>
    <x v="265"/>
  </r>
  <r>
    <n v="692"/>
    <n v="474"/>
    <n v="252"/>
    <n v="3"/>
    <n v="3780"/>
    <x v="293"/>
    <x v="5"/>
    <n v="470"/>
    <s v="Молоко"/>
    <n v="294.952380952381"/>
    <n v="-0.1456247981917985"/>
    <s v="Простоквашино"/>
    <n v="318.8181818181818"/>
    <d v="2022-05-09T00:00:00"/>
    <x v="331"/>
  </r>
  <r>
    <n v="693"/>
    <n v="215"/>
    <n v="485"/>
    <n v="4"/>
    <n v="9700"/>
    <x v="107"/>
    <x v="1"/>
    <n v="318"/>
    <s v="Сок"/>
    <n v="268.6034482758621"/>
    <n v="0.8056357917709736"/>
    <s v="Фруктовый сад"/>
    <n v="281.96875"/>
    <d v="2022-11-27T00:00:00"/>
    <x v="441"/>
  </r>
  <r>
    <n v="694"/>
    <n v="36"/>
    <n v="150"/>
    <n v="2"/>
    <n v="1500"/>
    <x v="211"/>
    <x v="12"/>
    <n v="283"/>
    <s v="Макароны"/>
    <n v="265.4767441860465"/>
    <n v="-0.4349787569532653"/>
    <s v="Роллтон"/>
    <n v="235.5555555555555"/>
    <d v="2022-11-24T00:00:00"/>
    <x v="442"/>
  </r>
  <r>
    <n v="695"/>
    <n v="400"/>
    <n v="474"/>
    <n v="4"/>
    <n v="9480"/>
    <x v="383"/>
    <x v="9"/>
    <n v="191"/>
    <s v="Молоко"/>
    <n v="294.952380952381"/>
    <n v="0.6070390700678074"/>
    <s v="Беллакт"/>
    <n v="322.5454545454546"/>
    <d v="2022-11-01T00:00:00"/>
    <x v="443"/>
  </r>
  <r>
    <n v="696"/>
    <n v="80"/>
    <n v="135"/>
    <n v="2"/>
    <n v="1350"/>
    <x v="384"/>
    <x v="9"/>
    <n v="123"/>
    <s v="Конфеты"/>
    <n v="267.8548387096774"/>
    <n v="-0.4959956644788343"/>
    <s v="Красный Октябрь"/>
    <n v="273.625"/>
    <d v="2022-02-08T00:00:00"/>
    <x v="343"/>
  </r>
  <r>
    <n v="697"/>
    <n v="413"/>
    <n v="178"/>
    <n v="5"/>
    <n v="4450"/>
    <x v="99"/>
    <x v="2"/>
    <n v="380"/>
    <s v="Кофе"/>
    <n v="249.0238095238095"/>
    <n v="-0.2852089109857538"/>
    <s v="Jacobs"/>
    <n v="276.2105263157895"/>
    <d v="2022-01-02T00:00:00"/>
    <x v="444"/>
  </r>
  <r>
    <n v="698"/>
    <n v="10"/>
    <n v="112"/>
    <n v="3"/>
    <n v="1680"/>
    <x v="252"/>
    <x v="2"/>
    <n v="442"/>
    <s v="Сок"/>
    <n v="268.6034482758621"/>
    <n v="-0.5830284357147442"/>
    <s v="Фруктовый сад"/>
    <n v="281.96875"/>
    <d v="2022-07-04T00:00:00"/>
    <x v="428"/>
  </r>
  <r>
    <n v="699"/>
    <n v="14"/>
    <n v="338"/>
    <n v="4"/>
    <n v="6760"/>
    <x v="385"/>
    <x v="5"/>
    <n v="218"/>
    <s v="Сок"/>
    <n v="268.6034482758621"/>
    <n v="0.2583606136465755"/>
    <s v="Rich"/>
    <n v="272.25"/>
    <d v="2022-06-09T00:00:00"/>
    <x v="131"/>
  </r>
  <r>
    <n v="700"/>
    <n v="423"/>
    <n v="277"/>
    <n v="5"/>
    <n v="6925"/>
    <x v="376"/>
    <x v="4"/>
    <n v="331"/>
    <s v="Чипсы"/>
    <n v="273.7254901960785"/>
    <n v="0.01196275071633224"/>
    <s v="Pringles"/>
    <n v="280.2380952380952"/>
    <d v="2022-09-09T00:00:00"/>
    <x v="445"/>
  </r>
  <r>
    <n v="701"/>
    <n v="138"/>
    <n v="427"/>
    <n v="5"/>
    <n v="10675"/>
    <x v="279"/>
    <x v="4"/>
    <n v="196"/>
    <s v="Сыр"/>
    <n v="262.6349206349207"/>
    <n v="0.6258310165598935"/>
    <s v="Сырная долина"/>
    <n v="271"/>
    <d v="2022-10-01T00:00:00"/>
    <x v="195"/>
  </r>
  <r>
    <n v="702"/>
    <n v="498"/>
    <n v="169"/>
    <n v="4"/>
    <n v="3380"/>
    <x v="37"/>
    <x v="17"/>
    <n v="36"/>
    <s v="Молоко"/>
    <n v="294.952380952381"/>
    <n v="-0.4270261543429125"/>
    <s v="Домик в деревне"/>
    <n v="274.7777777777778"/>
    <d v="2022-05-19T00:00:00"/>
    <x v="378"/>
  </r>
  <r>
    <n v="703"/>
    <n v="46"/>
    <n v="228"/>
    <n v="5"/>
    <n v="5700"/>
    <x v="386"/>
    <x v="3"/>
    <n v="272"/>
    <s v="Йогурт"/>
    <n v="263.2542372881356"/>
    <n v="-0.1339170744269894"/>
    <s v="Активиа"/>
    <n v="293.6666666666667"/>
    <d v="2022-04-17T00:00:00"/>
    <x v="446"/>
  </r>
  <r>
    <n v="704"/>
    <n v="1"/>
    <n v="322"/>
    <n v="2"/>
    <n v="3220"/>
    <x v="387"/>
    <x v="15"/>
    <n v="22"/>
    <s v="Крупа"/>
    <n v="255.1162790697674"/>
    <n v="0.2621695533272561"/>
    <s v="Ярмарка"/>
    <n v="252.0909090909091"/>
    <d v="2022-11-05T00:00:00"/>
    <x v="306"/>
  </r>
  <r>
    <n v="705"/>
    <n v="478"/>
    <n v="342"/>
    <n v="3"/>
    <n v="5130"/>
    <x v="214"/>
    <x v="6"/>
    <n v="360"/>
    <s v="Конфеты"/>
    <n v="267.8548387096774"/>
    <n v="0.2768109833202865"/>
    <s v="Рот Фронт"/>
    <n v="288.2380952380952"/>
    <d v="2022-06-16T00:00:00"/>
    <x v="237"/>
  </r>
  <r>
    <n v="706"/>
    <n v="444"/>
    <n v="315"/>
    <n v="4"/>
    <n v="6300"/>
    <x v="146"/>
    <x v="4"/>
    <n v="414"/>
    <s v="Йогурт"/>
    <n v="263.2542372881356"/>
    <n v="0.1965619366469225"/>
    <s v="Эрманн"/>
    <n v="248.5"/>
    <d v="2022-08-21T00:00:00"/>
    <x v="430"/>
  </r>
  <r>
    <n v="707"/>
    <n v="110"/>
    <n v="473"/>
    <n v="2"/>
    <n v="4730"/>
    <x v="273"/>
    <x v="17"/>
    <n v="152"/>
    <s v="Макароны"/>
    <n v="265.4767441860465"/>
    <n v="0.7817003197407033"/>
    <s v="Паста Зара"/>
    <n v="276.6756756756757"/>
    <d v="2022-08-18T00:00:00"/>
    <x v="160"/>
  </r>
  <r>
    <n v="708"/>
    <n v="191"/>
    <n v="248"/>
    <n v="2"/>
    <n v="2480"/>
    <x v="359"/>
    <x v="11"/>
    <n v="177"/>
    <s v="Колбаса"/>
    <n v="286.9230769230769"/>
    <n v="-0.1356568364611259"/>
    <s v="Окраина"/>
    <n v="273.5833333333333"/>
    <d v="2022-10-23T00:00:00"/>
    <x v="206"/>
  </r>
  <r>
    <n v="709"/>
    <n v="198"/>
    <n v="335"/>
    <n v="3"/>
    <n v="5025"/>
    <x v="75"/>
    <x v="10"/>
    <n v="111"/>
    <s v="Мясо"/>
    <n v="271.7454545454545"/>
    <n v="0.2327713100495115"/>
    <s v="Мираторг"/>
    <n v="316.5833333333333"/>
    <d v="2022-08-31T00:00:00"/>
    <x v="263"/>
  </r>
  <r>
    <n v="710"/>
    <n v="93"/>
    <n v="343"/>
    <n v="3"/>
    <n v="5145"/>
    <x v="71"/>
    <x v="18"/>
    <n v="281"/>
    <s v="Чай"/>
    <n v="271.1818181818182"/>
    <n v="0.2648340596714716"/>
    <s v="Greenfield"/>
    <n v="291.4545454545454"/>
    <d v="2022-05-30T00:00:00"/>
    <x v="247"/>
  </r>
  <r>
    <n v="711"/>
    <n v="385"/>
    <n v="309"/>
    <n v="1"/>
    <n v="1545"/>
    <x v="388"/>
    <x v="6"/>
    <n v="177"/>
    <s v="Макароны"/>
    <n v="265.4767441860465"/>
    <n v="0.1639437606762735"/>
    <s v="Макфа"/>
    <n v="329.2727272727273"/>
    <d v="2022-10-23T00:00:00"/>
    <x v="131"/>
  </r>
  <r>
    <n v="712"/>
    <n v="456"/>
    <n v="196"/>
    <n v="4"/>
    <n v="3920"/>
    <x v="201"/>
    <x v="4"/>
    <n v="446"/>
    <s v="Колбаса"/>
    <n v="286.9230769230769"/>
    <n v="-0.3168900804289544"/>
    <s v="Окраина"/>
    <n v="273.5833333333333"/>
    <d v="2022-04-20T00:00:00"/>
    <x v="187"/>
  </r>
  <r>
    <n v="713"/>
    <n v="147"/>
    <n v="258"/>
    <n v="5"/>
    <n v="6450"/>
    <x v="53"/>
    <x v="3"/>
    <n v="202"/>
    <s v="Конфеты"/>
    <n v="267.8548387096774"/>
    <n v="-0.03679171433732775"/>
    <s v="Бабаевский"/>
    <n v="250.2592592592593"/>
    <d v="2022-07-24T00:00:00"/>
    <x v="70"/>
  </r>
  <r>
    <n v="714"/>
    <n v="47"/>
    <n v="496"/>
    <n v="2"/>
    <n v="4960"/>
    <x v="41"/>
    <x v="2"/>
    <n v="140"/>
    <s v="Мясо"/>
    <n v="271.7454545454545"/>
    <n v="0.8252375217449484"/>
    <s v="Снежана"/>
    <n v="272.3529411764706"/>
    <d v="2022-03-07T00:00:00"/>
    <x v="19"/>
  </r>
  <r>
    <n v="715"/>
    <n v="369"/>
    <n v="202"/>
    <n v="5"/>
    <n v="5050"/>
    <x v="388"/>
    <x v="13"/>
    <n v="321"/>
    <s v="Молоко"/>
    <n v="294.952380952381"/>
    <n v="-0.3151436874394575"/>
    <s v="Домик в деревне"/>
    <n v="274.7777777777778"/>
    <d v="2022-07-14T00:00:00"/>
    <x v="447"/>
  </r>
  <r>
    <n v="716"/>
    <n v="296"/>
    <n v="155"/>
    <n v="1"/>
    <n v="775"/>
    <x v="6"/>
    <x v="18"/>
    <n v="188"/>
    <s v="Крупа"/>
    <n v="255.1162790697674"/>
    <n v="-0.3924339106654512"/>
    <s v="Мистраль"/>
    <n v="250.3076923076923"/>
    <d v="2022-08-28T00:00:00"/>
    <x v="33"/>
  </r>
  <r>
    <n v="717"/>
    <n v="448"/>
    <n v="72"/>
    <n v="5"/>
    <n v="1800"/>
    <x v="190"/>
    <x v="10"/>
    <n v="63"/>
    <s v="Йогурт"/>
    <n v="263.2542372881356"/>
    <n v="-0.7265001287664177"/>
    <s v="Ростагроэкспорт"/>
    <n v="257.7826086956522"/>
    <d v="2022-05-03T00:00:00"/>
    <x v="392"/>
  </r>
  <r>
    <n v="718"/>
    <n v="38"/>
    <n v="191"/>
    <n v="5"/>
    <n v="4775"/>
    <x v="383"/>
    <x v="14"/>
    <n v="25"/>
    <s v="Конфеты"/>
    <n v="267.8548387096774"/>
    <n v="-0.2869271993737581"/>
    <s v="Рот Фронт"/>
    <n v="288.2380952380952"/>
    <d v="2022-01-21T00:00:00"/>
    <x v="289"/>
  </r>
  <r>
    <n v="719"/>
    <n v="272"/>
    <n v="362"/>
    <n v="2"/>
    <n v="3620"/>
    <x v="115"/>
    <x v="18"/>
    <n v="409"/>
    <s v="Крупа"/>
    <n v="255.1162790697674"/>
    <n v="0.4189608021877849"/>
    <s v="Ярмарка"/>
    <n v="252.0909090909091"/>
    <d v="2022-11-04T00:00:00"/>
    <x v="448"/>
  </r>
  <r>
    <n v="720"/>
    <n v="426"/>
    <n v="394"/>
    <n v="5"/>
    <n v="9850"/>
    <x v="6"/>
    <x v="15"/>
    <n v="386"/>
    <s v="Печенье"/>
    <n v="283.468085106383"/>
    <n v="0.3899271935750206"/>
    <s v="Посиделкино"/>
    <n v="321.6363636363636"/>
    <d v="2022-06-22T00:00:00"/>
    <x v="449"/>
  </r>
  <r>
    <n v="721"/>
    <n v="378"/>
    <n v="203"/>
    <n v="4"/>
    <n v="4060"/>
    <x v="20"/>
    <x v="8"/>
    <n v="238"/>
    <s v="Сок"/>
    <n v="268.6034482758621"/>
    <n v="-0.2442390397329739"/>
    <s v="Фруктовый сад"/>
    <n v="281.96875"/>
    <d v="2022-12-14T00:00:00"/>
    <x v="187"/>
  </r>
  <r>
    <n v="722"/>
    <n v="134"/>
    <n v="450"/>
    <n v="5"/>
    <n v="11250"/>
    <x v="353"/>
    <x v="0"/>
    <n v="480"/>
    <s v="Рыба"/>
    <n v="258.5128205128205"/>
    <n v="0.7407260464193612"/>
    <s v="Меридиан"/>
    <n v="260.6470588235294"/>
    <d v="2022-01-07T00:00:00"/>
    <x v="172"/>
  </r>
  <r>
    <n v="723"/>
    <n v="485"/>
    <n v="323"/>
    <n v="1"/>
    <n v="1615"/>
    <x v="389"/>
    <x v="17"/>
    <n v="157"/>
    <s v="Макароны"/>
    <n v="265.4767441860465"/>
    <n v="0.2166790766939688"/>
    <s v="Борилла"/>
    <n v="236.2758620689655"/>
    <d v="2022-08-10T00:00:00"/>
    <x v="433"/>
  </r>
  <r>
    <n v="724"/>
    <n v="400"/>
    <n v="358"/>
    <n v="4"/>
    <n v="7160"/>
    <x v="130"/>
    <x v="2"/>
    <n v="9"/>
    <s v="Молоко"/>
    <n v="294.952380952381"/>
    <n v="0.2137552470132387"/>
    <s v="Беллакт"/>
    <n v="322.5454545454546"/>
    <d v="2022-12-05T00:00:00"/>
    <x v="450"/>
  </r>
  <r>
    <n v="725"/>
    <n v="28"/>
    <n v="459"/>
    <n v="1"/>
    <n v="2295"/>
    <x v="288"/>
    <x v="0"/>
    <n v="63"/>
    <s v="Крупа"/>
    <n v="255.1162790697674"/>
    <n v="0.799179580674567"/>
    <s v="Националь"/>
    <n v="274.2857142857143"/>
    <d v="2022-05-03T00:00:00"/>
    <x v="283"/>
  </r>
  <r>
    <n v="726"/>
    <n v="195"/>
    <n v="497"/>
    <n v="5"/>
    <n v="12425"/>
    <x v="10"/>
    <x v="16"/>
    <n v="105"/>
    <s v="Хлеб"/>
    <n v="300.3181818181818"/>
    <n v="0.6549114575450281"/>
    <s v="Каравай"/>
    <n v="331.1666666666667"/>
    <d v="2022-12-23T00:00:00"/>
    <x v="451"/>
  </r>
  <r>
    <n v="727"/>
    <n v="398"/>
    <n v="361"/>
    <n v="1"/>
    <n v="1805"/>
    <x v="127"/>
    <x v="7"/>
    <n v="40"/>
    <s v="Сок"/>
    <n v="268.6034482758621"/>
    <n v="0.343988702740869"/>
    <s v="Фруктовый сад"/>
    <n v="281.96875"/>
    <d v="2022-10-21T00:00:00"/>
    <x v="452"/>
  </r>
  <r>
    <n v="728"/>
    <n v="77"/>
    <n v="160"/>
    <n v="2"/>
    <n v="1600"/>
    <x v="236"/>
    <x v="11"/>
    <n v="260"/>
    <s v="Макароны"/>
    <n v="265.4767441860465"/>
    <n v="-0.397310674083483"/>
    <s v="Паста Зара"/>
    <n v="276.6756756756757"/>
    <d v="2022-06-17T00:00:00"/>
    <x v="172"/>
  </r>
  <r>
    <n v="729"/>
    <n v="128"/>
    <n v="419"/>
    <n v="5"/>
    <n v="10475"/>
    <x v="224"/>
    <x v="4"/>
    <n v="220"/>
    <s v="Мясо"/>
    <n v="271.7454545454545"/>
    <n v="0.5418841161514787"/>
    <s v="Мираторг"/>
    <n v="316.5833333333333"/>
    <d v="2022-01-09T00:00:00"/>
    <x v="453"/>
  </r>
  <r>
    <n v="730"/>
    <n v="328"/>
    <n v="429"/>
    <n v="4"/>
    <n v="8580"/>
    <x v="58"/>
    <x v="7"/>
    <n v="88"/>
    <s v="Чипсы"/>
    <n v="273.7254901960785"/>
    <n v="0.567263610315186"/>
    <s v="Русская картошка"/>
    <n v="241.8333333333333"/>
    <d v="2022-03-10T00:00:00"/>
    <x v="449"/>
  </r>
  <r>
    <n v="731"/>
    <n v="455"/>
    <n v="72"/>
    <n v="2"/>
    <n v="720"/>
    <x v="246"/>
    <x v="5"/>
    <n v="66"/>
    <s v="Соль"/>
    <n v="264.8679245283019"/>
    <n v="-0.7281664054708648"/>
    <s v="Славянская"/>
    <n v="236.9166666666667"/>
    <d v="2022-08-04T00:00:00"/>
    <x v="301"/>
  </r>
  <r>
    <n v="732"/>
    <n v="371"/>
    <n v="97"/>
    <n v="3"/>
    <n v="1455"/>
    <x v="390"/>
    <x v="1"/>
    <n v="15"/>
    <s v="Сахар"/>
    <n v="252.7627118644068"/>
    <n v="-0.6162408636759874"/>
    <s v="Русский сахар"/>
    <n v="293.4117647058824"/>
    <d v="2022-05-30T00:00:00"/>
    <x v="59"/>
  </r>
  <r>
    <n v="733"/>
    <n v="486"/>
    <n v="57"/>
    <n v="2"/>
    <n v="570"/>
    <x v="287"/>
    <x v="0"/>
    <n v="485"/>
    <s v="Соль"/>
    <n v="264.8679245283019"/>
    <n v="-0.7847984043311014"/>
    <s v="Илецкая"/>
    <n v="238.1666666666667"/>
    <d v="2022-06-11T00:00:00"/>
    <x v="229"/>
  </r>
  <r>
    <n v="734"/>
    <n v="359"/>
    <n v="126"/>
    <n v="4"/>
    <n v="2520"/>
    <x v="391"/>
    <x v="7"/>
    <n v="394"/>
    <s v="Мясо"/>
    <n v="271.7454545454545"/>
    <n v="-0.5363307908470494"/>
    <s v="Мираторг"/>
    <n v="316.5833333333333"/>
    <d v="2022-05-27T00:00:00"/>
    <x v="317"/>
  </r>
  <r>
    <n v="735"/>
    <n v="267"/>
    <n v="54"/>
    <n v="2"/>
    <n v="540"/>
    <x v="170"/>
    <x v="15"/>
    <n v="290"/>
    <s v="Овощи"/>
    <n v="250.4878048780488"/>
    <n v="-0.7844206426484908"/>
    <s v="Семко"/>
    <n v="208"/>
    <d v="2022-08-04T00:00:00"/>
    <x v="245"/>
  </r>
  <r>
    <n v="736"/>
    <n v="52"/>
    <n v="150"/>
    <n v="4"/>
    <n v="3000"/>
    <x v="392"/>
    <x v="3"/>
    <n v="279"/>
    <s v="Соль"/>
    <n v="264.8679245283019"/>
    <n v="-0.433680011397635"/>
    <s v="Илецкая"/>
    <n v="238.1666666666667"/>
    <d v="2022-08-13T00:00:00"/>
    <x v="261"/>
  </r>
  <r>
    <n v="737"/>
    <n v="187"/>
    <n v="233"/>
    <n v="4"/>
    <n v="4660"/>
    <x v="372"/>
    <x v="9"/>
    <n v="245"/>
    <s v="Макароны"/>
    <n v="265.4767441860465"/>
    <n v="-0.1223336691340721"/>
    <s v="Паста Зара"/>
    <n v="276.6756756756757"/>
    <d v="2022-05-14T00:00:00"/>
    <x v="454"/>
  </r>
  <r>
    <n v="738"/>
    <n v="118"/>
    <n v="156"/>
    <n v="5"/>
    <n v="3900"/>
    <x v="392"/>
    <x v="13"/>
    <n v="261"/>
    <s v="Сахар"/>
    <n v="252.7627118644068"/>
    <n v="-0.3828203580768457"/>
    <s v="Продимекс"/>
    <n v="240.5"/>
    <d v="2022-10-14T00:00:00"/>
    <x v="205"/>
  </r>
  <r>
    <n v="739"/>
    <n v="218"/>
    <n v="383"/>
    <n v="2"/>
    <n v="3830"/>
    <x v="109"/>
    <x v="1"/>
    <n v="9"/>
    <s v="Колбаса"/>
    <n v="286.9230769230769"/>
    <n v="0.3348525469168901"/>
    <s v="Дымов"/>
    <n v="312.6666666666667"/>
    <d v="2022-12-05T00:00:00"/>
    <x v="235"/>
  </r>
  <r>
    <n v="740"/>
    <n v="46"/>
    <n v="370"/>
    <n v="5"/>
    <n v="9250"/>
    <x v="393"/>
    <x v="17"/>
    <n v="103"/>
    <s v="Йогурт"/>
    <n v="263.2542372881356"/>
    <n v="0.4054854493947979"/>
    <s v="Активиа"/>
    <n v="293.6666666666667"/>
    <d v="2022-08-14T00:00:00"/>
    <x v="430"/>
  </r>
  <r>
    <n v="741"/>
    <n v="263"/>
    <n v="173"/>
    <n v="3"/>
    <n v="2595"/>
    <x v="394"/>
    <x v="14"/>
    <n v="142"/>
    <s v="Йогурт"/>
    <n v="263.2542372881356"/>
    <n v="-0.3428405871748648"/>
    <s v="Активиа"/>
    <n v="293.6666666666667"/>
    <d v="2022-05-02T00:00:00"/>
    <x v="426"/>
  </r>
  <r>
    <n v="742"/>
    <n v="201"/>
    <n v="113"/>
    <n v="5"/>
    <n v="2825"/>
    <x v="107"/>
    <x v="13"/>
    <n v="470"/>
    <s v="Печенье"/>
    <n v="283.468085106383"/>
    <n v="-0.601366058695489"/>
    <s v="Белогорье"/>
    <n v="249.5"/>
    <d v="2022-05-09T00:00:00"/>
    <x v="42"/>
  </r>
  <r>
    <n v="743"/>
    <n v="434"/>
    <n v="366"/>
    <n v="4"/>
    <n v="7320"/>
    <x v="229"/>
    <x v="5"/>
    <n v="490"/>
    <s v="Сыр"/>
    <n v="262.6349206349207"/>
    <n v="0.3935694427656229"/>
    <s v="Сырная долина"/>
    <n v="271"/>
    <d v="2022-02-11T00:00:00"/>
    <x v="150"/>
  </r>
  <r>
    <n v="744"/>
    <n v="99"/>
    <n v="92"/>
    <n v="4"/>
    <n v="1840"/>
    <x v="339"/>
    <x v="6"/>
    <n v="255"/>
    <s v="Овощи"/>
    <n v="250.4878048780488"/>
    <n v="-0.6327166504381694"/>
    <s v="Семко"/>
    <n v="208"/>
    <d v="2022-08-20T00:00:00"/>
    <x v="297"/>
  </r>
  <r>
    <n v="745"/>
    <n v="357"/>
    <n v="290"/>
    <n v="4"/>
    <n v="5800"/>
    <x v="93"/>
    <x v="5"/>
    <n v="422"/>
    <s v="Мясо"/>
    <n v="271.7454545454545"/>
    <n v="0.06717516392345768"/>
    <s v="Снежана"/>
    <n v="272.3529411764706"/>
    <d v="2022-08-11T00:00:00"/>
    <x v="455"/>
  </r>
  <r>
    <n v="746"/>
    <n v="337"/>
    <n v="453"/>
    <n v="4"/>
    <n v="9060"/>
    <x v="373"/>
    <x v="18"/>
    <n v="115"/>
    <s v="Макароны"/>
    <n v="265.4767441860465"/>
    <n v="0.7063641540011387"/>
    <s v="Паста Зара"/>
    <n v="276.6756756756757"/>
    <d v="2022-09-28T00:00:00"/>
    <x v="199"/>
  </r>
  <r>
    <n v="747"/>
    <n v="230"/>
    <n v="104"/>
    <n v="4"/>
    <n v="2080"/>
    <x v="324"/>
    <x v="4"/>
    <n v="163"/>
    <s v="Сок"/>
    <n v="268.6034482758621"/>
    <n v="-0.6128121188779768"/>
    <s v="Фруктовый сад"/>
    <n v="281.96875"/>
    <d v="2022-01-10T00:00:00"/>
    <x v="281"/>
  </r>
  <r>
    <n v="748"/>
    <n v="293"/>
    <n v="57"/>
    <n v="5"/>
    <n v="1425"/>
    <x v="78"/>
    <x v="18"/>
    <n v="248"/>
    <s v="Конфеты"/>
    <n v="267.8548387096774"/>
    <n v="-0.7871981694466189"/>
    <s v="Бабаевский"/>
    <n v="250.2592592592593"/>
    <d v="2022-05-13T00:00:00"/>
    <x v="195"/>
  </r>
  <r>
    <n v="749"/>
    <n v="254"/>
    <n v="326"/>
    <n v="1"/>
    <n v="1630"/>
    <x v="126"/>
    <x v="2"/>
    <n v="201"/>
    <s v="Соль"/>
    <n v="264.8679245283019"/>
    <n v="0.2308021085624732"/>
    <s v="Илецкая"/>
    <n v="238.1666666666667"/>
    <d v="2022-10-09T00:00:00"/>
    <x v="456"/>
  </r>
  <r>
    <n v="750"/>
    <n v="248"/>
    <n v="176"/>
    <n v="5"/>
    <n v="4400"/>
    <x v="76"/>
    <x v="8"/>
    <n v="434"/>
    <s v="Конфеты"/>
    <n v="267.8548387096774"/>
    <n v="-0.342927681098332"/>
    <s v="Красный Октябрь"/>
    <n v="273.625"/>
    <d v="2022-06-18T00:00:00"/>
    <x v="457"/>
  </r>
  <r>
    <n v="751"/>
    <n v="156"/>
    <n v="490"/>
    <n v="1"/>
    <n v="2450"/>
    <x v="395"/>
    <x v="9"/>
    <n v="140"/>
    <s v="Фрукты"/>
    <n v="274.1627906976744"/>
    <n v="0.7872593095258291"/>
    <s v="Фрукты-Ягоды"/>
    <n v="280.6666666666667"/>
    <d v="2022-03-07T00:00:00"/>
    <x v="458"/>
  </r>
  <r>
    <n v="752"/>
    <n v="370"/>
    <n v="95"/>
    <n v="5"/>
    <n v="2375"/>
    <x v="143"/>
    <x v="5"/>
    <n v="250"/>
    <s v="Сок"/>
    <n v="268.6034482758621"/>
    <n v="-0.6463187624366133"/>
    <s v="Фруктовый сад"/>
    <n v="281.96875"/>
    <d v="2022-10-22T00:00:00"/>
    <x v="346"/>
  </r>
  <r>
    <n v="753"/>
    <n v="61"/>
    <n v="183"/>
    <n v="5"/>
    <n v="4575"/>
    <x v="396"/>
    <x v="9"/>
    <n v="191"/>
    <s v="Йогурт"/>
    <n v="263.2542372881356"/>
    <n v="-0.3048544939479784"/>
    <s v="Эрманн"/>
    <n v="248.5"/>
    <d v="2022-11-01T00:00:00"/>
    <x v="459"/>
  </r>
  <r>
    <n v="754"/>
    <n v="246"/>
    <n v="302"/>
    <n v="5"/>
    <n v="7550"/>
    <x v="313"/>
    <x v="5"/>
    <n v="336"/>
    <s v="Сыр"/>
    <n v="262.6349206349207"/>
    <n v="0.1498851686208147"/>
    <s v="President"/>
    <n v="238.7222222222222"/>
    <d v="2022-10-22T00:00:00"/>
    <x v="273"/>
  </r>
  <r>
    <n v="755"/>
    <n v="322"/>
    <n v="417"/>
    <n v="2"/>
    <n v="4170"/>
    <x v="8"/>
    <x v="16"/>
    <n v="3"/>
    <s v="Крупа"/>
    <n v="255.1162790697674"/>
    <n v="0.6345487693710119"/>
    <s v="Увелка"/>
    <n v="251.9166666666667"/>
    <d v="2022-04-15T00:00:00"/>
    <x v="353"/>
  </r>
  <r>
    <n v="756"/>
    <n v="51"/>
    <n v="439"/>
    <n v="5"/>
    <n v="10975"/>
    <x v="151"/>
    <x v="9"/>
    <n v="435"/>
    <s v="Колбаса"/>
    <n v="286.9230769230769"/>
    <n v="0.5300268096514746"/>
    <s v="Дымов"/>
    <n v="312.6666666666667"/>
    <d v="2022-02-26T00:00:00"/>
    <x v="331"/>
  </r>
  <r>
    <n v="757"/>
    <n v="189"/>
    <n v="136"/>
    <n v="5"/>
    <n v="3400"/>
    <x v="250"/>
    <x v="18"/>
    <n v="80"/>
    <s v="Хлеб"/>
    <n v="300.3181818181818"/>
    <n v="-0.5471469653397911"/>
    <s v="Дарница"/>
    <n v="264"/>
    <d v="2022-03-03T00:00:00"/>
    <x v="435"/>
  </r>
  <r>
    <n v="758"/>
    <n v="67"/>
    <n v="274"/>
    <n v="4"/>
    <n v="5480"/>
    <x v="397"/>
    <x v="2"/>
    <n v="262"/>
    <s v="Йогурт"/>
    <n v="263.2542372881356"/>
    <n v="0.04081895441668815"/>
    <s v="Чудо"/>
    <n v="287.1"/>
    <d v="2022-08-05T00:00:00"/>
    <x v="460"/>
  </r>
  <r>
    <n v="759"/>
    <n v="301"/>
    <n v="189"/>
    <n v="3"/>
    <n v="2835"/>
    <x v="389"/>
    <x v="15"/>
    <n v="43"/>
    <s v="Фрукты"/>
    <n v="274.1627906976744"/>
    <n v="-0.3106285520400374"/>
    <s v="Экзотик"/>
    <n v="253.6875"/>
    <d v="2022-12-17T00:00:00"/>
    <x v="461"/>
  </r>
  <r>
    <n v="760"/>
    <n v="463"/>
    <n v="77"/>
    <n v="4"/>
    <n v="1540"/>
    <x v="374"/>
    <x v="13"/>
    <n v="163"/>
    <s v="Кофе"/>
    <n v="249.0238095238095"/>
    <n v="-0.6907926187972082"/>
    <s v="Черная Карта"/>
    <n v="222.2"/>
    <d v="2022-01-10T00:00:00"/>
    <x v="250"/>
  </r>
  <r>
    <n v="761"/>
    <n v="151"/>
    <n v="239"/>
    <n v="2"/>
    <n v="2390"/>
    <x v="398"/>
    <x v="6"/>
    <n v="386"/>
    <s v="Молоко"/>
    <n v="294.952380952381"/>
    <n v="-0.1896997093961899"/>
    <s v="Беллакт"/>
    <n v="322.5454545454546"/>
    <d v="2022-06-22T00:00:00"/>
    <x v="462"/>
  </r>
  <r>
    <n v="762"/>
    <n v="398"/>
    <n v="464"/>
    <n v="5"/>
    <n v="11600"/>
    <x v="28"/>
    <x v="3"/>
    <n v="342"/>
    <s v="Сок"/>
    <n v="268.6034482758621"/>
    <n v="0.7274536234674882"/>
    <s v="Фруктовый сад"/>
    <n v="281.96875"/>
    <d v="2022-01-09T00:00:00"/>
    <x v="438"/>
  </r>
  <r>
    <n v="763"/>
    <n v="483"/>
    <n v="140"/>
    <n v="5"/>
    <n v="3500"/>
    <x v="20"/>
    <x v="3"/>
    <n v="7"/>
    <s v="Колбаса"/>
    <n v="286.9230769230769"/>
    <n v="-0.5120643431635388"/>
    <s v="Дымов"/>
    <n v="312.6666666666667"/>
    <d v="2022-11-28T00:00:00"/>
    <x v="202"/>
  </r>
  <r>
    <n v="764"/>
    <n v="86"/>
    <n v="353"/>
    <n v="2"/>
    <n v="3530"/>
    <x v="399"/>
    <x v="19"/>
    <n v="264"/>
    <s v="Сахар"/>
    <n v="252.7627118644068"/>
    <n v="0.3965667538389324"/>
    <s v="Русский сахар"/>
    <n v="293.4117647058824"/>
    <d v="2022-12-12T00:00:00"/>
    <x v="463"/>
  </r>
  <r>
    <n v="765"/>
    <n v="158"/>
    <n v="318"/>
    <n v="5"/>
    <n v="7950"/>
    <x v="347"/>
    <x v="7"/>
    <n v="99"/>
    <s v="Сахар"/>
    <n v="252.7627118644068"/>
    <n v="0.2580969623818146"/>
    <s v="Сладов"/>
    <n v="240.2666666666667"/>
    <d v="2022-11-21T00:00:00"/>
    <x v="464"/>
  </r>
  <r>
    <n v="766"/>
    <n v="199"/>
    <n v="80"/>
    <n v="5"/>
    <n v="2000"/>
    <x v="306"/>
    <x v="9"/>
    <n v="404"/>
    <s v="Макароны"/>
    <n v="265.4767441860465"/>
    <n v="-0.6986553370417414"/>
    <s v="Борилла"/>
    <n v="236.2758620689655"/>
    <d v="2022-12-18T00:00:00"/>
    <x v="30"/>
  </r>
  <r>
    <n v="767"/>
    <n v="259"/>
    <n v="90"/>
    <n v="4"/>
    <n v="1800"/>
    <x v="18"/>
    <x v="4"/>
    <n v="79"/>
    <s v="Йогурт"/>
    <n v="263.2542372881356"/>
    <n v="-0.6581251609580221"/>
    <s v="Ростагроэкспорт"/>
    <n v="257.7826086956522"/>
    <d v="2022-06-04T00:00:00"/>
    <x v="178"/>
  </r>
  <r>
    <n v="768"/>
    <n v="468"/>
    <n v="167"/>
    <n v="4"/>
    <n v="3340"/>
    <x v="237"/>
    <x v="19"/>
    <n v="377"/>
    <s v="Йогурт"/>
    <n v="263.2542372881356"/>
    <n v="-0.3656322431109966"/>
    <s v="Чудо"/>
    <n v="287.1"/>
    <d v="2022-08-21T00:00:00"/>
    <x v="465"/>
  </r>
  <r>
    <n v="769"/>
    <n v="4"/>
    <n v="478"/>
    <n v="4"/>
    <n v="9560"/>
    <x v="303"/>
    <x v="13"/>
    <n v="146"/>
    <s v="Рис"/>
    <n v="258.375"/>
    <n v="0.8500241896468312"/>
    <s v="Белый Злат"/>
    <n v="269.7058823529412"/>
    <d v="2022-02-25T00:00:00"/>
    <x v="158"/>
  </r>
  <r>
    <n v="770"/>
    <n v="155"/>
    <n v="310"/>
    <n v="4"/>
    <n v="6200"/>
    <x v="71"/>
    <x v="11"/>
    <n v="346"/>
    <s v="Йогурт"/>
    <n v="263.2542372881356"/>
    <n v="0.1775688900334793"/>
    <s v="Эрманн"/>
    <n v="248.5"/>
    <d v="2022-03-16T00:00:00"/>
    <x v="282"/>
  </r>
  <r>
    <n v="771"/>
    <n v="413"/>
    <n v="210"/>
    <n v="5"/>
    <n v="5250"/>
    <x v="387"/>
    <x v="11"/>
    <n v="436"/>
    <s v="Кофе"/>
    <n v="249.0238095238095"/>
    <n v="-0.156707142174204"/>
    <s v="Jacobs"/>
    <n v="276.2105263157895"/>
    <d v="2022-05-02T00:00:00"/>
    <x v="466"/>
  </r>
  <r>
    <n v="772"/>
    <n v="200"/>
    <n v="67"/>
    <n v="1"/>
    <n v="335"/>
    <x v="400"/>
    <x v="6"/>
    <n v="103"/>
    <s v="Чипсы"/>
    <n v="273.7254901960785"/>
    <n v="-0.7552292263610315"/>
    <s v="Estrella"/>
    <n v="266.2727272727273"/>
    <d v="2022-08-14T00:00:00"/>
    <x v="181"/>
  </r>
  <r>
    <n v="773"/>
    <n v="295"/>
    <n v="294"/>
    <n v="5"/>
    <n v="7350"/>
    <x v="191"/>
    <x v="18"/>
    <n v="493"/>
    <s v="Печенье"/>
    <n v="283.468085106383"/>
    <n v="0.03715379419049758"/>
    <s v="Белогорье"/>
    <n v="249.5"/>
    <d v="2022-10-21T00:00:00"/>
    <x v="467"/>
  </r>
  <r>
    <n v="774"/>
    <n v="39"/>
    <n v="404"/>
    <n v="2"/>
    <n v="4040"/>
    <x v="149"/>
    <x v="7"/>
    <n v="252"/>
    <s v="Сыр"/>
    <n v="262.6349206349207"/>
    <n v="0.5382569805391029"/>
    <s v="Сырная долина"/>
    <n v="271"/>
    <d v="2022-03-23T00:00:00"/>
    <x v="444"/>
  </r>
  <r>
    <n v="775"/>
    <n v="228"/>
    <n v="98"/>
    <n v="2"/>
    <n v="980"/>
    <x v="314"/>
    <x v="4"/>
    <n v="338"/>
    <s v="Рис"/>
    <n v="258.375"/>
    <n v="-0.6207063376874697"/>
    <s v="Мистраль"/>
    <n v="181.5714285714286"/>
    <d v="2022-01-16T00:00:00"/>
    <x v="373"/>
  </r>
  <r>
    <n v="776"/>
    <n v="37"/>
    <n v="139"/>
    <n v="3"/>
    <n v="2085"/>
    <x v="366"/>
    <x v="9"/>
    <n v="397"/>
    <s v="Соль"/>
    <n v="264.8679245283019"/>
    <n v="-0.4752101438951418"/>
    <s v="Илецкая"/>
    <n v="238.1666666666667"/>
    <d v="2022-06-16T00:00:00"/>
    <x v="468"/>
  </r>
  <r>
    <n v="777"/>
    <n v="62"/>
    <n v="241"/>
    <n v="2"/>
    <n v="2410"/>
    <x v="277"/>
    <x v="0"/>
    <n v="247"/>
    <s v="Рыба"/>
    <n v="258.5128205128205"/>
    <n v="-0.06774449513985314"/>
    <s v="Балтийский берег"/>
    <n v="289.8888888888889"/>
    <d v="2022-07-20T00:00:00"/>
    <x v="469"/>
  </r>
  <r>
    <n v="778"/>
    <n v="468"/>
    <n v="182"/>
    <n v="5"/>
    <n v="4550"/>
    <x v="186"/>
    <x v="16"/>
    <n v="445"/>
    <s v="Йогурт"/>
    <n v="263.2542372881356"/>
    <n v="-0.308653103270667"/>
    <s v="Чудо"/>
    <n v="287.1"/>
    <d v="2022-04-25T00:00:00"/>
    <x v="399"/>
  </r>
  <r>
    <n v="779"/>
    <n v="497"/>
    <n v="275"/>
    <n v="4"/>
    <n v="5500"/>
    <x v="401"/>
    <x v="3"/>
    <n v="477"/>
    <s v="Конфеты"/>
    <n v="267.8548387096774"/>
    <n v="0.02667549828385618"/>
    <s v="Бабаевский"/>
    <n v="250.2592592592593"/>
    <d v="2022-06-26T00:00:00"/>
    <x v="375"/>
  </r>
  <r>
    <n v="780"/>
    <n v="372"/>
    <n v="182"/>
    <n v="2"/>
    <n v="1820"/>
    <x v="140"/>
    <x v="14"/>
    <n v="402"/>
    <s v="Кофе"/>
    <n v="249.0238095238095"/>
    <n v="-0.2691461898843102"/>
    <s v="Черная Карта"/>
    <n v="222.2"/>
    <d v="2022-06-30T00:00:00"/>
    <x v="147"/>
  </r>
  <r>
    <n v="781"/>
    <n v="354"/>
    <n v="203"/>
    <n v="5"/>
    <n v="5075"/>
    <x v="43"/>
    <x v="17"/>
    <n v="265"/>
    <s v="Чай"/>
    <n v="271.1818181818182"/>
    <n v="-0.2514247401944352"/>
    <s v="Lipton"/>
    <n v="260.1578947368421"/>
    <d v="2022-07-14T00:00:00"/>
    <x v="140"/>
  </r>
  <r>
    <n v="782"/>
    <n v="460"/>
    <n v="103"/>
    <n v="5"/>
    <n v="2575"/>
    <x v="158"/>
    <x v="12"/>
    <n v="124"/>
    <s v="Кофе"/>
    <n v="249.0238095238095"/>
    <n v="-0.5863849316378238"/>
    <s v="Tchibo"/>
    <n v="140"/>
    <d v="2022-08-22T00:00:00"/>
    <x v="138"/>
  </r>
  <r>
    <n v="783"/>
    <n v="63"/>
    <n v="344"/>
    <n v="2"/>
    <n v="3440"/>
    <x v="40"/>
    <x v="13"/>
    <n v="208"/>
    <s v="Рыба"/>
    <n v="258.5128205128205"/>
    <n v="0.3306883554850228"/>
    <s v="Балтийский берег"/>
    <n v="289.8888888888889"/>
    <d v="2022-06-24T00:00:00"/>
    <x v="470"/>
  </r>
  <r>
    <n v="784"/>
    <n v="467"/>
    <n v="436"/>
    <n v="3"/>
    <n v="6540"/>
    <x v="148"/>
    <x v="5"/>
    <n v="343"/>
    <s v="Макароны"/>
    <n v="265.4767441860465"/>
    <n v="0.6423284131225089"/>
    <s v="Борилла"/>
    <n v="236.2758620689655"/>
    <d v="2022-11-09T00:00:00"/>
    <x v="143"/>
  </r>
  <r>
    <n v="785"/>
    <n v="184"/>
    <n v="79"/>
    <n v="4"/>
    <n v="1580"/>
    <x v="313"/>
    <x v="1"/>
    <n v="394"/>
    <s v="Конфеты"/>
    <n v="267.8548387096774"/>
    <n v="-0.7050641295839104"/>
    <s v="Славянка"/>
    <n v="268"/>
    <d v="2022-05-27T00:00:00"/>
    <x v="5"/>
  </r>
  <r>
    <n v="786"/>
    <n v="265"/>
    <n v="339"/>
    <n v="3"/>
    <n v="5085"/>
    <x v="378"/>
    <x v="1"/>
    <n v="242"/>
    <s v="Мясо"/>
    <n v="271.7454545454545"/>
    <n v="0.2474909674829386"/>
    <s v="Мираторг"/>
    <n v="316.5833333333333"/>
    <d v="2022-07-05T00:00:00"/>
    <x v="177"/>
  </r>
  <r>
    <n v="787"/>
    <n v="130"/>
    <n v="319"/>
    <n v="3"/>
    <n v="4785"/>
    <x v="279"/>
    <x v="19"/>
    <n v="56"/>
    <s v="Соль"/>
    <n v="264.8679245283019"/>
    <n v="0.2043738424276962"/>
    <s v="Илецкая"/>
    <n v="238.1666666666667"/>
    <d v="2022-04-11T00:00:00"/>
    <x v="320"/>
  </r>
  <r>
    <n v="788"/>
    <n v="443"/>
    <n v="348"/>
    <n v="3"/>
    <n v="5220"/>
    <x v="71"/>
    <x v="16"/>
    <n v="324"/>
    <s v="Кофе"/>
    <n v="249.0238095238095"/>
    <n v="0.3974567358256047"/>
    <s v="Jacobs"/>
    <n v="276.2105263157895"/>
    <d v="2022-07-19T00:00:00"/>
    <x v="404"/>
  </r>
  <r>
    <n v="789"/>
    <n v="408"/>
    <n v="60"/>
    <n v="4"/>
    <n v="1200"/>
    <x v="227"/>
    <x v="7"/>
    <n v="486"/>
    <s v="Йогурт"/>
    <n v="263.2542372881356"/>
    <n v="-0.7720834406386814"/>
    <s v="Эрманн"/>
    <n v="248.5"/>
    <d v="2022-06-11T00:00:00"/>
    <x v="210"/>
  </r>
  <r>
    <n v="790"/>
    <n v="249"/>
    <n v="125"/>
    <n v="5"/>
    <n v="3125"/>
    <x v="197"/>
    <x v="3"/>
    <n v="71"/>
    <s v="Чай"/>
    <n v="271.1818181818182"/>
    <n v="-0.539054642976869"/>
    <s v="Lipton"/>
    <n v="260.1578947368421"/>
    <d v="2022-07-20T00:00:00"/>
    <x v="41"/>
  </r>
  <r>
    <n v="791"/>
    <n v="241"/>
    <n v="490"/>
    <n v="1"/>
    <n v="2450"/>
    <x v="305"/>
    <x v="7"/>
    <n v="299"/>
    <s v="Колбаса"/>
    <n v="286.9230769230769"/>
    <n v="0.707774798927614"/>
    <s v="Окраина"/>
    <n v="273.5833333333333"/>
    <d v="2022-04-15T00:00:00"/>
    <x v="97"/>
  </r>
  <r>
    <n v="792"/>
    <n v="202"/>
    <n v="298"/>
    <n v="4"/>
    <n v="5960"/>
    <x v="364"/>
    <x v="16"/>
    <n v="265"/>
    <s v="Овощи"/>
    <n v="250.4878048780488"/>
    <n v="0.1896786757546252"/>
    <s v="Овощной ряд"/>
    <n v="303.8235294117647"/>
    <d v="2022-07-14T00:00:00"/>
    <x v="16"/>
  </r>
  <r>
    <n v="793"/>
    <n v="376"/>
    <n v="441"/>
    <n v="2"/>
    <n v="4410"/>
    <x v="323"/>
    <x v="17"/>
    <n v="272"/>
    <s v="Конфеты"/>
    <n v="267.8548387096774"/>
    <n v="0.6464141627024746"/>
    <s v="Красный Октябрь"/>
    <n v="273.625"/>
    <d v="2022-04-17T00:00:00"/>
    <x v="343"/>
  </r>
  <r>
    <n v="794"/>
    <n v="371"/>
    <n v="126"/>
    <n v="5"/>
    <n v="3150"/>
    <x v="402"/>
    <x v="5"/>
    <n v="371"/>
    <s v="Сахар"/>
    <n v="252.7627118644068"/>
    <n v="-0.5015087507543754"/>
    <s v="Русский сахар"/>
    <n v="293.4117647058824"/>
    <d v="2022-10-10T00:00:00"/>
    <x v="386"/>
  </r>
  <r>
    <n v="795"/>
    <n v="308"/>
    <n v="416"/>
    <n v="4"/>
    <n v="8320"/>
    <x v="256"/>
    <x v="6"/>
    <n v="360"/>
    <s v="Конфеты"/>
    <n v="267.8548387096774"/>
    <n v="0.5530800264948514"/>
    <s v="Бабаевский"/>
    <n v="250.2592592592593"/>
    <d v="2022-06-16T00:00:00"/>
    <x v="170"/>
  </r>
  <r>
    <n v="796"/>
    <n v="146"/>
    <n v="387"/>
    <n v="4"/>
    <n v="7740"/>
    <x v="22"/>
    <x v="2"/>
    <n v="368"/>
    <s v="Сок"/>
    <n v="268.6034482758621"/>
    <n v="0.4407856730213748"/>
    <s v="Добрый"/>
    <n v="242.8181818181818"/>
    <d v="2022-11-07T00:00:00"/>
    <x v="471"/>
  </r>
  <r>
    <n v="797"/>
    <n v="77"/>
    <n v="151"/>
    <n v="2"/>
    <n v="1510"/>
    <x v="228"/>
    <x v="19"/>
    <n v="481"/>
    <s v="Макароны"/>
    <n v="265.4767441860465"/>
    <n v="-0.4312119486662871"/>
    <s v="Паста Зара"/>
    <n v="276.6756756756757"/>
    <d v="2022-07-14T00:00:00"/>
    <x v="472"/>
  </r>
  <r>
    <n v="798"/>
    <n v="407"/>
    <n v="157"/>
    <n v="3"/>
    <n v="2355"/>
    <x v="403"/>
    <x v="1"/>
    <n v="354"/>
    <s v="Конфеты"/>
    <n v="267.8548387096774"/>
    <n v="-0.4138616246161257"/>
    <s v="Славянка"/>
    <n v="268"/>
    <d v="2022-09-07T00:00:00"/>
    <x v="21"/>
  </r>
  <r>
    <n v="799"/>
    <n v="357"/>
    <n v="55"/>
    <n v="5"/>
    <n v="1375"/>
    <x v="74"/>
    <x v="16"/>
    <n v="8"/>
    <s v="Мясо"/>
    <n v="271.7454545454545"/>
    <n v="-0.7976047102903787"/>
    <s v="Снежана"/>
    <n v="272.3529411764706"/>
    <d v="2022-11-18T00:00:00"/>
    <x v="128"/>
  </r>
  <r>
    <n v="800"/>
    <n v="409"/>
    <n v="235"/>
    <n v="5"/>
    <n v="5875"/>
    <x v="111"/>
    <x v="8"/>
    <n v="1"/>
    <s v="Фрукты"/>
    <n v="274.1627906976744"/>
    <n v="-0.1428450250233269"/>
    <s v="Фруктовый Рай"/>
    <n v="258.3076923076923"/>
    <d v="2022-01-24T00:00:00"/>
    <x v="394"/>
  </r>
  <r>
    <n v="801"/>
    <n v="148"/>
    <n v="474"/>
    <n v="4"/>
    <n v="9480"/>
    <x v="289"/>
    <x v="11"/>
    <n v="333"/>
    <s v="Сок"/>
    <n v="268.6034482758621"/>
    <n v="0.7646832274215287"/>
    <s v="Фруктовый сад"/>
    <n v="281.96875"/>
    <d v="2022-10-23T00:00:00"/>
    <x v="215"/>
  </r>
  <r>
    <n v="802"/>
    <n v="63"/>
    <n v="479"/>
    <n v="4"/>
    <n v="9580"/>
    <x v="90"/>
    <x v="3"/>
    <n v="396"/>
    <s v="Рыба"/>
    <n v="258.5128205128205"/>
    <n v="0.8529061694108313"/>
    <s v="Балтийский берег"/>
    <n v="289.8888888888889"/>
    <d v="2022-11-06T00:00:00"/>
    <x v="54"/>
  </r>
  <r>
    <n v="803"/>
    <n v="410"/>
    <n v="320"/>
    <n v="4"/>
    <n v="6400"/>
    <x v="210"/>
    <x v="8"/>
    <n v="401"/>
    <s v="Чипсы"/>
    <n v="273.7254901960785"/>
    <n v="0.1690544412607449"/>
    <s v="Lay's"/>
    <n v="320.5714285714286"/>
    <d v="2022-10-22T00:00:00"/>
    <x v="240"/>
  </r>
  <r>
    <n v="804"/>
    <n v="223"/>
    <n v="477"/>
    <n v="4"/>
    <n v="9540"/>
    <x v="239"/>
    <x v="7"/>
    <n v="121"/>
    <s v="Чай"/>
    <n v="271.1818181818182"/>
    <n v="0.7589674824002681"/>
    <s v="Greenfield"/>
    <n v="291.4545454545454"/>
    <d v="2022-07-21T00:00:00"/>
    <x v="93"/>
  </r>
  <r>
    <n v="805"/>
    <n v="35"/>
    <n v="277"/>
    <n v="4"/>
    <n v="5540"/>
    <x v="387"/>
    <x v="2"/>
    <n v="108"/>
    <s v="Крупа"/>
    <n v="255.1162790697674"/>
    <n v="0.08577939835916126"/>
    <s v="Мистраль"/>
    <n v="250.3076923076923"/>
    <d v="2022-10-01T00:00:00"/>
    <x v="473"/>
  </r>
  <r>
    <n v="806"/>
    <n v="398"/>
    <n v="127"/>
    <n v="5"/>
    <n v="3175"/>
    <x v="156"/>
    <x v="7"/>
    <n v="191"/>
    <s v="Сок"/>
    <n v="268.6034482758621"/>
    <n v="-0.5271840297836832"/>
    <s v="Фруктовый сад"/>
    <n v="281.96875"/>
    <d v="2022-11-01T00:00:00"/>
    <x v="421"/>
  </r>
  <r>
    <n v="807"/>
    <n v="132"/>
    <n v="154"/>
    <n v="3"/>
    <n v="2310"/>
    <x v="404"/>
    <x v="11"/>
    <n v="443"/>
    <s v="Рыба"/>
    <n v="258.5128205128205"/>
    <n v="-0.404284864114263"/>
    <s v="Меридиан"/>
    <n v="260.6470588235294"/>
    <d v="2022-03-29T00:00:00"/>
    <x v="474"/>
  </r>
  <r>
    <n v="808"/>
    <n v="415"/>
    <n v="84"/>
    <n v="5"/>
    <n v="2100"/>
    <x v="303"/>
    <x v="18"/>
    <n v="191"/>
    <s v="Чипсы"/>
    <n v="273.7254901960785"/>
    <n v="-0.6931232091690545"/>
    <s v="Pringles"/>
    <n v="280.2380952380952"/>
    <d v="2022-11-01T00:00:00"/>
    <x v="67"/>
  </r>
  <r>
    <n v="809"/>
    <n v="384"/>
    <n v="423"/>
    <n v="5"/>
    <n v="10575"/>
    <x v="253"/>
    <x v="17"/>
    <n v="249"/>
    <s v="Сахар"/>
    <n v="252.7627118644068"/>
    <n v="0.6735063367531684"/>
    <s v="Сладов"/>
    <n v="240.2666666666667"/>
    <d v="2022-08-08T00:00:00"/>
    <x v="432"/>
  </r>
  <r>
    <n v="810"/>
    <n v="311"/>
    <n v="470"/>
    <n v="2"/>
    <n v="4700"/>
    <x v="310"/>
    <x v="11"/>
    <n v="418"/>
    <s v="Макароны"/>
    <n v="265.4767441860465"/>
    <n v="0.7703998948797688"/>
    <s v="Паста Зара"/>
    <n v="276.6756756756757"/>
    <d v="2022-05-19T00:00:00"/>
    <x v="428"/>
  </r>
  <r>
    <n v="811"/>
    <n v="328"/>
    <n v="59"/>
    <n v="1"/>
    <n v="295"/>
    <x v="140"/>
    <x v="14"/>
    <n v="126"/>
    <s v="Чипсы"/>
    <n v="273.7254901960785"/>
    <n v="-0.7844555873925502"/>
    <s v="Русская картошка"/>
    <n v="241.8333333333333"/>
    <d v="2022-09-18T00:00:00"/>
    <x v="404"/>
  </r>
  <r>
    <n v="812"/>
    <n v="74"/>
    <n v="332"/>
    <n v="3"/>
    <n v="4980"/>
    <x v="67"/>
    <x v="16"/>
    <n v="497"/>
    <s v="Колбаса"/>
    <n v="286.9230769230769"/>
    <n v="0.1571045576407508"/>
    <s v="Черкизово"/>
    <n v="320.25"/>
    <d v="2022-09-22T00:00:00"/>
    <x v="475"/>
  </r>
  <r>
    <n v="813"/>
    <n v="152"/>
    <n v="94"/>
    <n v="5"/>
    <n v="2350"/>
    <x v="92"/>
    <x v="16"/>
    <n v="332"/>
    <s v="Печенье"/>
    <n v="283.468085106383"/>
    <n v="-0.6683930045785484"/>
    <s v="Белогорье"/>
    <n v="249.5"/>
    <d v="2022-10-24T00:00:00"/>
    <x v="476"/>
  </r>
  <r>
    <n v="814"/>
    <n v="319"/>
    <n v="148"/>
    <n v="1"/>
    <n v="740"/>
    <x v="376"/>
    <x v="6"/>
    <n v="445"/>
    <s v="Йогурт"/>
    <n v="263.2542372881356"/>
    <n v="-0.4378058202420808"/>
    <s v="Эрманн"/>
    <n v="248.5"/>
    <d v="2022-04-25T00:00:00"/>
    <x v="477"/>
  </r>
  <r>
    <n v="815"/>
    <n v="19"/>
    <n v="378"/>
    <n v="2"/>
    <n v="3780"/>
    <x v="362"/>
    <x v="15"/>
    <n v="167"/>
    <s v="Мясо"/>
    <n v="271.7454545454545"/>
    <n v="0.3910076274588519"/>
    <s v="Снежана"/>
    <n v="272.3529411764706"/>
    <d v="2022-01-02T00:00:00"/>
    <x v="478"/>
  </r>
  <r>
    <n v="816"/>
    <n v="242"/>
    <n v="265"/>
    <n v="4"/>
    <n v="5300"/>
    <x v="286"/>
    <x v="19"/>
    <n v="415"/>
    <s v="Овощи"/>
    <n v="250.4878048780488"/>
    <n v="0.05793573515092487"/>
    <s v="Овощной ряд"/>
    <n v="303.8235294117647"/>
    <d v="2022-04-10T00:00:00"/>
    <x v="479"/>
  </r>
  <r>
    <n v="817"/>
    <n v="354"/>
    <n v="431"/>
    <n v="1"/>
    <n v="2155"/>
    <x v="405"/>
    <x v="12"/>
    <n v="229"/>
    <s v="Чай"/>
    <n v="271.1818181818182"/>
    <n v="0.5893395910157559"/>
    <s v="Lipton"/>
    <n v="260.1578947368421"/>
    <d v="2022-07-24T00:00:00"/>
    <x v="203"/>
  </r>
  <r>
    <n v="818"/>
    <n v="354"/>
    <n v="382"/>
    <n v="4"/>
    <n v="7640"/>
    <x v="80"/>
    <x v="8"/>
    <n v="119"/>
    <s v="Чай"/>
    <n v="271.1818181818182"/>
    <n v="0.4086490110626886"/>
    <s v="Lipton"/>
    <n v="260.1578947368421"/>
    <d v="2022-05-09T00:00:00"/>
    <x v="147"/>
  </r>
  <r>
    <n v="819"/>
    <n v="245"/>
    <n v="281"/>
    <n v="1"/>
    <n v="1405"/>
    <x v="255"/>
    <x v="3"/>
    <n v="341"/>
    <s v="Сахар"/>
    <n v="252.7627118644068"/>
    <n v="0.1117146114128613"/>
    <s v="Продимекс"/>
    <n v="240.5"/>
    <d v="2022-06-12T00:00:00"/>
    <x v="480"/>
  </r>
  <r>
    <n v="820"/>
    <n v="386"/>
    <n v="149"/>
    <n v="5"/>
    <n v="3725"/>
    <x v="130"/>
    <x v="0"/>
    <n v="407"/>
    <s v="Крупа"/>
    <n v="255.1162790697674"/>
    <n v="-0.4159525979945305"/>
    <s v="Увелка"/>
    <n v="251.9166666666667"/>
    <d v="2022-03-01T00:00:00"/>
    <x v="9"/>
  </r>
  <r>
    <n v="821"/>
    <n v="434"/>
    <n v="257"/>
    <n v="2"/>
    <n v="2570"/>
    <x v="406"/>
    <x v="2"/>
    <n v="264"/>
    <s v="Сыр"/>
    <n v="262.6349206349207"/>
    <n v="-0.02145533663725385"/>
    <s v="Сырная долина"/>
    <n v="271"/>
    <d v="2022-12-12T00:00:00"/>
    <x v="152"/>
  </r>
  <r>
    <n v="822"/>
    <n v="402"/>
    <n v="218"/>
    <n v="1"/>
    <n v="1090"/>
    <x v="197"/>
    <x v="6"/>
    <n v="91"/>
    <s v="Хлеб"/>
    <n v="300.3181818181818"/>
    <n v="-0.2741032238534887"/>
    <s v="Каравай"/>
    <n v="331.1666666666667"/>
    <d v="2022-05-06T00:00:00"/>
    <x v="359"/>
  </r>
  <r>
    <n v="823"/>
    <n v="326"/>
    <n v="198"/>
    <n v="2"/>
    <n v="1980"/>
    <x v="193"/>
    <x v="2"/>
    <n v="362"/>
    <s v="Крупа"/>
    <n v="255.1162790697674"/>
    <n v="-0.2238833181403829"/>
    <s v="Увелка"/>
    <n v="251.9166666666667"/>
    <d v="2022-12-21T00:00:00"/>
    <x v="372"/>
  </r>
  <r>
    <n v="824"/>
    <n v="491"/>
    <n v="111"/>
    <n v="4"/>
    <n v="2220"/>
    <x v="279"/>
    <x v="1"/>
    <n v="473"/>
    <s v="Овощи"/>
    <n v="250.4878048780488"/>
    <n v="-0.5568646543330088"/>
    <s v="Зеленая грядка"/>
    <n v="159.2"/>
    <d v="2022-08-26T00:00:00"/>
    <x v="346"/>
  </r>
  <r>
    <n v="825"/>
    <n v="240"/>
    <n v="306"/>
    <n v="5"/>
    <n v="7650"/>
    <x v="407"/>
    <x v="19"/>
    <n v="482"/>
    <s v="Макароны"/>
    <n v="265.4767441860465"/>
    <n v="0.1526433358153387"/>
    <s v="Борилла"/>
    <n v="236.2758620689655"/>
    <d v="2022-04-28T00:00:00"/>
    <x v="481"/>
  </r>
  <r>
    <n v="826"/>
    <n v="352"/>
    <n v="391"/>
    <n v="1"/>
    <n v="1955"/>
    <x v="26"/>
    <x v="12"/>
    <n v="367"/>
    <s v="Йогурт"/>
    <n v="263.2542372881356"/>
    <n v="0.4852562451712594"/>
    <s v="Эрманн"/>
    <n v="248.5"/>
    <d v="2022-11-02T00:00:00"/>
    <x v="461"/>
  </r>
  <r>
    <n v="827"/>
    <n v="305"/>
    <n v="252"/>
    <n v="1"/>
    <n v="1260"/>
    <x v="152"/>
    <x v="10"/>
    <n v="172"/>
    <s v="Печенье"/>
    <n v="283.468085106383"/>
    <n v="-0.1110110335510021"/>
    <s v="Посиделкино"/>
    <n v="321.6363636363636"/>
    <d v="2022-06-25T00:00:00"/>
    <x v="482"/>
  </r>
  <r>
    <n v="828"/>
    <n v="269"/>
    <n v="398"/>
    <n v="4"/>
    <n v="7960"/>
    <x v="137"/>
    <x v="15"/>
    <n v="466"/>
    <s v="Сахар"/>
    <n v="252.7627118644068"/>
    <n v="0.574599342855227"/>
    <s v="Русский сахар"/>
    <n v="293.4117647058824"/>
    <d v="2022-07-30T00:00:00"/>
    <x v="228"/>
  </r>
  <r>
    <n v="829"/>
    <n v="380"/>
    <n v="100"/>
    <n v="2"/>
    <n v="1000"/>
    <x v="96"/>
    <x v="9"/>
    <n v="57"/>
    <s v="Конфеты"/>
    <n v="267.8548387096774"/>
    <n v="-0.6266634551695068"/>
    <s v="Бабаевский"/>
    <n v="250.2592592592593"/>
    <d v="2022-04-18T00:00:00"/>
    <x v="368"/>
  </r>
  <r>
    <n v="830"/>
    <n v="44"/>
    <n v="310"/>
    <n v="3"/>
    <n v="4650"/>
    <x v="35"/>
    <x v="7"/>
    <n v="48"/>
    <s v="Молоко"/>
    <n v="294.952380952381"/>
    <n v="0.05101711333548598"/>
    <s v="Беллакт"/>
    <n v="322.5454545454546"/>
    <d v="2022-10-22T00:00:00"/>
    <x v="483"/>
  </r>
  <r>
    <n v="831"/>
    <n v="183"/>
    <n v="286"/>
    <n v="2"/>
    <n v="2860"/>
    <x v="172"/>
    <x v="14"/>
    <n v="11"/>
    <s v="Конфеты"/>
    <n v="267.8548387096774"/>
    <n v="0.06774251821521049"/>
    <s v="Бабаевский"/>
    <n v="250.2592592592593"/>
    <d v="2022-05-09T00:00:00"/>
    <x v="455"/>
  </r>
  <r>
    <n v="832"/>
    <n v="65"/>
    <n v="201"/>
    <n v="2"/>
    <n v="2010"/>
    <x v="384"/>
    <x v="1"/>
    <n v="125"/>
    <s v="Хлеб"/>
    <n v="300.3181818181818"/>
    <n v="-0.3307098531860149"/>
    <s v="Хлебный Дом"/>
    <n v="281.7333333333333"/>
    <d v="2022-05-20T00:00:00"/>
    <x v="484"/>
  </r>
  <r>
    <n v="833"/>
    <n v="425"/>
    <n v="258"/>
    <n v="4"/>
    <n v="5160"/>
    <x v="406"/>
    <x v="15"/>
    <n v="72"/>
    <s v="Соль"/>
    <n v="264.8679245283019"/>
    <n v="-0.02592961960393225"/>
    <s v="Экстра"/>
    <n v="320.8461538461539"/>
    <d v="2022-12-11T00:00:00"/>
    <x v="485"/>
  </r>
  <r>
    <n v="834"/>
    <n v="230"/>
    <n v="179"/>
    <n v="4"/>
    <n v="3580"/>
    <x v="408"/>
    <x v="19"/>
    <n v="68"/>
    <s v="Сок"/>
    <n v="268.6034482758621"/>
    <n v="-0.3335900892226716"/>
    <s v="Фруктовый сад"/>
    <n v="281.96875"/>
    <d v="2022-11-17T00:00:00"/>
    <x v="332"/>
  </r>
  <r>
    <n v="835"/>
    <n v="497"/>
    <n v="113"/>
    <n v="2"/>
    <n v="1130"/>
    <x v="244"/>
    <x v="17"/>
    <n v="219"/>
    <s v="Конфеты"/>
    <n v="267.8548387096774"/>
    <n v="-0.5781297043415428"/>
    <s v="Бабаевский"/>
    <n v="250.2592592592593"/>
    <d v="2022-01-24T00:00:00"/>
    <x v="486"/>
  </r>
  <r>
    <n v="836"/>
    <n v="82"/>
    <n v="73"/>
    <n v="1"/>
    <n v="365"/>
    <x v="409"/>
    <x v="8"/>
    <n v="218"/>
    <s v="Сыр"/>
    <n v="262.6349206349207"/>
    <n v="-0.7220476248035779"/>
    <s v="Hochland"/>
    <n v="168"/>
    <d v="2022-06-09T00:00:00"/>
    <x v="235"/>
  </r>
  <r>
    <n v="837"/>
    <n v="104"/>
    <n v="420"/>
    <n v="2"/>
    <n v="4200"/>
    <x v="189"/>
    <x v="2"/>
    <n v="26"/>
    <s v="Йогурт"/>
    <n v="263.2542372881356"/>
    <n v="0.59541591552923"/>
    <s v="Ростагроэкспорт"/>
    <n v="257.7826086956522"/>
    <d v="2022-09-15T00:00:00"/>
    <x v="487"/>
  </r>
  <r>
    <n v="838"/>
    <n v="364"/>
    <n v="496"/>
    <n v="1"/>
    <n v="2480"/>
    <x v="410"/>
    <x v="2"/>
    <n v="417"/>
    <s v="Сахар"/>
    <n v="252.7627118644068"/>
    <n v="0.9623147589351573"/>
    <s v="Русский сахар"/>
    <n v="293.4117647058824"/>
    <d v="2022-02-16T00:00:00"/>
    <x v="440"/>
  </r>
  <r>
    <n v="839"/>
    <n v="334"/>
    <n v="223"/>
    <n v="2"/>
    <n v="2230"/>
    <x v="43"/>
    <x v="4"/>
    <n v="216"/>
    <s v="Молоко"/>
    <n v="294.952380952381"/>
    <n v="-0.2439457539554408"/>
    <s v="Домик в деревне"/>
    <n v="274.7777777777778"/>
    <d v="2022-04-04T00:00:00"/>
    <x v="293"/>
  </r>
  <r>
    <n v="840"/>
    <n v="356"/>
    <n v="97"/>
    <n v="2"/>
    <n v="970"/>
    <x v="9"/>
    <x v="3"/>
    <n v="491"/>
    <s v="Печенье"/>
    <n v="283.468085106383"/>
    <n v="-0.6578098025970127"/>
    <s v="Посиделкино"/>
    <n v="321.6363636363636"/>
    <d v="2022-07-10T00:00:00"/>
    <x v="297"/>
  </r>
  <r>
    <n v="841"/>
    <n v="446"/>
    <n v="445"/>
    <n v="5"/>
    <n v="11125"/>
    <x v="69"/>
    <x v="15"/>
    <n v="307"/>
    <s v="Чипсы"/>
    <n v="273.7254901960785"/>
    <n v="0.6257163323782233"/>
    <s v="Lay's"/>
    <n v="320.5714285714286"/>
    <d v="2022-07-22T00:00:00"/>
    <x v="334"/>
  </r>
  <r>
    <n v="842"/>
    <n v="88"/>
    <n v="206"/>
    <n v="4"/>
    <n v="4120"/>
    <x v="395"/>
    <x v="15"/>
    <n v="492"/>
    <s v="Крупа"/>
    <n v="255.1162790697674"/>
    <n v="-0.1925250683682771"/>
    <s v="Мистраль"/>
    <n v="250.3076923076923"/>
    <d v="2022-05-07T00:00:00"/>
    <x v="352"/>
  </r>
  <r>
    <n v="843"/>
    <n v="347"/>
    <n v="265"/>
    <n v="1"/>
    <n v="1325"/>
    <x v="394"/>
    <x v="11"/>
    <n v="264"/>
    <s v="Макароны"/>
    <n v="265.4767441860465"/>
    <n v="-0.001795803950768726"/>
    <s v="Паста Зара"/>
    <n v="276.6756756756757"/>
    <d v="2022-12-12T00:00:00"/>
    <x v="320"/>
  </r>
  <r>
    <n v="844"/>
    <n v="342"/>
    <n v="269"/>
    <n v="4"/>
    <n v="5380"/>
    <x v="411"/>
    <x v="13"/>
    <n v="190"/>
    <s v="Овощи"/>
    <n v="250.4878048780488"/>
    <n v="0.07390457643622206"/>
    <s v="Овощной ряд"/>
    <n v="303.8235294117647"/>
    <d v="2022-05-08T00:00:00"/>
    <x v="61"/>
  </r>
  <r>
    <n v="845"/>
    <n v="474"/>
    <n v="405"/>
    <n v="2"/>
    <n v="4050"/>
    <x v="394"/>
    <x v="8"/>
    <n v="18"/>
    <s v="Молоко"/>
    <n v="294.952380952381"/>
    <n v="0.373103002906038"/>
    <s v="Простоквашино"/>
    <n v="318.8181818181818"/>
    <d v="2022-01-17T00:00:00"/>
    <x v="488"/>
  </r>
  <r>
    <n v="846"/>
    <n v="69"/>
    <n v="197"/>
    <n v="2"/>
    <n v="1970"/>
    <x v="183"/>
    <x v="13"/>
    <n v="125"/>
    <s v="Чипсы"/>
    <n v="273.7254901960785"/>
    <n v="-0.280300859598854"/>
    <s v="Estrella"/>
    <n v="266.2727272727273"/>
    <d v="2022-05-20T00:00:00"/>
    <x v="117"/>
  </r>
  <r>
    <n v="847"/>
    <n v="206"/>
    <n v="93"/>
    <n v="2"/>
    <n v="930"/>
    <x v="412"/>
    <x v="9"/>
    <n v="155"/>
    <s v="Молоко"/>
    <n v="294.952380952381"/>
    <n v="-0.6846948659993543"/>
    <s v="Домик в деревне"/>
    <n v="274.7777777777778"/>
    <d v="2022-01-03T00:00:00"/>
    <x v="70"/>
  </r>
  <r>
    <n v="848"/>
    <n v="319"/>
    <n v="193"/>
    <n v="1"/>
    <n v="965"/>
    <x v="193"/>
    <x v="7"/>
    <n v="43"/>
    <s v="Йогурт"/>
    <n v="263.2542372881356"/>
    <n v="-0.266868400721092"/>
    <s v="Эрманн"/>
    <n v="248.5"/>
    <d v="2022-12-17T00:00:00"/>
    <x v="255"/>
  </r>
  <r>
    <n v="849"/>
    <n v="59"/>
    <n v="150"/>
    <n v="4"/>
    <n v="3000"/>
    <x v="390"/>
    <x v="9"/>
    <n v="343"/>
    <s v="Сахар"/>
    <n v="252.7627118644068"/>
    <n v="-0.4065580366123517"/>
    <s v="Продимекс"/>
    <n v="240.5"/>
    <d v="2022-11-09T00:00:00"/>
    <x v="374"/>
  </r>
  <r>
    <n v="850"/>
    <n v="16"/>
    <n v="207"/>
    <n v="2"/>
    <n v="2070"/>
    <x v="170"/>
    <x v="3"/>
    <n v="26"/>
    <s v="Сыр"/>
    <n v="262.6349206349207"/>
    <n v="-0.2118336758128854"/>
    <s v="Сырная долина"/>
    <n v="271"/>
    <d v="2022-09-15T00:00:00"/>
    <x v="162"/>
  </r>
  <r>
    <n v="851"/>
    <n v="220"/>
    <n v="305"/>
    <n v="4"/>
    <n v="6100"/>
    <x v="398"/>
    <x v="6"/>
    <n v="306"/>
    <s v="Чай"/>
    <n v="271.1818181818182"/>
    <n v="0.1247066711364397"/>
    <s v="Тесс"/>
    <n v="281.75"/>
    <d v="2022-11-07T00:00:00"/>
    <x v="489"/>
  </r>
  <r>
    <n v="852"/>
    <n v="474"/>
    <n v="171"/>
    <n v="3"/>
    <n v="2565"/>
    <x v="225"/>
    <x v="3"/>
    <n v="260"/>
    <s v="Молоко"/>
    <n v="294.952380952381"/>
    <n v="-0.4202453987730062"/>
    <s v="Простоквашино"/>
    <n v="318.8181818181818"/>
    <d v="2022-06-17T00:00:00"/>
    <x v="490"/>
  </r>
  <r>
    <n v="853"/>
    <n v="118"/>
    <n v="466"/>
    <n v="3"/>
    <n v="6990"/>
    <x v="15"/>
    <x v="14"/>
    <n v="188"/>
    <s v="Сахар"/>
    <n v="252.7627118644068"/>
    <n v="0.8436263662576275"/>
    <s v="Продимекс"/>
    <n v="240.5"/>
    <d v="2022-08-28T00:00:00"/>
    <x v="491"/>
  </r>
  <r>
    <n v="854"/>
    <n v="207"/>
    <n v="57"/>
    <n v="2"/>
    <n v="570"/>
    <x v="314"/>
    <x v="13"/>
    <n v="152"/>
    <s v="Сахар"/>
    <n v="252.7627118644068"/>
    <n v="-0.7744920539126936"/>
    <s v="Агросахар"/>
    <n v="215.8571428571429"/>
    <d v="2022-08-18T00:00:00"/>
    <x v="144"/>
  </r>
  <r>
    <n v="855"/>
    <n v="239"/>
    <n v="397"/>
    <n v="2"/>
    <n v="3970"/>
    <x v="48"/>
    <x v="6"/>
    <n v="65"/>
    <s v="Йогурт"/>
    <n v="263.2542372881356"/>
    <n v="0.5080479011073913"/>
    <s v="Эрманн"/>
    <n v="248.5"/>
    <d v="2022-03-03T00:00:00"/>
    <x v="492"/>
  </r>
  <r>
    <n v="856"/>
    <n v="367"/>
    <n v="289"/>
    <n v="1"/>
    <n v="1445"/>
    <x v="146"/>
    <x v="1"/>
    <n v="281"/>
    <s v="Колбаса"/>
    <n v="286.9230769230769"/>
    <n v="0.007238605898123307"/>
    <s v="Окраина"/>
    <n v="273.5833333333333"/>
    <d v="2022-05-30T00:00:00"/>
    <x v="445"/>
  </r>
  <r>
    <n v="857"/>
    <n v="87"/>
    <n v="191"/>
    <n v="3"/>
    <n v="2865"/>
    <x v="30"/>
    <x v="18"/>
    <n v="430"/>
    <s v="Кофе"/>
    <n v="249.0238095238095"/>
    <n v="-0.2330050674060617"/>
    <s v="Jacobs"/>
    <n v="276.2105263157895"/>
    <d v="2022-08-26T00:00:00"/>
    <x v="493"/>
  </r>
  <r>
    <n v="858"/>
    <n v="309"/>
    <n v="244"/>
    <n v="3"/>
    <n v="3660"/>
    <x v="262"/>
    <x v="19"/>
    <n v="299"/>
    <s v="Конфеты"/>
    <n v="267.8548387096774"/>
    <n v="-0.08905883061359676"/>
    <s v="Рот Фронт"/>
    <n v="288.2380952380952"/>
    <d v="2022-04-15T00:00:00"/>
    <x v="7"/>
  </r>
  <r>
    <n v="859"/>
    <n v="271"/>
    <n v="392"/>
    <n v="3"/>
    <n v="5880"/>
    <x v="130"/>
    <x v="11"/>
    <n v="132"/>
    <s v="Сыр"/>
    <n v="262.6349206349207"/>
    <n v="0.4925661791369513"/>
    <s v="Сырная долина"/>
    <n v="271"/>
    <d v="2022-02-09T00:00:00"/>
    <x v="313"/>
  </r>
  <r>
    <n v="860"/>
    <n v="354"/>
    <n v="493"/>
    <n v="2"/>
    <n v="4930"/>
    <x v="413"/>
    <x v="16"/>
    <n v="68"/>
    <s v="Чай"/>
    <n v="271.1818181818182"/>
    <n v="0.8179684880992288"/>
    <s v="Lipton"/>
    <n v="260.1578947368421"/>
    <d v="2022-11-17T00:00:00"/>
    <x v="235"/>
  </r>
  <r>
    <n v="861"/>
    <n v="266"/>
    <n v="339"/>
    <n v="5"/>
    <n v="8475"/>
    <x v="362"/>
    <x v="1"/>
    <n v="42"/>
    <s v="Рыба"/>
    <n v="258.5128205128205"/>
    <n v="0.3113469549692522"/>
    <s v="Меридиан"/>
    <n v="260.6470588235294"/>
    <d v="2022-08-10T00:00:00"/>
    <x v="494"/>
  </r>
  <r>
    <n v="862"/>
    <n v="441"/>
    <n v="316"/>
    <n v="4"/>
    <n v="6320"/>
    <x v="300"/>
    <x v="14"/>
    <n v="488"/>
    <s v="Чай"/>
    <n v="271.1818181818182"/>
    <n v="0.1652698625544753"/>
    <s v="Lipton"/>
    <n v="260.1578947368421"/>
    <d v="2022-06-26T00:00:00"/>
    <x v="308"/>
  </r>
  <r>
    <n v="863"/>
    <n v="245"/>
    <n v="284"/>
    <n v="4"/>
    <n v="5680"/>
    <x v="204"/>
    <x v="7"/>
    <n v="324"/>
    <s v="Сахар"/>
    <n v="252.7627118644068"/>
    <n v="0.1235834506806142"/>
    <s v="Продимекс"/>
    <n v="240.5"/>
    <d v="2022-07-19T00:00:00"/>
    <x v="495"/>
  </r>
  <r>
    <n v="864"/>
    <n v="369"/>
    <n v="206"/>
    <n v="4"/>
    <n v="4120"/>
    <x v="265"/>
    <x v="9"/>
    <n v="346"/>
    <s v="Молоко"/>
    <n v="294.952380952381"/>
    <n v="-0.3015821762996448"/>
    <s v="Домик в деревне"/>
    <n v="274.7777777777778"/>
    <d v="2022-03-16T00:00:00"/>
    <x v="39"/>
  </r>
  <r>
    <n v="865"/>
    <n v="176"/>
    <n v="217"/>
    <n v="4"/>
    <n v="4340"/>
    <x v="414"/>
    <x v="4"/>
    <n v="313"/>
    <s v="Сахар"/>
    <n v="252.7627118644068"/>
    <n v="-0.1414872929658687"/>
    <s v="Продимекс"/>
    <n v="240.5"/>
    <d v="2022-12-01T00:00:00"/>
    <x v="496"/>
  </r>
  <r>
    <n v="866"/>
    <n v="467"/>
    <n v="72"/>
    <n v="2"/>
    <n v="720"/>
    <x v="415"/>
    <x v="5"/>
    <n v="233"/>
    <s v="Макароны"/>
    <n v="265.4767441860465"/>
    <n v="-0.7287898033375673"/>
    <s v="Борилла"/>
    <n v="236.2758620689655"/>
    <d v="2022-02-24T00:00:00"/>
    <x v="497"/>
  </r>
  <r>
    <n v="867"/>
    <n v="237"/>
    <n v="121"/>
    <n v="3"/>
    <n v="1815"/>
    <x v="416"/>
    <x v="18"/>
    <n v="77"/>
    <s v="Конфеты"/>
    <n v="267.8548387096774"/>
    <n v="-0.5482627807551033"/>
    <s v="Рот Фронт"/>
    <n v="288.2380952380952"/>
    <d v="2022-03-24T00:00:00"/>
    <x v="498"/>
  </r>
  <r>
    <n v="868"/>
    <n v="300"/>
    <n v="140"/>
    <n v="4"/>
    <n v="2800"/>
    <x v="321"/>
    <x v="9"/>
    <n v="107"/>
    <s v="Сахар"/>
    <n v="252.7627118644068"/>
    <n v="-0.4461208341715281"/>
    <s v="Продимекс"/>
    <n v="240.5"/>
    <d v="2022-07-02T00:00:00"/>
    <x v="499"/>
  </r>
  <r>
    <n v="869"/>
    <n v="137"/>
    <n v="295"/>
    <n v="2"/>
    <n v="2950"/>
    <x v="417"/>
    <x v="13"/>
    <n v="375"/>
    <s v="Фрукты"/>
    <n v="274.1627906976744"/>
    <n v="0.07600305369412164"/>
    <s v="Экзотик"/>
    <n v="253.6875"/>
    <d v="2022-04-23T00:00:00"/>
    <x v="500"/>
  </r>
  <r>
    <n v="870"/>
    <n v="194"/>
    <n v="325"/>
    <n v="4"/>
    <n v="6500"/>
    <x v="407"/>
    <x v="12"/>
    <n v="62"/>
    <s v="Соль"/>
    <n v="264.8679245283019"/>
    <n v="0.2270266419717908"/>
    <s v="Салта"/>
    <n v="273.7"/>
    <d v="2022-04-20T00:00:00"/>
    <x v="102"/>
  </r>
  <r>
    <n v="871"/>
    <n v="215"/>
    <n v="147"/>
    <n v="3"/>
    <n v="2205"/>
    <x v="77"/>
    <x v="5"/>
    <n v="368"/>
    <s v="Сок"/>
    <n v="268.6034482758621"/>
    <n v="-0.4527248218756018"/>
    <s v="Фруктовый сад"/>
    <n v="281.96875"/>
    <d v="2022-11-07T00:00:00"/>
    <x v="93"/>
  </r>
  <r>
    <n v="872"/>
    <n v="307"/>
    <n v="419"/>
    <n v="1"/>
    <n v="2095"/>
    <x v="81"/>
    <x v="17"/>
    <n v="64"/>
    <s v="Сыр"/>
    <n v="262.6349206349207"/>
    <n v="0.5953704822917925"/>
    <s v="Карат"/>
    <n v="311.3333333333333"/>
    <d v="2022-05-26T00:00:00"/>
    <x v="9"/>
  </r>
  <r>
    <n v="873"/>
    <n v="424"/>
    <n v="457"/>
    <n v="1"/>
    <n v="2285"/>
    <x v="26"/>
    <x v="10"/>
    <n v="286"/>
    <s v="Печенье"/>
    <n v="283.468085106383"/>
    <n v="0.61217443518727"/>
    <s v="КДВ"/>
    <n v="323.0769230769231"/>
    <d v="2022-01-02T00:00:00"/>
    <x v="501"/>
  </r>
  <r>
    <n v="874"/>
    <n v="439"/>
    <n v="392"/>
    <n v="2"/>
    <n v="3920"/>
    <x v="414"/>
    <x v="7"/>
    <n v="74"/>
    <s v="Сок"/>
    <n v="268.6034482758621"/>
    <n v="0.4594004749983951"/>
    <s v="Добрый"/>
    <n v="242.8181818181818"/>
    <d v="2022-10-23T00:00:00"/>
    <x v="98"/>
  </r>
  <r>
    <n v="875"/>
    <n v="83"/>
    <n v="282"/>
    <n v="5"/>
    <n v="7050"/>
    <x v="418"/>
    <x v="4"/>
    <n v="6"/>
    <s v="Сок"/>
    <n v="268.6034482758621"/>
    <n v="0.04987483150394745"/>
    <s v="Сады Придонья"/>
    <n v="254.1818181818182"/>
    <d v="2022-05-29T00:00:00"/>
    <x v="374"/>
  </r>
  <r>
    <n v="876"/>
    <n v="329"/>
    <n v="265"/>
    <n v="2"/>
    <n v="2650"/>
    <x v="152"/>
    <x v="14"/>
    <n v="258"/>
    <s v="Соль"/>
    <n v="264.8679245283019"/>
    <n v="0.0004986465308447485"/>
    <s v="Славянская"/>
    <n v="236.9166666666667"/>
    <d v="2022-06-05T00:00:00"/>
    <x v="343"/>
  </r>
  <r>
    <n v="877"/>
    <n v="91"/>
    <n v="146"/>
    <n v="1"/>
    <n v="730"/>
    <x v="179"/>
    <x v="16"/>
    <n v="138"/>
    <s v="Сыр"/>
    <n v="262.6349206349207"/>
    <n v="-0.4440952496071559"/>
    <s v="Сырная долина"/>
    <n v="271"/>
    <d v="2022-06-11T00:00:00"/>
    <x v="367"/>
  </r>
  <r>
    <n v="878"/>
    <n v="296"/>
    <n v="58"/>
    <n v="2"/>
    <n v="580"/>
    <x v="419"/>
    <x v="0"/>
    <n v="419"/>
    <s v="Крупа"/>
    <n v="255.1162790697674"/>
    <n v="-0.7726526891522334"/>
    <s v="Мистраль"/>
    <n v="250.3076923076923"/>
    <d v="2022-11-04T00:00:00"/>
    <x v="444"/>
  </r>
  <r>
    <n v="879"/>
    <n v="437"/>
    <n v="379"/>
    <n v="2"/>
    <n v="3790"/>
    <x v="34"/>
    <x v="17"/>
    <n v="148"/>
    <s v="Чай"/>
    <n v="271.1818181818182"/>
    <n v="0.3975863224941334"/>
    <s v="Тесс"/>
    <n v="281.75"/>
    <d v="2022-05-19T00:00:00"/>
    <x v="189"/>
  </r>
  <r>
    <n v="880"/>
    <n v="193"/>
    <n v="201"/>
    <n v="4"/>
    <n v="4020"/>
    <x v="334"/>
    <x v="6"/>
    <n v="105"/>
    <s v="Соль"/>
    <n v="264.8679245283019"/>
    <n v="-0.2411312152728309"/>
    <s v="Салта"/>
    <n v="273.7"/>
    <d v="2022-12-23T00:00:00"/>
    <x v="502"/>
  </r>
  <r>
    <n v="881"/>
    <n v="144"/>
    <n v="337"/>
    <n v="3"/>
    <n v="5055"/>
    <x v="103"/>
    <x v="16"/>
    <n v="365"/>
    <s v="Макароны"/>
    <n v="265.4767441860465"/>
    <n v="0.2694143927116639"/>
    <s v="Роллтон"/>
    <n v="235.5555555555555"/>
    <d v="2022-10-07T00:00:00"/>
    <x v="414"/>
  </r>
  <r>
    <n v="882"/>
    <n v="27"/>
    <n v="160"/>
    <n v="1"/>
    <n v="800"/>
    <x v="162"/>
    <x v="8"/>
    <n v="416"/>
    <s v="Макароны"/>
    <n v="265.4767441860465"/>
    <n v="-0.397310674083483"/>
    <s v="Паста Зара"/>
    <n v="276.6756756756757"/>
    <d v="2022-05-22T00:00:00"/>
    <x v="499"/>
  </r>
  <r>
    <n v="883"/>
    <n v="375"/>
    <n v="197"/>
    <n v="5"/>
    <n v="4925"/>
    <x v="27"/>
    <x v="7"/>
    <n v="315"/>
    <s v="Макароны"/>
    <n v="265.4767441860465"/>
    <n v="-0.2579387674652884"/>
    <s v="Борилла"/>
    <n v="236.2758620689655"/>
    <d v="2022-07-05T00:00:00"/>
    <x v="503"/>
  </r>
  <r>
    <n v="884"/>
    <n v="453"/>
    <n v="437"/>
    <n v="2"/>
    <n v="4370"/>
    <x v="11"/>
    <x v="17"/>
    <n v="81"/>
    <s v="Макароны"/>
    <n v="265.4767441860465"/>
    <n v="0.6460952214094871"/>
    <s v="Макфа"/>
    <n v="329.2727272727273"/>
    <d v="2022-09-21T00:00:00"/>
    <x v="19"/>
  </r>
  <r>
    <n v="885"/>
    <n v="388"/>
    <n v="205"/>
    <n v="2"/>
    <n v="2050"/>
    <x v="358"/>
    <x v="13"/>
    <n v="262"/>
    <s v="Рыба"/>
    <n v="258.5128205128205"/>
    <n v="-0.207002578853402"/>
    <s v="Меридиан"/>
    <n v="260.6470588235294"/>
    <d v="2022-08-05T00:00:00"/>
    <x v="64"/>
  </r>
  <r>
    <n v="886"/>
    <n v="312"/>
    <n v="476"/>
    <n v="2"/>
    <n v="4760"/>
    <x v="367"/>
    <x v="16"/>
    <n v="239"/>
    <s v="Хлеб"/>
    <n v="300.3181818181818"/>
    <n v="0.5849856213107312"/>
    <s v="Каравай"/>
    <n v="331.1666666666667"/>
    <d v="2022-07-25T00:00:00"/>
    <x v="346"/>
  </r>
  <r>
    <n v="887"/>
    <n v="486"/>
    <n v="230"/>
    <n v="2"/>
    <n v="2300"/>
    <x v="267"/>
    <x v="1"/>
    <n v="358"/>
    <s v="Соль"/>
    <n v="264.8679245283019"/>
    <n v="-0.1316426841430404"/>
    <s v="Илецкая"/>
    <n v="238.1666666666667"/>
    <d v="2022-07-29T00:00:00"/>
    <x v="123"/>
  </r>
  <r>
    <n v="888"/>
    <n v="295"/>
    <n v="219"/>
    <n v="5"/>
    <n v="5475"/>
    <x v="153"/>
    <x v="11"/>
    <n v="331"/>
    <s v="Печенье"/>
    <n v="283.468085106383"/>
    <n v="-0.2274262553478946"/>
    <s v="Белогорье"/>
    <n v="249.5"/>
    <d v="2022-09-09T00:00:00"/>
    <x v="99"/>
  </r>
  <r>
    <n v="889"/>
    <n v="1"/>
    <n v="206"/>
    <n v="3"/>
    <n v="3090"/>
    <x v="285"/>
    <x v="5"/>
    <n v="31"/>
    <s v="Крупа"/>
    <n v="255.1162790697674"/>
    <n v="-0.1925250683682771"/>
    <s v="Ярмарка"/>
    <n v="252.0909090909091"/>
    <d v="2022-01-19T00:00:00"/>
    <x v="252"/>
  </r>
  <r>
    <n v="890"/>
    <n v="347"/>
    <n v="343"/>
    <n v="3"/>
    <n v="5145"/>
    <x v="420"/>
    <x v="2"/>
    <n v="74"/>
    <s v="Макароны"/>
    <n v="265.4767441860465"/>
    <n v="0.2920152424335334"/>
    <s v="Паста Зара"/>
    <n v="276.6756756756757"/>
    <d v="2022-10-23T00:00:00"/>
    <x v="504"/>
  </r>
  <r>
    <n v="891"/>
    <n v="308"/>
    <n v="147"/>
    <n v="2"/>
    <n v="1470"/>
    <x v="207"/>
    <x v="11"/>
    <n v="80"/>
    <s v="Конфеты"/>
    <n v="267.8548387096774"/>
    <n v="-0.4511952790991751"/>
    <s v="Бабаевский"/>
    <n v="250.2592592592593"/>
    <d v="2022-03-03T00:00:00"/>
    <x v="251"/>
  </r>
  <r>
    <n v="892"/>
    <n v="52"/>
    <n v="423"/>
    <n v="3"/>
    <n v="6345"/>
    <x v="336"/>
    <x v="6"/>
    <n v="496"/>
    <s v="Соль"/>
    <n v="264.8679245283019"/>
    <n v="0.5970223678586692"/>
    <s v="Илецкая"/>
    <n v="238.1666666666667"/>
    <d v="2022-11-02T00:00:00"/>
    <x v="505"/>
  </r>
  <r>
    <n v="893"/>
    <n v="75"/>
    <n v="494"/>
    <n v="4"/>
    <n v="9880"/>
    <x v="421"/>
    <x v="3"/>
    <n v="477"/>
    <s v="Печенье"/>
    <n v="283.468085106383"/>
    <n v="0.7427005929595436"/>
    <s v="Белогорье"/>
    <n v="249.5"/>
    <d v="2022-06-26T00:00:00"/>
    <x v="467"/>
  </r>
  <r>
    <n v="894"/>
    <n v="148"/>
    <n v="270"/>
    <n v="2"/>
    <n v="2700"/>
    <x v="292"/>
    <x v="5"/>
    <n v="196"/>
    <s v="Сок"/>
    <n v="268.6034482758621"/>
    <n v="0.005199306759098743"/>
    <s v="Фруктовый сад"/>
    <n v="281.96875"/>
    <d v="2022-10-01T00:00:00"/>
    <x v="136"/>
  </r>
  <r>
    <n v="895"/>
    <n v="481"/>
    <n v="470"/>
    <n v="2"/>
    <n v="4700"/>
    <x v="422"/>
    <x v="1"/>
    <n v="400"/>
    <s v="Чипсы"/>
    <n v="273.7254901960785"/>
    <n v="0.7170487106017192"/>
    <s v="Pringles"/>
    <n v="280.2380952380952"/>
    <d v="2022-07-23T00:00:00"/>
    <x v="260"/>
  </r>
  <r>
    <n v="896"/>
    <n v="194"/>
    <n v="278"/>
    <n v="4"/>
    <n v="5560"/>
    <x v="369"/>
    <x v="9"/>
    <n v="271"/>
    <s v="Соль"/>
    <n v="264.8679245283019"/>
    <n v="0.04957971220971635"/>
    <s v="Салта"/>
    <n v="273.7"/>
    <d v="2022-11-27T00:00:00"/>
    <x v="281"/>
  </r>
  <r>
    <n v="897"/>
    <n v="422"/>
    <n v="244"/>
    <n v="3"/>
    <n v="3660"/>
    <x v="243"/>
    <x v="5"/>
    <n v="265"/>
    <s v="Кофе"/>
    <n v="249.0238095238095"/>
    <n v="-0.02017401281193232"/>
    <s v="Nescafe"/>
    <n v="256.9"/>
    <d v="2022-07-14T00:00:00"/>
    <x v="506"/>
  </r>
  <r>
    <n v="898"/>
    <n v="52"/>
    <n v="142"/>
    <n v="3"/>
    <n v="2130"/>
    <x v="363"/>
    <x v="10"/>
    <n v="366"/>
    <s v="Соль"/>
    <n v="264.8679245283019"/>
    <n v="-0.4638837441230945"/>
    <s v="Илецкая"/>
    <n v="238.1666666666667"/>
    <d v="2022-09-23T00:00:00"/>
    <x v="507"/>
  </r>
  <r>
    <n v="899"/>
    <n v="73"/>
    <n v="160"/>
    <n v="4"/>
    <n v="3200"/>
    <x v="400"/>
    <x v="4"/>
    <n v="302"/>
    <s v="Хлеб"/>
    <n v="300.3181818181818"/>
    <n v="-0.467231723929166"/>
    <s v="Дарница"/>
    <n v="264"/>
    <d v="2022-10-25T00:00:00"/>
    <x v="155"/>
  </r>
  <r>
    <n v="900"/>
    <n v="208"/>
    <n v="476"/>
    <n v="5"/>
    <n v="11900"/>
    <x v="3"/>
    <x v="18"/>
    <n v="326"/>
    <s v="Конфеты"/>
    <n v="267.8548387096774"/>
    <n v="0.7770819533931475"/>
    <s v="Славянка"/>
    <n v="268"/>
    <d v="2022-04-04T00:00:00"/>
    <x v="370"/>
  </r>
  <r>
    <n v="901"/>
    <n v="458"/>
    <n v="343"/>
    <n v="3"/>
    <n v="5145"/>
    <x v="186"/>
    <x v="12"/>
    <n v="282"/>
    <s v="Макароны"/>
    <n v="265.4767441860465"/>
    <n v="0.2920152424335334"/>
    <s v="Борилла"/>
    <n v="236.2758620689655"/>
    <d v="2022-06-23T00:00:00"/>
    <x v="479"/>
  </r>
  <r>
    <n v="902"/>
    <n v="444"/>
    <n v="328"/>
    <n v="3"/>
    <n v="4920"/>
    <x v="246"/>
    <x v="19"/>
    <n v="292"/>
    <s v="Йогурт"/>
    <n v="263.2542372881356"/>
    <n v="0.2459438578418749"/>
    <s v="Эрманн"/>
    <n v="248.5"/>
    <d v="2022-02-16T00:00:00"/>
    <x v="117"/>
  </r>
  <r>
    <n v="903"/>
    <n v="369"/>
    <n v="379"/>
    <n v="5"/>
    <n v="9475"/>
    <x v="81"/>
    <x v="16"/>
    <n v="267"/>
    <s v="Молоко"/>
    <n v="294.952380952381"/>
    <n v="0.2849531804972554"/>
    <s v="Домик в деревне"/>
    <n v="274.7777777777778"/>
    <d v="2022-12-15T00:00:00"/>
    <x v="228"/>
  </r>
  <r>
    <n v="904"/>
    <n v="6"/>
    <n v="70"/>
    <n v="5"/>
    <n v="1750"/>
    <x v="323"/>
    <x v="4"/>
    <n v="433"/>
    <s v="Фрукты"/>
    <n v="274.1627906976744"/>
    <n v="-0.7446772414963101"/>
    <s v="Фрукты-Ягоды"/>
    <n v="280.6666666666667"/>
    <d v="2022-09-28T00:00:00"/>
    <x v="444"/>
  </r>
  <r>
    <n v="905"/>
    <n v="318"/>
    <n v="280"/>
    <n v="1"/>
    <n v="1400"/>
    <x v="302"/>
    <x v="1"/>
    <n v="382"/>
    <s v="Молоко"/>
    <n v="294.952380952381"/>
    <n v="-0.05069422021310954"/>
    <s v="Домик в деревне"/>
    <n v="274.7777777777778"/>
    <d v="2022-10-16T00:00:00"/>
    <x v="95"/>
  </r>
  <r>
    <n v="906"/>
    <n v="269"/>
    <n v="315"/>
    <n v="1"/>
    <n v="1575"/>
    <x v="335"/>
    <x v="2"/>
    <n v="41"/>
    <s v="Сахар"/>
    <n v="252.7627118644068"/>
    <n v="0.2462281231140615"/>
    <s v="Русский сахар"/>
    <n v="293.4117647058824"/>
    <d v="2022-10-08T00:00:00"/>
    <x v="332"/>
  </r>
  <r>
    <n v="907"/>
    <n v="55"/>
    <n v="353"/>
    <n v="1"/>
    <n v="1765"/>
    <x v="152"/>
    <x v="19"/>
    <n v="129"/>
    <s v="Крупа"/>
    <n v="255.1162790697674"/>
    <n v="0.3836827711941659"/>
    <s v="Националь"/>
    <n v="274.2857142857143"/>
    <d v="2022-11-03T00:00:00"/>
    <x v="132"/>
  </r>
  <r>
    <n v="908"/>
    <n v="327"/>
    <n v="342"/>
    <n v="2"/>
    <n v="3420"/>
    <x v="328"/>
    <x v="1"/>
    <n v="335"/>
    <s v="Колбаса"/>
    <n v="286.9230769230769"/>
    <n v="0.1919571045576409"/>
    <s v="Черкизово"/>
    <n v="320.25"/>
    <d v="2022-02-27T00:00:00"/>
    <x v="120"/>
  </r>
  <r>
    <n v="909"/>
    <n v="364"/>
    <n v="299"/>
    <n v="3"/>
    <n v="4485"/>
    <x v="261"/>
    <x v="14"/>
    <n v="194"/>
    <s v="Сахар"/>
    <n v="252.7627118644068"/>
    <n v="0.182927647019379"/>
    <s v="Русский сахар"/>
    <n v="293.4117647058824"/>
    <d v="2022-12-29T00:00:00"/>
    <x v="508"/>
  </r>
  <r>
    <n v="910"/>
    <n v="378"/>
    <n v="397"/>
    <n v="1"/>
    <n v="1985"/>
    <x v="67"/>
    <x v="5"/>
    <n v="56"/>
    <s v="Сок"/>
    <n v="268.6034482758621"/>
    <n v="0.4780152769754156"/>
    <s v="Фруктовый сад"/>
    <n v="281.96875"/>
    <d v="2022-04-11T00:00:00"/>
    <x v="242"/>
  </r>
  <r>
    <n v="911"/>
    <n v="462"/>
    <n v="231"/>
    <n v="2"/>
    <n v="2310"/>
    <x v="342"/>
    <x v="18"/>
    <n v="493"/>
    <s v="Рис"/>
    <n v="258.375"/>
    <n v="-0.1059506531204645"/>
    <s v="Белый Злат"/>
    <n v="269.7058823529412"/>
    <d v="2022-10-21T00:00:00"/>
    <x v="412"/>
  </r>
  <r>
    <n v="912"/>
    <n v="89"/>
    <n v="120"/>
    <n v="5"/>
    <n v="3000"/>
    <x v="423"/>
    <x v="19"/>
    <n v="222"/>
    <s v="Конфеты"/>
    <n v="267.8548387096774"/>
    <n v="-0.5519961462034082"/>
    <s v="Рот Фронт"/>
    <n v="288.2380952380952"/>
    <d v="2022-05-13T00:00:00"/>
    <x v="442"/>
  </r>
  <r>
    <n v="913"/>
    <n v="465"/>
    <n v="177"/>
    <n v="1"/>
    <n v="885"/>
    <x v="381"/>
    <x v="8"/>
    <n v="167"/>
    <s v="Йогурт"/>
    <n v="263.2542372881356"/>
    <n v="-0.3276461498841102"/>
    <s v="Ростагроэкспорт"/>
    <n v="257.7826086956522"/>
    <d v="2022-01-02T00:00:00"/>
    <x v="337"/>
  </r>
  <r>
    <n v="914"/>
    <n v="208"/>
    <n v="412"/>
    <n v="4"/>
    <n v="8240"/>
    <x v="407"/>
    <x v="6"/>
    <n v="212"/>
    <s v="Конфеты"/>
    <n v="267.8548387096774"/>
    <n v="0.5381465647016317"/>
    <s v="Славянка"/>
    <n v="268"/>
    <d v="2022-09-11T00:00:00"/>
    <x v="150"/>
  </r>
  <r>
    <n v="915"/>
    <n v="357"/>
    <n v="279"/>
    <n v="2"/>
    <n v="2790"/>
    <x v="12"/>
    <x v="15"/>
    <n v="499"/>
    <s v="Мясо"/>
    <n v="271.7454545454545"/>
    <n v="0.0266961059815336"/>
    <s v="Снежана"/>
    <n v="272.3529411764706"/>
    <d v="2022-08-25T00:00:00"/>
    <x v="77"/>
  </r>
  <r>
    <n v="916"/>
    <n v="416"/>
    <n v="472"/>
    <n v="1"/>
    <n v="2360"/>
    <x v="424"/>
    <x v="19"/>
    <n v="401"/>
    <s v="Рыба"/>
    <n v="258.5128205128205"/>
    <n v="0.8258282086887523"/>
    <s v="Меридиан"/>
    <n v="260.6470588235294"/>
    <d v="2022-10-22T00:00:00"/>
    <x v="320"/>
  </r>
  <r>
    <n v="917"/>
    <n v="374"/>
    <n v="52"/>
    <n v="3"/>
    <n v="780"/>
    <x v="425"/>
    <x v="18"/>
    <n v="463"/>
    <s v="Кофе"/>
    <n v="249.0238095238095"/>
    <n v="-0.7911846256812315"/>
    <s v="Tchibo"/>
    <n v="140"/>
    <d v="2022-11-04T00:00:00"/>
    <x v="509"/>
  </r>
  <r>
    <n v="918"/>
    <n v="145"/>
    <n v="144"/>
    <n v="5"/>
    <n v="3600"/>
    <x v="299"/>
    <x v="0"/>
    <n v="347"/>
    <s v="Овощи"/>
    <n v="250.4878048780488"/>
    <n v="-0.4251217137293087"/>
    <s v="Семко"/>
    <n v="208"/>
    <d v="2022-01-27T00:00:00"/>
    <x v="510"/>
  </r>
  <r>
    <n v="919"/>
    <n v="289"/>
    <n v="258"/>
    <n v="2"/>
    <n v="2580"/>
    <x v="221"/>
    <x v="1"/>
    <n v="54"/>
    <s v="Сок"/>
    <n v="268.6034482758621"/>
    <n v="-0.03947621798575018"/>
    <s v="Добрый"/>
    <n v="242.8181818181818"/>
    <d v="2022-10-13T00:00:00"/>
    <x v="132"/>
  </r>
  <r>
    <n v="920"/>
    <n v="173"/>
    <n v="173"/>
    <n v="2"/>
    <n v="1730"/>
    <x v="426"/>
    <x v="18"/>
    <n v="246"/>
    <s v="Сок"/>
    <n v="268.6034482758621"/>
    <n v="-0.355927851595096"/>
    <s v="Фруктовый сад"/>
    <n v="281.96875"/>
    <d v="2022-09-01T00:00:00"/>
    <x v="467"/>
  </r>
  <r>
    <n v="921"/>
    <n v="390"/>
    <n v="494"/>
    <n v="3"/>
    <n v="7410"/>
    <x v="41"/>
    <x v="11"/>
    <n v="65"/>
    <s v="Сок"/>
    <n v="268.6034482758621"/>
    <n v="0.8391424353296102"/>
    <s v="Сады Придонья"/>
    <n v="254.1818181818182"/>
    <d v="2022-03-03T00:00:00"/>
    <x v="499"/>
  </r>
  <r>
    <n v="922"/>
    <n v="482"/>
    <n v="198"/>
    <n v="2"/>
    <n v="1980"/>
    <x v="91"/>
    <x v="18"/>
    <n v="44"/>
    <s v="Крупа"/>
    <n v="255.1162790697674"/>
    <n v="-0.2238833181403829"/>
    <s v="Мистраль"/>
    <n v="250.3076923076923"/>
    <d v="2022-05-20T00:00:00"/>
    <x v="39"/>
  </r>
  <r>
    <n v="923"/>
    <n v="465"/>
    <n v="71"/>
    <n v="5"/>
    <n v="1775"/>
    <x v="156"/>
    <x v="8"/>
    <n v="321"/>
    <s v="Йогурт"/>
    <n v="263.2542372881356"/>
    <n v="-0.7302987380891064"/>
    <s v="Ростагроэкспорт"/>
    <n v="257.7826086956522"/>
    <d v="2022-07-14T00:00:00"/>
    <x v="409"/>
  </r>
  <r>
    <n v="924"/>
    <n v="114"/>
    <n v="228"/>
    <n v="2"/>
    <n v="2280"/>
    <x v="149"/>
    <x v="14"/>
    <n v="50"/>
    <s v="Сыр"/>
    <n v="262.6349206349207"/>
    <n v="-0.1318747733591201"/>
    <s v="Сырная долина"/>
    <n v="271"/>
    <d v="2022-01-15T00:00:00"/>
    <x v="216"/>
  </r>
  <r>
    <n v="925"/>
    <n v="46"/>
    <n v="290"/>
    <n v="3"/>
    <n v="4350"/>
    <x v="194"/>
    <x v="5"/>
    <n v="460"/>
    <s v="Йогурт"/>
    <n v="263.2542372881356"/>
    <n v="0.1015967035797065"/>
    <s v="Активиа"/>
    <n v="293.6666666666667"/>
    <d v="2022-09-17T00:00:00"/>
    <x v="391"/>
  </r>
  <r>
    <n v="926"/>
    <n v="222"/>
    <n v="168"/>
    <n v="3"/>
    <n v="2520"/>
    <x v="113"/>
    <x v="13"/>
    <n v="79"/>
    <s v="Молоко"/>
    <n v="294.952380952381"/>
    <n v="-0.4304165321278657"/>
    <s v="Простоквашино"/>
    <n v="318.8181818181818"/>
    <d v="2022-06-04T00:00:00"/>
    <x v="511"/>
  </r>
  <r>
    <n v="927"/>
    <n v="210"/>
    <n v="374"/>
    <n v="2"/>
    <n v="3740"/>
    <x v="268"/>
    <x v="8"/>
    <n v="209"/>
    <s v="Колбаса"/>
    <n v="286.9230769230769"/>
    <n v="0.3034852546916891"/>
    <s v="Окраина"/>
    <n v="273.5833333333333"/>
    <d v="2022-03-08T00:00:00"/>
    <x v="156"/>
  </r>
  <r>
    <n v="928"/>
    <n v="399"/>
    <n v="67"/>
    <n v="2"/>
    <n v="670"/>
    <x v="203"/>
    <x v="18"/>
    <n v="451"/>
    <s v="Хлеб"/>
    <n v="300.3181818181818"/>
    <n v="-0.7769032843953383"/>
    <s v="Хлебный Дом"/>
    <n v="281.7333333333333"/>
    <d v="2022-01-23T00:00:00"/>
    <x v="512"/>
  </r>
  <r>
    <n v="929"/>
    <n v="498"/>
    <n v="244"/>
    <n v="2"/>
    <n v="2440"/>
    <x v="427"/>
    <x v="3"/>
    <n v="49"/>
    <s v="Молоко"/>
    <n v="294.952380952381"/>
    <n v="-0.172747820471424"/>
    <s v="Домик в деревне"/>
    <n v="274.7777777777778"/>
    <d v="2022-04-21T00:00:00"/>
    <x v="513"/>
  </r>
  <r>
    <n v="930"/>
    <n v="170"/>
    <n v="312"/>
    <n v="1"/>
    <n v="1560"/>
    <x v="428"/>
    <x v="11"/>
    <n v="162"/>
    <s v="Конфеты"/>
    <n v="267.8548387096774"/>
    <n v="0.1648100198711386"/>
    <s v="Славянка"/>
    <n v="268"/>
    <d v="2022-03-19T00:00:00"/>
    <x v="44"/>
  </r>
  <r>
    <n v="931"/>
    <n v="205"/>
    <n v="212"/>
    <n v="4"/>
    <n v="4240"/>
    <x v="382"/>
    <x v="9"/>
    <n v="414"/>
    <s v="Макароны"/>
    <n v="265.4767441860465"/>
    <n v="-0.2014366431606149"/>
    <s v="Борилла"/>
    <n v="236.2758620689655"/>
    <d v="2022-08-21T00:00:00"/>
    <x v="514"/>
  </r>
  <r>
    <n v="932"/>
    <n v="188"/>
    <n v="233"/>
    <n v="2"/>
    <n v="2330"/>
    <x v="55"/>
    <x v="10"/>
    <n v="445"/>
    <s v="Молоко"/>
    <n v="294.952380952381"/>
    <n v="-0.210041976105909"/>
    <s v="Вимм-Билль-Данн"/>
    <n v="193.5"/>
    <d v="2022-04-25T00:00:00"/>
    <x v="159"/>
  </r>
  <r>
    <n v="933"/>
    <n v="246"/>
    <n v="400"/>
    <n v="4"/>
    <n v="8000"/>
    <x v="8"/>
    <x v="15"/>
    <n v="191"/>
    <s v="Сыр"/>
    <n v="262.6349206349207"/>
    <n v="0.5230267134050524"/>
    <s v="President"/>
    <n v="238.7222222222222"/>
    <d v="2022-11-01T00:00:00"/>
    <x v="174"/>
  </r>
  <r>
    <n v="934"/>
    <n v="187"/>
    <n v="168"/>
    <n v="3"/>
    <n v="2520"/>
    <x v="76"/>
    <x v="14"/>
    <n v="126"/>
    <s v="Макароны"/>
    <n v="265.4767441860465"/>
    <n v="-0.3671762077876571"/>
    <s v="Паста Зара"/>
    <n v="276.6756756756757"/>
    <d v="2022-09-18T00:00:00"/>
    <x v="515"/>
  </r>
  <r>
    <n v="935"/>
    <n v="9"/>
    <n v="321"/>
    <n v="1"/>
    <n v="1605"/>
    <x v="77"/>
    <x v="15"/>
    <n v="217"/>
    <s v="Йогурт"/>
    <n v="263.2542372881356"/>
    <n v="0.2193535925830543"/>
    <s v="Чудо"/>
    <n v="287.1"/>
    <d v="2022-09-22T00:00:00"/>
    <x v="385"/>
  </r>
  <r>
    <n v="936"/>
    <n v="302"/>
    <n v="229"/>
    <n v="5"/>
    <n v="5725"/>
    <x v="126"/>
    <x v="4"/>
    <n v="42"/>
    <s v="Молоко"/>
    <n v="294.952380952381"/>
    <n v="-0.2236034872457217"/>
    <s v="Домик в деревне"/>
    <n v="274.7777777777778"/>
    <d v="2022-08-10T00:00:00"/>
    <x v="516"/>
  </r>
  <r>
    <n v="937"/>
    <n v="166"/>
    <n v="166"/>
    <n v="5"/>
    <n v="4150"/>
    <x v="429"/>
    <x v="4"/>
    <n v="407"/>
    <s v="Сок"/>
    <n v="268.6034482758621"/>
    <n v="-0.3819885743629245"/>
    <s v="Добрый"/>
    <n v="242.8181818181818"/>
    <d v="2022-03-01T00:00:00"/>
    <x v="517"/>
  </r>
  <r>
    <n v="938"/>
    <n v="329"/>
    <n v="71"/>
    <n v="2"/>
    <n v="710"/>
    <x v="430"/>
    <x v="4"/>
    <n v="117"/>
    <s v="Соль"/>
    <n v="264.8679245283019"/>
    <n v="-0.7319418720615473"/>
    <s v="Славянская"/>
    <n v="236.9166666666667"/>
    <d v="2022-05-25T00:00:00"/>
    <x v="162"/>
  </r>
  <r>
    <n v="939"/>
    <n v="35"/>
    <n v="345"/>
    <n v="2"/>
    <n v="3450"/>
    <x v="312"/>
    <x v="11"/>
    <n v="91"/>
    <s v="Крупа"/>
    <n v="255.1162790697674"/>
    <n v="0.3523245214220601"/>
    <s v="Мистраль"/>
    <n v="250.3076923076923"/>
    <d v="2022-05-06T00:00:00"/>
    <x v="454"/>
  </r>
  <r>
    <n v="940"/>
    <n v="342"/>
    <n v="259"/>
    <n v="5"/>
    <n v="6475"/>
    <x v="6"/>
    <x v="9"/>
    <n v="380"/>
    <s v="Овощи"/>
    <n v="250.4878048780488"/>
    <n v="0.03398247322297943"/>
    <s v="Овощной ряд"/>
    <n v="303.8235294117647"/>
    <d v="2022-01-02T00:00:00"/>
    <x v="518"/>
  </r>
  <r>
    <n v="941"/>
    <n v="44"/>
    <n v="439"/>
    <n v="5"/>
    <n v="10975"/>
    <x v="297"/>
    <x v="6"/>
    <n v="469"/>
    <s v="Молоко"/>
    <n v="294.952380952381"/>
    <n v="0.4883758475944462"/>
    <s v="Беллакт"/>
    <n v="322.5454545454546"/>
    <d v="2022-04-08T00:00:00"/>
    <x v="446"/>
  </r>
  <r>
    <n v="942"/>
    <n v="128"/>
    <n v="246"/>
    <n v="4"/>
    <n v="4920"/>
    <x v="132"/>
    <x v="2"/>
    <n v="479"/>
    <s v="Мясо"/>
    <n v="271.7454545454545"/>
    <n v="-0.0947410678442393"/>
    <s v="Мираторг"/>
    <n v="316.5833333333333"/>
    <d v="2022-08-20T00:00:00"/>
    <x v="261"/>
  </r>
  <r>
    <n v="943"/>
    <n v="447"/>
    <n v="118"/>
    <n v="3"/>
    <n v="1770"/>
    <x v="209"/>
    <x v="8"/>
    <n v="9"/>
    <s v="Йогурт"/>
    <n v="263.2542372881356"/>
    <n v="-0.5517640999227401"/>
    <s v="Эрманн"/>
    <n v="248.5"/>
    <d v="2022-12-05T00:00:00"/>
    <x v="500"/>
  </r>
  <r>
    <n v="944"/>
    <n v="48"/>
    <n v="116"/>
    <n v="5"/>
    <n v="2900"/>
    <x v="393"/>
    <x v="17"/>
    <n v="477"/>
    <s v="Фрукты"/>
    <n v="274.1627906976744"/>
    <n v="-0.5768937144795996"/>
    <s v="Фруктовый Рай"/>
    <n v="258.3076923076923"/>
    <d v="2022-06-26T00:00:00"/>
    <x v="519"/>
  </r>
  <r>
    <n v="945"/>
    <n v="415"/>
    <n v="307"/>
    <n v="3"/>
    <n v="4605"/>
    <x v="89"/>
    <x v="18"/>
    <n v="498"/>
    <s v="Чипсы"/>
    <n v="273.7254901960785"/>
    <n v="0.1215616045845271"/>
    <s v="Pringles"/>
    <n v="280.2380952380952"/>
    <d v="2022-06-09T00:00:00"/>
    <x v="19"/>
  </r>
  <r>
    <n v="946"/>
    <n v="298"/>
    <n v="84"/>
    <n v="5"/>
    <n v="2100"/>
    <x v="165"/>
    <x v="2"/>
    <n v="93"/>
    <s v="Крупа"/>
    <n v="255.1162790697674"/>
    <n v="-0.6707383773928897"/>
    <s v="Увелка"/>
    <n v="251.9166666666667"/>
    <d v="2022-12-10T00:00:00"/>
    <x v="230"/>
  </r>
  <r>
    <n v="947"/>
    <n v="3"/>
    <n v="180"/>
    <n v="3"/>
    <n v="2700"/>
    <x v="431"/>
    <x v="10"/>
    <n v="200"/>
    <s v="Крупа"/>
    <n v="255.1162790697674"/>
    <n v="-0.2944393801276208"/>
    <s v="Ярмарка"/>
    <n v="252.0909090909091"/>
    <d v="2022-08-10T00:00:00"/>
    <x v="509"/>
  </r>
  <r>
    <n v="948"/>
    <n v="60"/>
    <n v="334"/>
    <n v="1"/>
    <n v="1670"/>
    <x v="41"/>
    <x v="17"/>
    <n v="381"/>
    <s v="Кофе"/>
    <n v="249.0238095238095"/>
    <n v="0.3412372119705518"/>
    <s v="Jacobs"/>
    <n v="276.2105263157895"/>
    <d v="2022-06-02T00:00:00"/>
    <x v="9"/>
  </r>
  <r>
    <n v="949"/>
    <n v="59"/>
    <n v="234"/>
    <n v="2"/>
    <n v="2340"/>
    <x v="422"/>
    <x v="6"/>
    <n v="18"/>
    <s v="Сахар"/>
    <n v="252.7627118644068"/>
    <n v="-0.07423053711526861"/>
    <s v="Продимекс"/>
    <n v="240.5"/>
    <d v="2022-01-17T00:00:00"/>
    <x v="520"/>
  </r>
  <r>
    <n v="950"/>
    <n v="119"/>
    <n v="426"/>
    <n v="1"/>
    <n v="2130"/>
    <x v="309"/>
    <x v="7"/>
    <n v="327"/>
    <s v="Печенье"/>
    <n v="283.468085106383"/>
    <n v="0.5028146813780678"/>
    <s v="КДВ"/>
    <n v="323.0769230769231"/>
    <d v="2022-01-04T00:00:00"/>
    <x v="456"/>
  </r>
  <r>
    <n v="951"/>
    <n v="199"/>
    <n v="494"/>
    <n v="1"/>
    <n v="2470"/>
    <x v="429"/>
    <x v="2"/>
    <n v="340"/>
    <s v="Макароны"/>
    <n v="265.4767441860465"/>
    <n v="0.8608032937672463"/>
    <s v="Борилла"/>
    <n v="236.2758620689655"/>
    <d v="2022-12-01T00:00:00"/>
    <x v="521"/>
  </r>
  <r>
    <n v="952"/>
    <n v="272"/>
    <n v="353"/>
    <n v="3"/>
    <n v="5295"/>
    <x v="63"/>
    <x v="15"/>
    <n v="490"/>
    <s v="Крупа"/>
    <n v="255.1162790697674"/>
    <n v="0.3836827711941659"/>
    <s v="Ярмарка"/>
    <n v="252.0909090909091"/>
    <d v="2022-02-11T00:00:00"/>
    <x v="386"/>
  </r>
  <r>
    <n v="953"/>
    <n v="386"/>
    <n v="288"/>
    <n v="2"/>
    <n v="2880"/>
    <x v="101"/>
    <x v="14"/>
    <n v="67"/>
    <s v="Крупа"/>
    <n v="255.1162790697674"/>
    <n v="0.1288969917958067"/>
    <s v="Увелка"/>
    <n v="251.9166666666667"/>
    <d v="2022-06-19T00:00:00"/>
    <x v="338"/>
  </r>
  <r>
    <n v="954"/>
    <n v="464"/>
    <n v="430"/>
    <n v="2"/>
    <n v="4300"/>
    <x v="359"/>
    <x v="18"/>
    <n v="132"/>
    <s v="Сыр"/>
    <n v="262.6349206349207"/>
    <n v="0.6372537169104313"/>
    <s v="Сырная долина"/>
    <n v="271"/>
    <d v="2022-02-09T00:00:00"/>
    <x v="87"/>
  </r>
  <r>
    <n v="955"/>
    <n v="494"/>
    <n v="471"/>
    <n v="5"/>
    <n v="11775"/>
    <x v="148"/>
    <x v="0"/>
    <n v="95"/>
    <s v="Сыр"/>
    <n v="262.6349206349207"/>
    <n v="0.7933639550344493"/>
    <s v="Сырная долина"/>
    <n v="271"/>
    <d v="2022-05-23T00:00:00"/>
    <x v="145"/>
  </r>
  <r>
    <n v="956"/>
    <n v="242"/>
    <n v="313"/>
    <n v="3"/>
    <n v="4695"/>
    <x v="432"/>
    <x v="17"/>
    <n v="75"/>
    <s v="Овощи"/>
    <n v="250.4878048780488"/>
    <n v="0.2495618305744887"/>
    <s v="Овощной ряд"/>
    <n v="303.8235294117647"/>
    <d v="2022-08-23T00:00:00"/>
    <x v="49"/>
  </r>
  <r>
    <n v="957"/>
    <n v="434"/>
    <n v="340"/>
    <n v="4"/>
    <n v="6800"/>
    <x v="420"/>
    <x v="9"/>
    <n v="419"/>
    <s v="Сыр"/>
    <n v="262.6349206349207"/>
    <n v="0.2945727063942947"/>
    <s v="Сырная долина"/>
    <n v="271"/>
    <d v="2022-11-04T00:00:00"/>
    <x v="522"/>
  </r>
  <r>
    <n v="958"/>
    <n v="110"/>
    <n v="148"/>
    <n v="2"/>
    <n v="1480"/>
    <x v="433"/>
    <x v="2"/>
    <n v="42"/>
    <s v="Макароны"/>
    <n v="265.4767441860465"/>
    <n v="-0.4425123735272217"/>
    <s v="Паста Зара"/>
    <n v="276.6756756756757"/>
    <d v="2022-08-10T00:00:00"/>
    <x v="298"/>
  </r>
  <r>
    <n v="959"/>
    <n v="168"/>
    <n v="391"/>
    <n v="2"/>
    <n v="3910"/>
    <x v="376"/>
    <x v="18"/>
    <n v="316"/>
    <s v="Крупа"/>
    <n v="255.1162790697674"/>
    <n v="0.5326344576116682"/>
    <s v="Ярмарка"/>
    <n v="252.0909090909091"/>
    <d v="2022-08-14T00:00:00"/>
    <x v="521"/>
  </r>
  <r>
    <n v="960"/>
    <n v="13"/>
    <n v="181"/>
    <n v="4"/>
    <n v="3620"/>
    <x v="48"/>
    <x v="15"/>
    <n v="117"/>
    <s v="Макароны"/>
    <n v="265.4767441860465"/>
    <n v="-0.3182077000569401"/>
    <s v="Паста Зара"/>
    <n v="276.6756756756757"/>
    <d v="2022-05-25T00:00:00"/>
    <x v="8"/>
  </r>
  <r>
    <n v="961"/>
    <n v="141"/>
    <n v="279"/>
    <n v="1"/>
    <n v="1395"/>
    <x v="371"/>
    <x v="2"/>
    <n v="243"/>
    <s v="Фрукты"/>
    <n v="274.1627906976744"/>
    <n v="0.01764356603613537"/>
    <s v="Фруктовый Рай"/>
    <n v="258.3076923076923"/>
    <d v="2022-04-30T00:00:00"/>
    <x v="405"/>
  </r>
  <r>
    <n v="962"/>
    <n v="120"/>
    <n v="229"/>
    <n v="5"/>
    <n v="5725"/>
    <x v="71"/>
    <x v="17"/>
    <n v="6"/>
    <s v="Хлеб"/>
    <n v="300.3181818181818"/>
    <n v="-0.2374754048736188"/>
    <s v="Дарница"/>
    <n v="264"/>
    <d v="2022-05-29T00:00:00"/>
    <x v="184"/>
  </r>
  <r>
    <n v="963"/>
    <n v="316"/>
    <n v="97"/>
    <n v="4"/>
    <n v="1940"/>
    <x v="261"/>
    <x v="9"/>
    <n v="283"/>
    <s v="Макароны"/>
    <n v="265.4767441860465"/>
    <n v="-0.6346195961631116"/>
    <s v="Борилла"/>
    <n v="236.2758620689655"/>
    <d v="2022-11-24T00:00:00"/>
    <x v="523"/>
  </r>
  <r>
    <n v="964"/>
    <n v="448"/>
    <n v="484"/>
    <n v="1"/>
    <n v="2420"/>
    <x v="316"/>
    <x v="2"/>
    <n v="404"/>
    <s v="Йогурт"/>
    <n v="263.2542372881356"/>
    <n v="0.8385269121813033"/>
    <s v="Ростагроэкспорт"/>
    <n v="257.7826086956522"/>
    <d v="2022-12-18T00:00:00"/>
    <x v="524"/>
  </r>
  <r>
    <n v="965"/>
    <n v="143"/>
    <n v="200"/>
    <n v="4"/>
    <n v="4000"/>
    <x v="68"/>
    <x v="0"/>
    <n v="379"/>
    <s v="Сахар"/>
    <n v="252.7627118644068"/>
    <n v="-0.2087440488164689"/>
    <s v="Агросахар"/>
    <n v="215.8571428571429"/>
    <d v="2022-01-20T00:00:00"/>
    <x v="392"/>
  </r>
  <r>
    <n v="966"/>
    <n v="168"/>
    <n v="206"/>
    <n v="4"/>
    <n v="4120"/>
    <x v="244"/>
    <x v="14"/>
    <n v="136"/>
    <s v="Крупа"/>
    <n v="255.1162790697674"/>
    <n v="-0.1925250683682771"/>
    <s v="Ярмарка"/>
    <n v="252.0909090909091"/>
    <d v="2022-10-26T00:00:00"/>
    <x v="525"/>
  </r>
  <r>
    <n v="967"/>
    <n v="435"/>
    <n v="116"/>
    <n v="4"/>
    <n v="2320"/>
    <x v="214"/>
    <x v="14"/>
    <n v="20"/>
    <s v="Мясо"/>
    <n v="271.7454545454545"/>
    <n v="-0.5731299344306169"/>
    <s v="Снежана"/>
    <n v="272.3529411764706"/>
    <d v="2022-05-10T00:00:00"/>
    <x v="346"/>
  </r>
  <r>
    <n v="968"/>
    <n v="375"/>
    <n v="212"/>
    <n v="3"/>
    <n v="3180"/>
    <x v="118"/>
    <x v="19"/>
    <n v="369"/>
    <s v="Макароны"/>
    <n v="265.4767441860465"/>
    <n v="-0.2014366431606149"/>
    <s v="Борилла"/>
    <n v="236.2758620689655"/>
    <d v="2022-04-27T00:00:00"/>
    <x v="526"/>
  </r>
  <r>
    <n v="969"/>
    <n v="416"/>
    <n v="202"/>
    <n v="4"/>
    <n v="4040"/>
    <x v="101"/>
    <x v="3"/>
    <n v="499"/>
    <s v="Рыба"/>
    <n v="258.5128205128205"/>
    <n v="-0.2186074191628644"/>
    <s v="Меридиан"/>
    <n v="260.6470588235294"/>
    <d v="2022-08-25T00:00:00"/>
    <x v="527"/>
  </r>
  <r>
    <n v="970"/>
    <n v="25"/>
    <n v="332"/>
    <n v="3"/>
    <n v="4980"/>
    <x v="75"/>
    <x v="9"/>
    <n v="153"/>
    <s v="Чипсы"/>
    <n v="273.7254901960785"/>
    <n v="0.2128939828080227"/>
    <s v="Русская картошка"/>
    <n v="241.8333333333333"/>
    <d v="2022-08-29T00:00:00"/>
    <x v="36"/>
  </r>
  <r>
    <n v="971"/>
    <n v="236"/>
    <n v="420"/>
    <n v="5"/>
    <n v="10500"/>
    <x v="117"/>
    <x v="10"/>
    <n v="34"/>
    <s v="Печенье"/>
    <n v="283.468085106383"/>
    <n v="0.4816482774149966"/>
    <s v="Посиделкино"/>
    <n v="321.6363636363636"/>
    <d v="2022-04-03T00:00:00"/>
    <x v="121"/>
  </r>
  <r>
    <n v="972"/>
    <n v="418"/>
    <n v="139"/>
    <n v="2"/>
    <n v="1390"/>
    <x v="408"/>
    <x v="17"/>
    <n v="337"/>
    <s v="Фрукты"/>
    <n v="274.1627906976744"/>
    <n v="-0.4930019509712444"/>
    <s v="Green Garden"/>
    <n v="369.2"/>
    <d v="2022-11-10T00:00:00"/>
    <x v="460"/>
  </r>
  <r>
    <n v="973"/>
    <n v="141"/>
    <n v="112"/>
    <n v="4"/>
    <n v="2240"/>
    <x v="9"/>
    <x v="13"/>
    <n v="200"/>
    <s v="Фрукты"/>
    <n v="274.1627906976744"/>
    <n v="-0.5914835863940962"/>
    <s v="Фруктовый Рай"/>
    <n v="258.3076923076923"/>
    <d v="2022-08-10T00:00:00"/>
    <x v="147"/>
  </r>
  <r>
    <n v="974"/>
    <n v="294"/>
    <n v="485"/>
    <n v="3"/>
    <n v="7275"/>
    <x v="333"/>
    <x v="18"/>
    <n v="8"/>
    <s v="Сок"/>
    <n v="268.6034482758621"/>
    <n v="0.8056357917709736"/>
    <s v="Фруктовый сад"/>
    <n v="281.96875"/>
    <d v="2022-11-18T00:00:00"/>
    <x v="395"/>
  </r>
  <r>
    <n v="975"/>
    <n v="497"/>
    <n v="120"/>
    <n v="1"/>
    <n v="600"/>
    <x v="328"/>
    <x v="14"/>
    <n v="280"/>
    <s v="Конфеты"/>
    <n v="267.8548387096774"/>
    <n v="-0.5519961462034082"/>
    <s v="Бабаевский"/>
    <n v="250.2592592592593"/>
    <d v="2022-01-02T00:00:00"/>
    <x v="28"/>
  </r>
  <r>
    <n v="976"/>
    <n v="359"/>
    <n v="359"/>
    <n v="4"/>
    <n v="7180"/>
    <x v="320"/>
    <x v="5"/>
    <n v="94"/>
    <s v="Мясо"/>
    <n v="271.7454545454545"/>
    <n v="0.3210892546500737"/>
    <s v="Мираторг"/>
    <n v="316.5833333333333"/>
    <d v="2022-06-11T00:00:00"/>
    <x v="74"/>
  </r>
  <r>
    <n v="977"/>
    <n v="175"/>
    <n v="198"/>
    <n v="3"/>
    <n v="2970"/>
    <x v="279"/>
    <x v="3"/>
    <n v="331"/>
    <s v="Овощи"/>
    <n v="250.4878048780488"/>
    <n v="-0.2095423563777995"/>
    <s v="Семко"/>
    <n v="208"/>
    <d v="2022-09-09T00:00:00"/>
    <x v="528"/>
  </r>
  <r>
    <n v="978"/>
    <n v="236"/>
    <n v="363"/>
    <n v="4"/>
    <n v="7260"/>
    <x v="233"/>
    <x v="1"/>
    <n v="405"/>
    <s v="Печенье"/>
    <n v="283.468085106383"/>
    <n v="0.2805674397658184"/>
    <s v="Посиделкино"/>
    <n v="321.6363636363636"/>
    <d v="2022-08-25T00:00:00"/>
    <x v="111"/>
  </r>
  <r>
    <n v="979"/>
    <n v="195"/>
    <n v="103"/>
    <n v="1"/>
    <n v="515"/>
    <x v="32"/>
    <x v="7"/>
    <n v="42"/>
    <s v="Хлеб"/>
    <n v="300.3181818181818"/>
    <n v="-0.6570304222794006"/>
    <s v="Каравай"/>
    <n v="331.1666666666667"/>
    <d v="2022-08-10T00:00:00"/>
    <x v="529"/>
  </r>
  <r>
    <n v="980"/>
    <n v="364"/>
    <n v="401"/>
    <n v="2"/>
    <n v="4010"/>
    <x v="138"/>
    <x v="17"/>
    <n v="271"/>
    <s v="Сахар"/>
    <n v="252.7627118644068"/>
    <n v="0.58646818212298"/>
    <s v="Русский сахар"/>
    <n v="293.4117647058824"/>
    <d v="2022-11-27T00:00:00"/>
    <x v="240"/>
  </r>
  <r>
    <n v="981"/>
    <n v="347"/>
    <n v="139"/>
    <n v="1"/>
    <n v="695"/>
    <x v="356"/>
    <x v="13"/>
    <n v="56"/>
    <s v="Макароны"/>
    <n v="265.4767441860465"/>
    <n v="-0.4764136481100258"/>
    <s v="Паста Зара"/>
    <n v="276.6756756756757"/>
    <d v="2022-04-11T00:00:00"/>
    <x v="316"/>
  </r>
  <r>
    <n v="982"/>
    <n v="149"/>
    <n v="468"/>
    <n v="1"/>
    <n v="2340"/>
    <x v="288"/>
    <x v="2"/>
    <n v="427"/>
    <s v="Конфеты"/>
    <n v="267.8548387096774"/>
    <n v="0.747215029806708"/>
    <s v="Бабаевский"/>
    <n v="250.2592592592593"/>
    <d v="2022-09-30T00:00:00"/>
    <x v="361"/>
  </r>
  <r>
    <n v="983"/>
    <n v="384"/>
    <n v="100"/>
    <n v="4"/>
    <n v="2000"/>
    <x v="356"/>
    <x v="3"/>
    <n v="323"/>
    <s v="Сахар"/>
    <n v="252.7627118644068"/>
    <n v="-0.6043720244082345"/>
    <s v="Сладов"/>
    <n v="240.2666666666667"/>
    <d v="2022-09-17T00:00:00"/>
    <x v="409"/>
  </r>
  <r>
    <n v="984"/>
    <n v="404"/>
    <n v="304"/>
    <n v="5"/>
    <n v="7600"/>
    <x v="370"/>
    <x v="3"/>
    <n v="17"/>
    <s v="Йогурт"/>
    <n v="263.2542372881356"/>
    <n v="0.1547772340973474"/>
    <s v="Ростагроэкспорт"/>
    <n v="257.7826086956522"/>
    <d v="2022-11-12T00:00:00"/>
    <x v="325"/>
  </r>
  <r>
    <n v="985"/>
    <n v="469"/>
    <n v="357"/>
    <n v="4"/>
    <n v="7140"/>
    <x v="288"/>
    <x v="16"/>
    <n v="165"/>
    <s v="Сахар"/>
    <n v="252.7627118644068"/>
    <n v="0.412391872862603"/>
    <s v="Сладов"/>
    <n v="240.2666666666667"/>
    <d v="2022-02-07T00:00:00"/>
    <x v="530"/>
  </r>
  <r>
    <n v="986"/>
    <n v="134"/>
    <n v="89"/>
    <n v="5"/>
    <n v="2225"/>
    <x v="172"/>
    <x v="19"/>
    <n v="403"/>
    <s v="Рыба"/>
    <n v="258.5128205128205"/>
    <n v="-0.6557230708192818"/>
    <s v="Меридиан"/>
    <n v="260.6470588235294"/>
    <d v="2022-02-02T00:00:00"/>
    <x v="221"/>
  </r>
  <r>
    <n v="987"/>
    <n v="361"/>
    <n v="283"/>
    <n v="5"/>
    <n v="7075"/>
    <x v="13"/>
    <x v="0"/>
    <n v="274"/>
    <s v="Мясо"/>
    <n v="271.7454545454545"/>
    <n v="0.04141576341496056"/>
    <s v="Сава"/>
    <n v="212.8125"/>
    <d v="2022-02-15T00:00:00"/>
    <x v="351"/>
  </r>
  <r>
    <n v="988"/>
    <n v="110"/>
    <n v="280"/>
    <n v="3"/>
    <n v="4200"/>
    <x v="329"/>
    <x v="9"/>
    <n v="61"/>
    <s v="Макароны"/>
    <n v="265.4767441860465"/>
    <n v="0.05470632035390466"/>
    <s v="Паста Зара"/>
    <n v="276.6756756756757"/>
    <d v="2022-07-27T00:00:00"/>
    <x v="99"/>
  </r>
  <r>
    <n v="989"/>
    <n v="280"/>
    <n v="459"/>
    <n v="4"/>
    <n v="9180"/>
    <x v="434"/>
    <x v="11"/>
    <n v="262"/>
    <s v="Сыр"/>
    <n v="262.6349206349207"/>
    <n v="0.7476731536322976"/>
    <s v="President"/>
    <n v="238.7222222222222"/>
    <d v="2022-08-05T00:00:00"/>
    <x v="30"/>
  </r>
  <r>
    <n v="990"/>
    <n v="43"/>
    <n v="244"/>
    <n v="4"/>
    <n v="4880"/>
    <x v="221"/>
    <x v="14"/>
    <n v="323"/>
    <s v="Печенье"/>
    <n v="283.468085106383"/>
    <n v="-0.1392329055017639"/>
    <s v="КДВ"/>
    <n v="323.0769230769231"/>
    <d v="2022-09-17T00:00:00"/>
    <x v="350"/>
  </r>
  <r>
    <n v="991"/>
    <n v="434"/>
    <n v="299"/>
    <n v="2"/>
    <n v="2990"/>
    <x v="389"/>
    <x v="15"/>
    <n v="481"/>
    <s v="Сыр"/>
    <n v="262.6349206349207"/>
    <n v="0.1384624682702766"/>
    <s v="Сырная долина"/>
    <n v="271"/>
    <d v="2022-07-14T00:00:00"/>
    <x v="524"/>
  </r>
  <r>
    <n v="992"/>
    <n v="183"/>
    <n v="73"/>
    <n v="5"/>
    <n v="1825"/>
    <x v="321"/>
    <x v="13"/>
    <n v="478"/>
    <s v="Конфеты"/>
    <n v="267.8548387096774"/>
    <n v="-0.72746432227374"/>
    <s v="Бабаевский"/>
    <n v="250.2592592592593"/>
    <d v="2022-06-14T00:00:00"/>
    <x v="418"/>
  </r>
  <r>
    <n v="993"/>
    <n v="224"/>
    <n v="421"/>
    <n v="3"/>
    <n v="6315"/>
    <x v="411"/>
    <x v="11"/>
    <n v="497"/>
    <s v="Чипсы"/>
    <n v="273.7254901960785"/>
    <n v="0.5380372492836676"/>
    <s v="Pringles"/>
    <n v="280.2380952380952"/>
    <d v="2022-09-22T00:00:00"/>
    <x v="531"/>
  </r>
  <r>
    <n v="994"/>
    <n v="235"/>
    <n v="345"/>
    <n v="3"/>
    <n v="5175"/>
    <x v="316"/>
    <x v="0"/>
    <n v="406"/>
    <s v="Хлеб"/>
    <n v="300.3181818181818"/>
    <n v="0.1487815952777358"/>
    <s v="Русский Хлеб"/>
    <n v="316.6"/>
    <d v="2022-11-30T00:00:00"/>
    <x v="252"/>
  </r>
  <r>
    <n v="995"/>
    <n v="477"/>
    <n v="50"/>
    <n v="1"/>
    <n v="250"/>
    <x v="279"/>
    <x v="7"/>
    <n v="58"/>
    <s v="Макароны"/>
    <n v="265.4767441860465"/>
    <n v="-0.8116595856510884"/>
    <s v="Борилла"/>
    <n v="236.2758620689655"/>
    <d v="2022-03-08T00:00:00"/>
    <x v="261"/>
  </r>
  <r>
    <n v="996"/>
    <n v="242"/>
    <n v="441"/>
    <n v="1"/>
    <n v="2205"/>
    <x v="59"/>
    <x v="17"/>
    <n v="312"/>
    <s v="Овощи"/>
    <n v="250.4878048780488"/>
    <n v="0.7605647517039922"/>
    <s v="Овощной ряд"/>
    <n v="303.8235294117647"/>
    <d v="2022-11-21T00:00:00"/>
    <x v="532"/>
  </r>
  <r>
    <n v="997"/>
    <n v="423"/>
    <n v="187"/>
    <n v="5"/>
    <n v="4675"/>
    <x v="319"/>
    <x v="0"/>
    <n v="136"/>
    <s v="Чипсы"/>
    <n v="273.7254901960785"/>
    <n v="-0.3168338108882522"/>
    <s v="Pringles"/>
    <n v="280.2380952380952"/>
    <d v="2022-10-26T00:00:00"/>
    <x v="421"/>
  </r>
  <r>
    <n v="998"/>
    <n v="414"/>
    <n v="170"/>
    <n v="1"/>
    <n v="850"/>
    <x v="435"/>
    <x v="4"/>
    <n v="328"/>
    <s v="Фрукты"/>
    <n v="274.1627906976744"/>
    <n v="-0.3799304436338961"/>
    <s v="Экзотик"/>
    <n v="253.6875"/>
    <d v="2022-01-07T00:00:00"/>
    <x v="533"/>
  </r>
  <r>
    <n v="999"/>
    <n v="110"/>
    <n v="114"/>
    <n v="3"/>
    <n v="1710"/>
    <x v="133"/>
    <x v="14"/>
    <n v="172"/>
    <s v="Макароны"/>
    <n v="265.4767441860465"/>
    <n v="-0.5705838552844816"/>
    <s v="Паста Зара"/>
    <n v="276.6756756756757"/>
    <d v="2022-06-25T00:00:00"/>
    <x v="329"/>
  </r>
  <r>
    <n v="1000"/>
    <n v="296"/>
    <n v="453"/>
    <n v="1"/>
    <n v="2265"/>
    <x v="176"/>
    <x v="7"/>
    <n v="167"/>
    <s v="Крупа"/>
    <n v="255.1162790697674"/>
    <n v="0.7756608933454876"/>
    <s v="Мистраль"/>
    <n v="250.3076923076923"/>
    <d v="2022-01-02T00:00:00"/>
    <x v="534"/>
  </r>
</pivotCacheRecords>
</file>

<file path=xl/pivotCache/pivotCacheRecords2.xml><?xml version="1.0" encoding="utf-8"?>
<pivotCacheRecords xmlns="http://schemas.openxmlformats.org/spreadsheetml/2006/main" count="1000">
  <r>
    <n v="1"/>
    <n v="300"/>
    <n v="103"/>
    <n v="4"/>
    <n v="2060"/>
    <x v="0"/>
    <x v="0"/>
    <n v="315"/>
    <s v="Сахар"/>
    <n v="252.7627118644068"/>
    <n v="-0.5925031851404814"/>
    <s v="Продимекс"/>
    <n v="240.5"/>
    <d v="2022-07-05T00:00:00"/>
    <x v="0"/>
  </r>
  <r>
    <n v="2"/>
    <n v="486"/>
    <n v="296"/>
    <n v="3"/>
    <n v="4440"/>
    <x v="1"/>
    <x v="1"/>
    <n v="253"/>
    <s v="Соль"/>
    <n v="264.8679245283019"/>
    <n v="0.1175381108420002"/>
    <s v="Илецкая"/>
    <n v="238.1666666666667"/>
    <d v="2022-07-08T00:00:00"/>
    <x v="1"/>
  </r>
  <r>
    <n v="3"/>
    <n v="76"/>
    <n v="139"/>
    <n v="5"/>
    <n v="3475"/>
    <x v="2"/>
    <x v="2"/>
    <n v="12"/>
    <s v="Печенье"/>
    <n v="283.468085106383"/>
    <n v="-0.5096449748555131"/>
    <s v="Юбилейное"/>
    <n v="232.4444444444445"/>
    <d v="2022-10-08T00:00:00"/>
    <x v="2"/>
  </r>
  <r>
    <n v="4"/>
    <n v="240"/>
    <n v="141"/>
    <n v="5"/>
    <n v="3525"/>
    <x v="3"/>
    <x v="3"/>
    <n v="116"/>
    <s v="Макароны"/>
    <n v="265.4767441860465"/>
    <n v="-0.4688800315360694"/>
    <s v="Борилла"/>
    <n v="236.2758620689655"/>
    <d v="2022-03-23T00:00:00"/>
    <x v="3"/>
  </r>
  <r>
    <n v="5"/>
    <n v="32"/>
    <n v="123"/>
    <n v="2"/>
    <n v="1230"/>
    <x v="4"/>
    <x v="4"/>
    <n v="471"/>
    <s v="Овощи"/>
    <n v="250.4878048780488"/>
    <n v="-0.5089581304771178"/>
    <s v="Зеленая грядка"/>
    <n v="159.2"/>
    <d v="2022-01-16T00:00:00"/>
    <x v="4"/>
  </r>
  <r>
    <n v="6"/>
    <n v="162"/>
    <n v="452"/>
    <n v="2"/>
    <n v="4520"/>
    <x v="5"/>
    <x v="0"/>
    <n v="374"/>
    <s v="Сок"/>
    <n v="268.6034482758621"/>
    <n v="0.6827780987226393"/>
    <s v="Фруктовый сад"/>
    <n v="281.96875"/>
    <d v="2022-01-21T00:00:00"/>
    <x v="5"/>
  </r>
  <r>
    <n v="7"/>
    <n v="323"/>
    <n v="149"/>
    <n v="5"/>
    <n v="3725"/>
    <x v="6"/>
    <x v="5"/>
    <n v="477"/>
    <s v="Рыба"/>
    <n v="258.5128205128205"/>
    <n v="-0.4236262646300337"/>
    <s v="Меридиан"/>
    <n v="260.6470588235294"/>
    <d v="2022-06-26T00:00:00"/>
    <x v="6"/>
  </r>
  <r>
    <n v="8"/>
    <n v="60"/>
    <n v="489"/>
    <n v="4"/>
    <n v="9780"/>
    <x v="7"/>
    <x v="6"/>
    <n v="335"/>
    <s v="Кофе"/>
    <n v="249.0238095238095"/>
    <n v="0.9636676546514964"/>
    <s v="Jacobs"/>
    <n v="276.2105263157895"/>
    <d v="2022-02-27T00:00:00"/>
    <x v="7"/>
  </r>
  <r>
    <n v="9"/>
    <n v="401"/>
    <n v="416"/>
    <n v="5"/>
    <n v="10400"/>
    <x v="8"/>
    <x v="7"/>
    <n v="350"/>
    <s v="Чай"/>
    <n v="271.1818181818182"/>
    <n v="0.5340261481729802"/>
    <s v="Greenfield"/>
    <n v="291.4545454545454"/>
    <d v="2022-05-03T00:00:00"/>
    <x v="8"/>
  </r>
  <r>
    <n v="10"/>
    <n v="100"/>
    <n v="449"/>
    <n v="2"/>
    <n v="4490"/>
    <x v="9"/>
    <x v="5"/>
    <n v="413"/>
    <s v="Йогурт"/>
    <n v="263.2542372881356"/>
    <n v="0.7055755858872006"/>
    <s v="Ростагроэкспорт"/>
    <n v="257.7826086956522"/>
    <d v="2022-05-18T00:00:00"/>
    <x v="1"/>
  </r>
  <r>
    <n v="11"/>
    <n v="217"/>
    <n v="296"/>
    <n v="2"/>
    <n v="2960"/>
    <x v="10"/>
    <x v="5"/>
    <n v="495"/>
    <s v="Мясо"/>
    <n v="271.7454545454545"/>
    <n v="0.08925465007359823"/>
    <s v="Агрокомплекс"/>
    <n v="311.2"/>
    <d v="2022-04-03T00:00:00"/>
    <x v="9"/>
  </r>
  <r>
    <n v="12"/>
    <n v="445"/>
    <n v="109"/>
    <n v="5"/>
    <n v="2725"/>
    <x v="11"/>
    <x v="6"/>
    <n v="353"/>
    <s v="Сахар"/>
    <n v="252.7627118644068"/>
    <n v="-0.5687655066049755"/>
    <s v="Сладов"/>
    <n v="240.2666666666667"/>
    <d v="2022-04-05T00:00:00"/>
    <x v="10"/>
  </r>
  <r>
    <n v="13"/>
    <n v="284"/>
    <n v="213"/>
    <n v="3"/>
    <n v="3195"/>
    <x v="12"/>
    <x v="2"/>
    <n v="332"/>
    <s v="Мясо"/>
    <n v="271.7454545454545"/>
    <n v="-0.2161782416700121"/>
    <s v="Сава"/>
    <n v="212.8125"/>
    <d v="2022-10-24T00:00:00"/>
    <x v="11"/>
  </r>
  <r>
    <n v="14"/>
    <n v="116"/>
    <n v="190"/>
    <n v="4"/>
    <n v="3800"/>
    <x v="13"/>
    <x v="3"/>
    <n v="414"/>
    <s v="Соль"/>
    <n v="264.8679245283019"/>
    <n v="-0.2826613477703377"/>
    <s v="Экстра"/>
    <n v="320.8461538461539"/>
    <d v="2022-08-21T00:00:00"/>
    <x v="12"/>
  </r>
  <r>
    <n v="15"/>
    <n v="378"/>
    <n v="237"/>
    <n v="1"/>
    <n v="1185"/>
    <x v="14"/>
    <x v="5"/>
    <n v="236"/>
    <s v="Сок"/>
    <n v="268.6034482758621"/>
    <n v="-0.1176583862892356"/>
    <s v="Фруктовый сад"/>
    <n v="281.96875"/>
    <d v="2022-09-16T00:00:00"/>
    <x v="13"/>
  </r>
  <r>
    <n v="16"/>
    <n v="299"/>
    <n v="178"/>
    <n v="3"/>
    <n v="2670"/>
    <x v="15"/>
    <x v="6"/>
    <n v="164"/>
    <s v="Чай"/>
    <n v="271.1818181818182"/>
    <n v="-0.3436138115990613"/>
    <s v="Lipton"/>
    <n v="260.1578947368421"/>
    <d v="2022-04-27T00:00:00"/>
    <x v="14"/>
  </r>
  <r>
    <n v="17"/>
    <n v="359"/>
    <n v="320"/>
    <n v="5"/>
    <n v="8000"/>
    <x v="16"/>
    <x v="8"/>
    <n v="490"/>
    <s v="Мясо"/>
    <n v="271.7454545454545"/>
    <n v="0.1775725946741602"/>
    <s v="Мираторг"/>
    <n v="316.5833333333333"/>
    <d v="2022-02-11T00:00:00"/>
    <x v="15"/>
  </r>
  <r>
    <n v="18"/>
    <n v="337"/>
    <n v="419"/>
    <n v="2"/>
    <n v="4190"/>
    <x v="17"/>
    <x v="2"/>
    <n v="223"/>
    <s v="Макароны"/>
    <n v="265.4767441860465"/>
    <n v="0.5782926722438788"/>
    <s v="Паста Зара"/>
    <n v="276.6756756756757"/>
    <d v="2022-11-28T00:00:00"/>
    <x v="16"/>
  </r>
  <r>
    <n v="19"/>
    <n v="226"/>
    <n v="190"/>
    <n v="5"/>
    <n v="4750"/>
    <x v="18"/>
    <x v="9"/>
    <n v="204"/>
    <s v="Сыр"/>
    <n v="262.6349206349207"/>
    <n v="-0.2765623111326001"/>
    <s v="Карат"/>
    <n v="311.3333333333333"/>
    <d v="2022-11-02T00:00:00"/>
    <x v="17"/>
  </r>
  <r>
    <n v="20"/>
    <n v="310"/>
    <n v="458"/>
    <n v="2"/>
    <n v="4580"/>
    <x v="19"/>
    <x v="9"/>
    <n v="481"/>
    <s v="Макароны"/>
    <n v="265.4767441860465"/>
    <n v="0.72519819543603"/>
    <s v="Паста Зара"/>
    <n v="276.6756756756757"/>
    <d v="2022-07-14T00:00:00"/>
    <x v="18"/>
  </r>
  <r>
    <n v="21"/>
    <n v="137"/>
    <n v="152"/>
    <n v="2"/>
    <n v="1520"/>
    <x v="20"/>
    <x v="0"/>
    <n v="363"/>
    <s v="Фрукты"/>
    <n v="274.1627906976744"/>
    <n v="-0.4455848672491306"/>
    <s v="Экзотик"/>
    <n v="253.6875"/>
    <d v="2022-04-24T00:00:00"/>
    <x v="19"/>
  </r>
  <r>
    <n v="22"/>
    <n v="385"/>
    <n v="352"/>
    <n v="2"/>
    <n v="3520"/>
    <x v="21"/>
    <x v="6"/>
    <n v="397"/>
    <s v="Макароны"/>
    <n v="265.4767441860465"/>
    <n v="0.3259165170163374"/>
    <s v="Макфа"/>
    <n v="329.2727272727273"/>
    <d v="2022-06-16T00:00:00"/>
    <x v="20"/>
  </r>
  <r>
    <n v="23"/>
    <n v="226"/>
    <n v="228"/>
    <n v="2"/>
    <n v="2280"/>
    <x v="22"/>
    <x v="10"/>
    <n v="280"/>
    <s v="Сыр"/>
    <n v="262.6349206349207"/>
    <n v="-0.1318747733591201"/>
    <s v="Карат"/>
    <n v="311.3333333333333"/>
    <d v="2022-01-02T00:00:00"/>
    <x v="21"/>
  </r>
  <r>
    <n v="24"/>
    <n v="451"/>
    <n v="161"/>
    <n v="4"/>
    <n v="3220"/>
    <x v="23"/>
    <x v="7"/>
    <n v="39"/>
    <s v="Рис"/>
    <n v="258.375"/>
    <n v="-0.3768746976294146"/>
    <s v="Белый Злат"/>
    <n v="269.7058823529412"/>
    <d v="2022-04-02T00:00:00"/>
    <x v="22"/>
  </r>
  <r>
    <n v="25"/>
    <n v="7"/>
    <n v="362"/>
    <n v="1"/>
    <n v="1810"/>
    <x v="24"/>
    <x v="4"/>
    <n v="303"/>
    <s v="Сыр"/>
    <n v="262.6349206349207"/>
    <n v="0.3783391756315724"/>
    <s v="President"/>
    <n v="238.7222222222222"/>
    <d v="2022-05-08T00:00:00"/>
    <x v="23"/>
  </r>
  <r>
    <n v="26"/>
    <n v="495"/>
    <n v="312"/>
    <n v="1"/>
    <n v="1560"/>
    <x v="25"/>
    <x v="8"/>
    <n v="422"/>
    <s v="Чай"/>
    <n v="271.1818181818182"/>
    <n v="0.1505196111297351"/>
    <s v="Greenfield"/>
    <n v="291.4545454545454"/>
    <d v="2022-08-11T00:00:00"/>
    <x v="24"/>
  </r>
  <r>
    <n v="27"/>
    <n v="415"/>
    <n v="311"/>
    <n v="5"/>
    <n v="7775"/>
    <x v="26"/>
    <x v="11"/>
    <n v="24"/>
    <s v="Чипсы"/>
    <n v="273.7254901960785"/>
    <n v="0.1361747851002864"/>
    <s v="Pringles"/>
    <n v="280.2380952380952"/>
    <d v="2022-02-17T00:00:00"/>
    <x v="25"/>
  </r>
  <r>
    <n v="28"/>
    <n v="176"/>
    <n v="220"/>
    <n v="1"/>
    <n v="1100"/>
    <x v="27"/>
    <x v="0"/>
    <n v="112"/>
    <s v="Сахар"/>
    <n v="252.7627118644068"/>
    <n v="-0.1296184536981158"/>
    <s v="Продимекс"/>
    <n v="240.5"/>
    <d v="2022-04-01T00:00:00"/>
    <x v="26"/>
  </r>
  <r>
    <n v="29"/>
    <n v="181"/>
    <n v="476"/>
    <n v="4"/>
    <n v="9520"/>
    <x v="28"/>
    <x v="0"/>
    <n v="451"/>
    <s v="Молоко"/>
    <n v="294.952380952381"/>
    <n v="0.6138198256377139"/>
    <s v="Простоквашино"/>
    <n v="318.8181818181818"/>
    <d v="2022-01-23T00:00:00"/>
    <x v="27"/>
  </r>
  <r>
    <n v="30"/>
    <n v="399"/>
    <n v="190"/>
    <n v="1"/>
    <n v="950"/>
    <x v="29"/>
    <x v="2"/>
    <n v="131"/>
    <s v="Хлеб"/>
    <n v="300.3181818181818"/>
    <n v="-0.3673376721658846"/>
    <s v="Хлебный Дом"/>
    <n v="281.7333333333333"/>
    <d v="2022-05-12T00:00:00"/>
    <x v="28"/>
  </r>
  <r>
    <n v="31"/>
    <n v="382"/>
    <n v="198"/>
    <n v="5"/>
    <n v="4950"/>
    <x v="30"/>
    <x v="12"/>
    <n v="160"/>
    <s v="Овощи"/>
    <n v="250.4878048780488"/>
    <n v="-0.2095423563777995"/>
    <s v="Овощной ряд"/>
    <n v="303.8235294117647"/>
    <d v="2022-03-29T00:00:00"/>
    <x v="29"/>
  </r>
  <r>
    <n v="32"/>
    <n v="103"/>
    <n v="254"/>
    <n v="3"/>
    <n v="3810"/>
    <x v="31"/>
    <x v="13"/>
    <n v="408"/>
    <s v="Рыба"/>
    <n v="258.5128205128205"/>
    <n v="-0.01745685379884943"/>
    <s v="Санта Бремор"/>
    <n v="216.4"/>
    <d v="2022-10-23T00:00:00"/>
    <x v="30"/>
  </r>
  <r>
    <n v="33"/>
    <n v="104"/>
    <n v="351"/>
    <n v="1"/>
    <n v="1755"/>
    <x v="32"/>
    <x v="12"/>
    <n v="324"/>
    <s v="Йогурт"/>
    <n v="263.2542372881356"/>
    <n v="0.3333118722637136"/>
    <s v="Ростагроэкспорт"/>
    <n v="257.7826086956522"/>
    <d v="2022-07-19T00:00:00"/>
    <x v="31"/>
  </r>
  <r>
    <n v="34"/>
    <n v="213"/>
    <n v="387"/>
    <n v="1"/>
    <n v="1935"/>
    <x v="33"/>
    <x v="5"/>
    <n v="310"/>
    <s v="Сахар"/>
    <n v="252.7627118644068"/>
    <n v="0.5310802655401328"/>
    <s v="Продимекс"/>
    <n v="240.5"/>
    <d v="2022-09-03T00:00:00"/>
    <x v="32"/>
  </r>
  <r>
    <n v="35"/>
    <n v="157"/>
    <n v="55"/>
    <n v="2"/>
    <n v="550"/>
    <x v="34"/>
    <x v="2"/>
    <n v="179"/>
    <s v="Сыр"/>
    <n v="262.6349206349207"/>
    <n v="-0.7905838269068053"/>
    <s v="President"/>
    <n v="238.7222222222222"/>
    <d v="2022-09-29T00:00:00"/>
    <x v="33"/>
  </r>
  <r>
    <n v="36"/>
    <n v="237"/>
    <n v="336"/>
    <n v="1"/>
    <n v="1680"/>
    <x v="35"/>
    <x v="9"/>
    <n v="64"/>
    <s v="Конфеты"/>
    <n v="267.8548387096774"/>
    <n v="0.2544107906304569"/>
    <s v="Рот Фронт"/>
    <n v="288.2380952380952"/>
    <d v="2022-05-26T00:00:00"/>
    <x v="34"/>
  </r>
  <r>
    <n v="37"/>
    <n v="8"/>
    <n v="480"/>
    <n v="4"/>
    <n v="9600"/>
    <x v="36"/>
    <x v="14"/>
    <n v="318"/>
    <s v="Макароны"/>
    <n v="265.4767441860465"/>
    <n v="0.808067977749551"/>
    <s v="Паста Зара"/>
    <n v="276.6756756756757"/>
    <d v="2022-11-27T00:00:00"/>
    <x v="35"/>
  </r>
  <r>
    <n v="38"/>
    <n v="65"/>
    <n v="214"/>
    <n v="3"/>
    <n v="3210"/>
    <x v="37"/>
    <x v="0"/>
    <n v="239"/>
    <s v="Хлеб"/>
    <n v="300.3181818181818"/>
    <n v="-0.2874224307552595"/>
    <s v="Хлебный Дом"/>
    <n v="281.7333333333333"/>
    <d v="2022-07-25T00:00:00"/>
    <x v="36"/>
  </r>
  <r>
    <n v="39"/>
    <n v="45"/>
    <n v="60"/>
    <n v="2"/>
    <n v="600"/>
    <x v="38"/>
    <x v="15"/>
    <n v="194"/>
    <s v="Сок"/>
    <n v="268.6034482758621"/>
    <n v="-0.7766223762757558"/>
    <s v="Добрый"/>
    <n v="242.8181818181818"/>
    <d v="2022-12-29T00:00:00"/>
    <x v="9"/>
  </r>
  <r>
    <n v="40"/>
    <n v="36"/>
    <n v="414"/>
    <n v="3"/>
    <n v="6210"/>
    <x v="39"/>
    <x v="6"/>
    <n v="267"/>
    <s v="Макароны"/>
    <n v="265.4767441860465"/>
    <n v="0.5594586308089877"/>
    <s v="Роллтон"/>
    <n v="235.5555555555555"/>
    <d v="2022-12-15T00:00:00"/>
    <x v="37"/>
  </r>
  <r>
    <n v="41"/>
    <n v="443"/>
    <n v="62"/>
    <n v="3"/>
    <n v="930"/>
    <x v="40"/>
    <x v="4"/>
    <n v="334"/>
    <s v="Кофе"/>
    <n v="249.0238095238095"/>
    <n v="-0.7510278229276222"/>
    <s v="Jacobs"/>
    <n v="276.2105263157895"/>
    <d v="2022-11-16T00:00:00"/>
    <x v="22"/>
  </r>
  <r>
    <n v="42"/>
    <n v="384"/>
    <n v="357"/>
    <n v="1"/>
    <n v="1785"/>
    <x v="41"/>
    <x v="16"/>
    <n v="47"/>
    <s v="Сахар"/>
    <n v="252.7627118644068"/>
    <n v="0.412391872862603"/>
    <s v="Сладов"/>
    <n v="240.2666666666667"/>
    <d v="2022-05-12T00:00:00"/>
    <x v="38"/>
  </r>
  <r>
    <n v="43"/>
    <n v="41"/>
    <n v="493"/>
    <n v="3"/>
    <n v="7395"/>
    <x v="42"/>
    <x v="1"/>
    <n v="287"/>
    <s v="Рис"/>
    <n v="258.375"/>
    <n v="0.9080793420416062"/>
    <s v="Агро-Альянс"/>
    <n v="317.8571428571428"/>
    <d v="2022-02-16T00:00:00"/>
    <x v="39"/>
  </r>
  <r>
    <n v="44"/>
    <n v="484"/>
    <n v="305"/>
    <n v="2"/>
    <n v="3050"/>
    <x v="43"/>
    <x v="11"/>
    <n v="145"/>
    <s v="Печенье"/>
    <n v="283.468085106383"/>
    <n v="0.07595886812279518"/>
    <s v="КДВ"/>
    <n v="323.0769230769231"/>
    <d v="2022-04-02T00:00:00"/>
    <x v="40"/>
  </r>
  <r>
    <n v="45"/>
    <n v="7"/>
    <n v="162"/>
    <n v="4"/>
    <n v="3240"/>
    <x v="44"/>
    <x v="8"/>
    <n v="270"/>
    <s v="Сыр"/>
    <n v="262.6349206349207"/>
    <n v="-0.3831741810709538"/>
    <s v="President"/>
    <n v="238.7222222222222"/>
    <d v="2022-09-23T00:00:00"/>
    <x v="41"/>
  </r>
  <r>
    <n v="46"/>
    <n v="390"/>
    <n v="78"/>
    <n v="1"/>
    <n v="390"/>
    <x v="45"/>
    <x v="7"/>
    <n v="64"/>
    <s v="Сок"/>
    <n v="268.6034482758621"/>
    <n v="-0.7096090891584825"/>
    <s v="Сады Придонья"/>
    <n v="254.1818181818182"/>
    <d v="2022-05-26T00:00:00"/>
    <x v="42"/>
  </r>
  <r>
    <n v="47"/>
    <n v="57"/>
    <n v="343"/>
    <n v="5"/>
    <n v="8575"/>
    <x v="46"/>
    <x v="1"/>
    <n v="183"/>
    <s v="Печенье"/>
    <n v="283.468085106383"/>
    <n v="0.2100127598889139"/>
    <s v="Юбилейное"/>
    <n v="232.4444444444445"/>
    <d v="2022-12-05T00:00:00"/>
    <x v="43"/>
  </r>
  <r>
    <n v="48"/>
    <n v="285"/>
    <n v="498"/>
    <n v="4"/>
    <n v="9960"/>
    <x v="47"/>
    <x v="9"/>
    <n v="2"/>
    <s v="Макароны"/>
    <n v="265.4767441860465"/>
    <n v="0.8758705269151592"/>
    <s v="Паста Зара"/>
    <n v="276.6756756756757"/>
    <d v="2022-08-02T00:00:00"/>
    <x v="44"/>
  </r>
  <r>
    <n v="49"/>
    <n v="299"/>
    <n v="133"/>
    <n v="1"/>
    <n v="665"/>
    <x v="42"/>
    <x v="8"/>
    <n v="204"/>
    <s v="Чай"/>
    <n v="271.1818181818182"/>
    <n v="-0.5095541401273885"/>
    <s v="Lipton"/>
    <n v="260.1578947368421"/>
    <d v="2022-11-02T00:00:00"/>
    <x v="45"/>
  </r>
  <r>
    <n v="50"/>
    <n v="444"/>
    <n v="311"/>
    <n v="4"/>
    <n v="6220"/>
    <x v="48"/>
    <x v="15"/>
    <n v="229"/>
    <s v="Йогурт"/>
    <n v="263.2542372881356"/>
    <n v="0.181367499356168"/>
    <s v="Эрманн"/>
    <n v="248.5"/>
    <d v="2022-07-24T00:00:00"/>
    <x v="46"/>
  </r>
  <r>
    <n v="51"/>
    <n v="35"/>
    <n v="242"/>
    <n v="2"/>
    <n v="2420"/>
    <x v="49"/>
    <x v="14"/>
    <n v="385"/>
    <s v="Крупа"/>
    <n v="255.1162790697674"/>
    <n v="-0.05141294439380129"/>
    <s v="Мистраль"/>
    <n v="250.3076923076923"/>
    <d v="2022-07-11T00:00:00"/>
    <x v="47"/>
  </r>
  <r>
    <n v="52"/>
    <n v="296"/>
    <n v="101"/>
    <n v="3"/>
    <n v="1515"/>
    <x v="50"/>
    <x v="11"/>
    <n v="407"/>
    <s v="Крупа"/>
    <n v="255.1162790697674"/>
    <n v="-0.6041020966271651"/>
    <s v="Мистраль"/>
    <n v="250.3076923076923"/>
    <d v="2022-03-01T00:00:00"/>
    <x v="48"/>
  </r>
  <r>
    <n v="53"/>
    <n v="227"/>
    <n v="65"/>
    <n v="1"/>
    <n v="325"/>
    <x v="51"/>
    <x v="2"/>
    <n v="493"/>
    <s v="Макароны"/>
    <n v="265.4767441860465"/>
    <n v="-0.7551574613464149"/>
    <s v="Макфа"/>
    <n v="329.2727272727273"/>
    <d v="2022-10-21T00:00:00"/>
    <x v="49"/>
  </r>
  <r>
    <n v="54"/>
    <n v="167"/>
    <n v="143"/>
    <n v="3"/>
    <n v="2145"/>
    <x v="52"/>
    <x v="14"/>
    <n v="34"/>
    <s v="Мясо"/>
    <n v="271.7454545454545"/>
    <n v="-0.4737722467549846"/>
    <s v="Сава"/>
    <n v="212.8125"/>
    <d v="2022-04-03T00:00:00"/>
    <x v="50"/>
  </r>
  <r>
    <n v="55"/>
    <n v="146"/>
    <n v="402"/>
    <n v="5"/>
    <n v="10050"/>
    <x v="53"/>
    <x v="5"/>
    <n v="190"/>
    <s v="Сок"/>
    <n v="268.6034482758621"/>
    <n v="0.4966300789524358"/>
    <s v="Добрый"/>
    <n v="242.8181818181818"/>
    <d v="2022-05-08T00:00:00"/>
    <x v="51"/>
  </r>
  <r>
    <n v="56"/>
    <n v="338"/>
    <n v="97"/>
    <n v="1"/>
    <n v="485"/>
    <x v="43"/>
    <x v="9"/>
    <n v="266"/>
    <s v="Сыр"/>
    <n v="262.6349206349207"/>
    <n v="-0.6306660219992748"/>
    <s v="President"/>
    <n v="238.7222222222222"/>
    <d v="2022-08-22T00:00:00"/>
    <x v="52"/>
  </r>
  <r>
    <n v="57"/>
    <n v="155"/>
    <n v="482"/>
    <n v="1"/>
    <n v="2410"/>
    <x v="54"/>
    <x v="6"/>
    <n v="222"/>
    <s v="Йогурт"/>
    <n v="263.2542372881356"/>
    <n v="0.8309296935359258"/>
    <s v="Эрманн"/>
    <n v="248.5"/>
    <d v="2022-05-13T00:00:00"/>
    <x v="53"/>
  </r>
  <r>
    <n v="58"/>
    <n v="239"/>
    <n v="59"/>
    <n v="1"/>
    <n v="295"/>
    <x v="55"/>
    <x v="17"/>
    <n v="382"/>
    <s v="Йогурт"/>
    <n v="263.2542372881356"/>
    <n v="-0.7758820499613701"/>
    <s v="Эрманн"/>
    <n v="248.5"/>
    <d v="2022-10-16T00:00:00"/>
    <x v="54"/>
  </r>
  <r>
    <n v="59"/>
    <n v="158"/>
    <n v="87"/>
    <n v="4"/>
    <n v="1740"/>
    <x v="56"/>
    <x v="8"/>
    <n v="142"/>
    <s v="Сахар"/>
    <n v="252.7627118644068"/>
    <n v="-0.655803661235164"/>
    <s v="Сладов"/>
    <n v="240.2666666666667"/>
    <d v="2022-05-02T00:00:00"/>
    <x v="55"/>
  </r>
  <r>
    <n v="60"/>
    <n v="147"/>
    <n v="238"/>
    <n v="5"/>
    <n v="5950"/>
    <x v="57"/>
    <x v="7"/>
    <n v="270"/>
    <s v="Конфеты"/>
    <n v="267.8548387096774"/>
    <n v="-0.1114590233034263"/>
    <s v="Бабаевский"/>
    <n v="250.2592592592593"/>
    <d v="2022-09-23T00:00:00"/>
    <x v="56"/>
  </r>
  <r>
    <n v="61"/>
    <n v="311"/>
    <n v="238"/>
    <n v="5"/>
    <n v="5950"/>
    <x v="58"/>
    <x v="7"/>
    <n v="150"/>
    <s v="Макароны"/>
    <n v="265.4767441860465"/>
    <n v="-0.103499627699181"/>
    <s v="Паста Зара"/>
    <n v="276.6756756756757"/>
    <d v="2022-03-02T00:00:00"/>
    <x v="57"/>
  </r>
  <r>
    <n v="62"/>
    <n v="465"/>
    <n v="311"/>
    <n v="2"/>
    <n v="3110"/>
    <x v="59"/>
    <x v="1"/>
    <n v="14"/>
    <s v="Йогурт"/>
    <n v="263.2542372881356"/>
    <n v="0.181367499356168"/>
    <s v="Ростагроэкспорт"/>
    <n v="257.7826086956522"/>
    <d v="2022-08-02T00:00:00"/>
    <x v="58"/>
  </r>
  <r>
    <n v="63"/>
    <n v="449"/>
    <n v="392"/>
    <n v="3"/>
    <n v="5880"/>
    <x v="33"/>
    <x v="11"/>
    <n v="371"/>
    <s v="Мясо"/>
    <n v="271.7454545454545"/>
    <n v="0.4425264284758463"/>
    <s v="Агрокомплекс"/>
    <n v="311.2"/>
    <d v="2022-10-10T00:00:00"/>
    <x v="59"/>
  </r>
  <r>
    <n v="64"/>
    <n v="144"/>
    <n v="473"/>
    <n v="5"/>
    <n v="11825"/>
    <x v="60"/>
    <x v="9"/>
    <n v="328"/>
    <s v="Макароны"/>
    <n v="265.4767441860465"/>
    <n v="0.7817003197407033"/>
    <s v="Роллтон"/>
    <n v="235.5555555555555"/>
    <d v="2022-01-07T00:00:00"/>
    <x v="60"/>
  </r>
  <r>
    <n v="65"/>
    <n v="375"/>
    <n v="231"/>
    <n v="2"/>
    <n v="2310"/>
    <x v="61"/>
    <x v="10"/>
    <n v="171"/>
    <s v="Макароны"/>
    <n v="265.4767441860465"/>
    <n v="-0.1298672857080285"/>
    <s v="Борилла"/>
    <n v="236.2758620689655"/>
    <d v="2022-05-29T00:00:00"/>
    <x v="61"/>
  </r>
  <r>
    <n v="66"/>
    <n v="408"/>
    <n v="438"/>
    <n v="3"/>
    <n v="6570"/>
    <x v="62"/>
    <x v="11"/>
    <n v="68"/>
    <s v="Йогурт"/>
    <n v="263.2542372881356"/>
    <n v="0.6637908833376256"/>
    <s v="Эрманн"/>
    <n v="248.5"/>
    <d v="2022-11-17T00:00:00"/>
    <x v="62"/>
  </r>
  <r>
    <n v="67"/>
    <n v="425"/>
    <n v="365"/>
    <n v="2"/>
    <n v="3650"/>
    <x v="63"/>
    <x v="13"/>
    <n v="346"/>
    <s v="Соль"/>
    <n v="264.8679245283019"/>
    <n v="0.3780453055990882"/>
    <s v="Экстра"/>
    <n v="320.8461538461539"/>
    <d v="2022-03-16T00:00:00"/>
    <x v="63"/>
  </r>
  <r>
    <n v="68"/>
    <n v="277"/>
    <n v="324"/>
    <n v="2"/>
    <n v="3240"/>
    <x v="64"/>
    <x v="13"/>
    <n v="415"/>
    <s v="Чай"/>
    <n v="271.1818181818182"/>
    <n v="0.1947703654039556"/>
    <s v="Greenfield"/>
    <n v="291.4545454545454"/>
    <d v="2022-04-10T00:00:00"/>
    <x v="64"/>
  </r>
  <r>
    <n v="69"/>
    <n v="130"/>
    <n v="208"/>
    <n v="5"/>
    <n v="5200"/>
    <x v="65"/>
    <x v="7"/>
    <n v="115"/>
    <s v="Соль"/>
    <n v="264.8679245283019"/>
    <n v="-0.2147029491380539"/>
    <s v="Илецкая"/>
    <n v="238.1666666666667"/>
    <d v="2022-09-28T00:00:00"/>
    <x v="65"/>
  </r>
  <r>
    <n v="70"/>
    <n v="337"/>
    <n v="115"/>
    <n v="3"/>
    <n v="1725"/>
    <x v="66"/>
    <x v="0"/>
    <n v="42"/>
    <s v="Макароны"/>
    <n v="265.4767441860465"/>
    <n v="-0.5668170469975033"/>
    <s v="Паста Зара"/>
    <n v="276.6756756756757"/>
    <d v="2022-08-10T00:00:00"/>
    <x v="66"/>
  </r>
  <r>
    <n v="71"/>
    <n v="30"/>
    <n v="261"/>
    <n v="1"/>
    <n v="1305"/>
    <x v="67"/>
    <x v="14"/>
    <n v="378"/>
    <s v="Чипсы"/>
    <n v="273.7254901960785"/>
    <n v="-0.04648997134670496"/>
    <s v="Pringles"/>
    <n v="280.2380952380952"/>
    <d v="2022-05-29T00:00:00"/>
    <x v="67"/>
  </r>
  <r>
    <n v="72"/>
    <n v="75"/>
    <n v="257"/>
    <n v="2"/>
    <n v="2570"/>
    <x v="68"/>
    <x v="17"/>
    <n v="449"/>
    <s v="Печенье"/>
    <n v="283.468085106383"/>
    <n v="-0.09337236358177592"/>
    <s v="Белогорье"/>
    <n v="249.5"/>
    <d v="2022-03-25T00:00:00"/>
    <x v="68"/>
  </r>
  <r>
    <n v="73"/>
    <n v="118"/>
    <n v="459"/>
    <n v="2"/>
    <n v="4590"/>
    <x v="69"/>
    <x v="9"/>
    <n v="318"/>
    <s v="Сахар"/>
    <n v="252.7627118644068"/>
    <n v="0.815932407966204"/>
    <s v="Продимекс"/>
    <n v="240.5"/>
    <d v="2022-11-27T00:00:00"/>
    <x v="69"/>
  </r>
  <r>
    <n v="74"/>
    <n v="19"/>
    <n v="112"/>
    <n v="4"/>
    <n v="2240"/>
    <x v="70"/>
    <x v="9"/>
    <n v="317"/>
    <s v="Мясо"/>
    <n v="271.7454545454545"/>
    <n v="-0.5878495918640438"/>
    <s v="Снежана"/>
    <n v="272.3529411764706"/>
    <d v="2022-07-28T00:00:00"/>
    <x v="70"/>
  </r>
  <r>
    <n v="75"/>
    <n v="204"/>
    <n v="491"/>
    <n v="4"/>
    <n v="9820"/>
    <x v="71"/>
    <x v="10"/>
    <n v="426"/>
    <s v="Печенье"/>
    <n v="283.468085106383"/>
    <n v="0.7321173909780079"/>
    <s v="Юбилейное"/>
    <n v="232.4444444444445"/>
    <d v="2022-07-26T00:00:00"/>
    <x v="71"/>
  </r>
  <r>
    <n v="76"/>
    <n v="304"/>
    <n v="162"/>
    <n v="1"/>
    <n v="810"/>
    <x v="72"/>
    <x v="7"/>
    <n v="25"/>
    <s v="Конфеты"/>
    <n v="267.8548387096774"/>
    <n v="-0.3951947973746011"/>
    <s v="Рот Фронт"/>
    <n v="288.2380952380952"/>
    <d v="2022-01-21T00:00:00"/>
    <x v="72"/>
  </r>
  <r>
    <n v="77"/>
    <n v="189"/>
    <n v="278"/>
    <n v="2"/>
    <n v="2780"/>
    <x v="73"/>
    <x v="15"/>
    <n v="462"/>
    <s v="Хлеб"/>
    <n v="300.3181818181818"/>
    <n v="-0.074315120326926"/>
    <s v="Дарница"/>
    <n v="264"/>
    <d v="2022-07-09T00:00:00"/>
    <x v="73"/>
  </r>
  <r>
    <n v="78"/>
    <n v="392"/>
    <n v="484"/>
    <n v="4"/>
    <n v="9680"/>
    <x v="74"/>
    <x v="2"/>
    <n v="252"/>
    <s v="Кофе"/>
    <n v="249.0238095238095"/>
    <n v="0.9435892532746917"/>
    <s v="Черная Карта"/>
    <n v="222.2"/>
    <d v="2022-03-23T00:00:00"/>
    <x v="74"/>
  </r>
  <r>
    <n v="79"/>
    <n v="10"/>
    <n v="53"/>
    <n v="1"/>
    <n v="265"/>
    <x v="75"/>
    <x v="17"/>
    <n v="392"/>
    <s v="Сок"/>
    <n v="268.6034482758621"/>
    <n v="-0.8026830990435844"/>
    <s v="Фруктовый сад"/>
    <n v="281.96875"/>
    <d v="2022-12-24T00:00:00"/>
    <x v="75"/>
  </r>
  <r>
    <n v="80"/>
    <n v="64"/>
    <n v="131"/>
    <n v="5"/>
    <n v="3275"/>
    <x v="76"/>
    <x v="7"/>
    <n v="487"/>
    <s v="Колбаса"/>
    <n v="286.9230769230769"/>
    <n v="-0.5434316353887398"/>
    <s v="Окраина"/>
    <n v="273.5833333333333"/>
    <d v="2022-09-11T00:00:00"/>
    <x v="76"/>
  </r>
  <r>
    <n v="81"/>
    <n v="116"/>
    <n v="120"/>
    <n v="2"/>
    <n v="1200"/>
    <x v="24"/>
    <x v="18"/>
    <n v="332"/>
    <s v="Соль"/>
    <n v="264.8679245283019"/>
    <n v="-0.546944009118108"/>
    <s v="Экстра"/>
    <n v="320.8461538461539"/>
    <d v="2022-10-24T00:00:00"/>
    <x v="77"/>
  </r>
  <r>
    <n v="82"/>
    <n v="334"/>
    <n v="396"/>
    <n v="4"/>
    <n v="7920"/>
    <x v="77"/>
    <x v="17"/>
    <n v="134"/>
    <s v="Молоко"/>
    <n v="294.952380952381"/>
    <n v="0.3425896028414595"/>
    <s v="Домик в деревне"/>
    <n v="274.7777777777778"/>
    <d v="2022-07-11T00:00:00"/>
    <x v="78"/>
  </r>
  <r>
    <n v="83"/>
    <n v="345"/>
    <n v="267"/>
    <n v="5"/>
    <n v="6675"/>
    <x v="78"/>
    <x v="1"/>
    <n v="287"/>
    <s v="Конфеты"/>
    <n v="267.8548387096774"/>
    <n v="-0.003191425302583317"/>
    <s v="Рот Фронт"/>
    <n v="288.2380952380952"/>
    <d v="2022-02-16T00:00:00"/>
    <x v="79"/>
  </r>
  <r>
    <n v="84"/>
    <n v="281"/>
    <n v="371"/>
    <n v="1"/>
    <n v="1855"/>
    <x v="69"/>
    <x v="14"/>
    <n v="11"/>
    <s v="Чай"/>
    <n v="271.1818181818182"/>
    <n v="0.368085819644653"/>
    <s v="Lipton"/>
    <n v="260.1578947368421"/>
    <d v="2022-05-09T00:00:00"/>
    <x v="80"/>
  </r>
  <r>
    <n v="85"/>
    <n v="276"/>
    <n v="295"/>
    <n v="1"/>
    <n v="1475"/>
    <x v="79"/>
    <x v="9"/>
    <n v="458"/>
    <s v="Колбаса"/>
    <n v="286.9230769230769"/>
    <n v="0.0281501340482575"/>
    <s v="Дымов"/>
    <n v="312.6666666666667"/>
    <d v="2022-05-13T00:00:00"/>
    <x v="81"/>
  </r>
  <r>
    <n v="86"/>
    <n v="234"/>
    <n v="75"/>
    <n v="5"/>
    <n v="1875"/>
    <x v="80"/>
    <x v="15"/>
    <n v="130"/>
    <s v="Чай"/>
    <n v="271.1818181818182"/>
    <n v="-0.7234327857861214"/>
    <s v="Greenfield"/>
    <n v="291.4545454545454"/>
    <d v="2022-10-29T00:00:00"/>
    <x v="82"/>
  </r>
  <r>
    <n v="87"/>
    <n v="319"/>
    <n v="247"/>
    <n v="2"/>
    <n v="2470"/>
    <x v="81"/>
    <x v="0"/>
    <n v="330"/>
    <s v="Йогурт"/>
    <n v="263.2542372881356"/>
    <n v="-0.06174349729590523"/>
    <s v="Эрманн"/>
    <n v="248.5"/>
    <d v="2022-09-11T00:00:00"/>
    <x v="83"/>
  </r>
  <r>
    <n v="88"/>
    <n v="375"/>
    <n v="281"/>
    <n v="2"/>
    <n v="2810"/>
    <x v="82"/>
    <x v="9"/>
    <n v="167"/>
    <s v="Макароны"/>
    <n v="265.4767441860465"/>
    <n v="0.05847312864088305"/>
    <s v="Борилла"/>
    <n v="236.2758620689655"/>
    <d v="2022-01-02T00:00:00"/>
    <x v="84"/>
  </r>
  <r>
    <n v="89"/>
    <n v="443"/>
    <n v="136"/>
    <n v="2"/>
    <n v="1360"/>
    <x v="83"/>
    <x v="17"/>
    <n v="140"/>
    <s v="Кофе"/>
    <n v="249.0238095238095"/>
    <n v="-0.453867482550913"/>
    <s v="Jacobs"/>
    <n v="276.2105263157895"/>
    <d v="2022-03-07T00:00:00"/>
    <x v="85"/>
  </r>
  <r>
    <n v="90"/>
    <n v="30"/>
    <n v="142"/>
    <n v="5"/>
    <n v="3550"/>
    <x v="84"/>
    <x v="15"/>
    <n v="423"/>
    <s v="Чипсы"/>
    <n v="273.7254901960785"/>
    <n v="-0.4812320916905445"/>
    <s v="Pringles"/>
    <n v="280.2380952380952"/>
    <d v="2022-10-07T00:00:00"/>
    <x v="86"/>
  </r>
  <r>
    <n v="91"/>
    <n v="24"/>
    <n v="414"/>
    <n v="1"/>
    <n v="2070"/>
    <x v="85"/>
    <x v="4"/>
    <n v="365"/>
    <s v="Йогурт"/>
    <n v="263.2542372881356"/>
    <n v="0.5726242595930982"/>
    <s v="Чудо"/>
    <n v="287.1"/>
    <d v="2022-10-07T00:00:00"/>
    <x v="87"/>
  </r>
  <r>
    <n v="92"/>
    <n v="357"/>
    <n v="206"/>
    <n v="2"/>
    <n v="2060"/>
    <x v="86"/>
    <x v="18"/>
    <n v="452"/>
    <s v="Мясо"/>
    <n v="271.7454545454545"/>
    <n v="-0.2419376421785093"/>
    <s v="Снежана"/>
    <n v="272.3529411764706"/>
    <d v="2022-07-27T00:00:00"/>
    <x v="88"/>
  </r>
  <r>
    <n v="93"/>
    <n v="265"/>
    <n v="66"/>
    <n v="1"/>
    <n v="330"/>
    <x v="87"/>
    <x v="16"/>
    <n v="424"/>
    <s v="Мясо"/>
    <n v="271.7454545454545"/>
    <n v="-0.7571256523484544"/>
    <s v="Мираторг"/>
    <n v="316.5833333333333"/>
    <d v="2022-01-24T00:00:00"/>
    <x v="89"/>
  </r>
  <r>
    <n v="94"/>
    <n v="102"/>
    <n v="452"/>
    <n v="1"/>
    <n v="2260"/>
    <x v="88"/>
    <x v="13"/>
    <n v="75"/>
    <s v="Печенье"/>
    <n v="283.468085106383"/>
    <n v="0.5945357652180439"/>
    <s v="Белогорье"/>
    <n v="249.5"/>
    <d v="2022-08-23T00:00:00"/>
    <x v="90"/>
  </r>
  <r>
    <n v="95"/>
    <n v="212"/>
    <n v="175"/>
    <n v="1"/>
    <n v="875"/>
    <x v="89"/>
    <x v="19"/>
    <n v="385"/>
    <s v="Чипсы"/>
    <n v="273.7254901960785"/>
    <n v="-0.3606733524355301"/>
    <s v="Lay's"/>
    <n v="320.5714285714286"/>
    <d v="2022-07-11T00:00:00"/>
    <x v="91"/>
  </r>
  <r>
    <n v="96"/>
    <n v="215"/>
    <n v="109"/>
    <n v="1"/>
    <n v="545"/>
    <x v="90"/>
    <x v="9"/>
    <n v="71"/>
    <s v="Сок"/>
    <n v="268.6034482758621"/>
    <n v="-0.5941973169009565"/>
    <s v="Фруктовый сад"/>
    <n v="281.96875"/>
    <d v="2022-07-20T00:00:00"/>
    <x v="92"/>
  </r>
  <r>
    <n v="97"/>
    <n v="364"/>
    <n v="323"/>
    <n v="2"/>
    <n v="3230"/>
    <x v="91"/>
    <x v="17"/>
    <n v="313"/>
    <s v="Сахар"/>
    <n v="252.7627118644068"/>
    <n v="0.2778783611614029"/>
    <s v="Русский сахар"/>
    <n v="293.4117647058824"/>
    <d v="2022-12-01T00:00:00"/>
    <x v="93"/>
  </r>
  <r>
    <n v="98"/>
    <n v="499"/>
    <n v="96"/>
    <n v="1"/>
    <n v="480"/>
    <x v="92"/>
    <x v="5"/>
    <n v="239"/>
    <s v="Печенье"/>
    <n v="283.468085106383"/>
    <n v="-0.6613375365908579"/>
    <s v="Посиделкино"/>
    <n v="321.6363636363636"/>
    <d v="2022-07-25T00:00:00"/>
    <x v="94"/>
  </r>
  <r>
    <n v="99"/>
    <n v="202"/>
    <n v="422"/>
    <n v="2"/>
    <n v="4220"/>
    <x v="93"/>
    <x v="5"/>
    <n v="301"/>
    <s v="Овощи"/>
    <n v="250.4878048780488"/>
    <n v="0.6847127555988315"/>
    <s v="Овощной ряд"/>
    <n v="303.8235294117647"/>
    <d v="2022-06-02T00:00:00"/>
    <x v="95"/>
  </r>
  <r>
    <n v="100"/>
    <n v="244"/>
    <n v="57"/>
    <n v="3"/>
    <n v="855"/>
    <x v="94"/>
    <x v="18"/>
    <n v="359"/>
    <s v="Мясо"/>
    <n v="271.7454545454545"/>
    <n v="-0.7902448815736652"/>
    <s v="Сава"/>
    <n v="212.8125"/>
    <d v="2022-01-23T00:00:00"/>
    <x v="96"/>
  </r>
  <r>
    <n v="101"/>
    <n v="363"/>
    <n v="414"/>
    <n v="4"/>
    <n v="8280"/>
    <x v="95"/>
    <x v="17"/>
    <n v="474"/>
    <s v="Хлеб"/>
    <n v="300.3181818181818"/>
    <n v="0.378537914333283"/>
    <s v="Дарница"/>
    <n v="264"/>
    <d v="2022-02-13T00:00:00"/>
    <x v="97"/>
  </r>
  <r>
    <n v="102"/>
    <n v="212"/>
    <n v="320"/>
    <n v="5"/>
    <n v="8000"/>
    <x v="96"/>
    <x v="2"/>
    <n v="111"/>
    <s v="Чипсы"/>
    <n v="273.7254901960785"/>
    <n v="0.1690544412607449"/>
    <s v="Lay's"/>
    <n v="320.5714285714286"/>
    <d v="2022-08-31T00:00:00"/>
    <x v="98"/>
  </r>
  <r>
    <n v="103"/>
    <n v="434"/>
    <n v="272"/>
    <n v="2"/>
    <n v="2720"/>
    <x v="25"/>
    <x v="5"/>
    <n v="126"/>
    <s v="Сыр"/>
    <n v="262.6349206349207"/>
    <n v="0.03565816511543574"/>
    <s v="Сырная долина"/>
    <n v="271"/>
    <d v="2022-09-18T00:00:00"/>
    <x v="99"/>
  </r>
  <r>
    <n v="104"/>
    <n v="305"/>
    <n v="419"/>
    <n v="4"/>
    <n v="8380"/>
    <x v="97"/>
    <x v="19"/>
    <n v="356"/>
    <s v="Печенье"/>
    <n v="283.468085106383"/>
    <n v="0.4781205434211513"/>
    <s v="Посиделкино"/>
    <n v="321.6363636363636"/>
    <d v="2022-01-09T00:00:00"/>
    <x v="100"/>
  </r>
  <r>
    <n v="105"/>
    <n v="37"/>
    <n v="478"/>
    <n v="4"/>
    <n v="9560"/>
    <x v="98"/>
    <x v="4"/>
    <n v="166"/>
    <s v="Соль"/>
    <n v="264.8679245283019"/>
    <n v="0.8046730303462031"/>
    <s v="Илецкая"/>
    <n v="238.1666666666667"/>
    <d v="2022-08-23T00:00:00"/>
    <x v="101"/>
  </r>
  <r>
    <n v="106"/>
    <n v="242"/>
    <n v="333"/>
    <n v="3"/>
    <n v="4995"/>
    <x v="64"/>
    <x v="2"/>
    <n v="162"/>
    <s v="Овощи"/>
    <n v="250.4878048780488"/>
    <n v="0.3294060370009737"/>
    <s v="Овощной ряд"/>
    <n v="303.8235294117647"/>
    <d v="2022-03-19T00:00:00"/>
    <x v="102"/>
  </r>
  <r>
    <n v="107"/>
    <n v="332"/>
    <n v="327"/>
    <n v="2"/>
    <n v="3270"/>
    <x v="99"/>
    <x v="11"/>
    <n v="459"/>
    <s v="Чай"/>
    <n v="271.1818181818182"/>
    <n v="0.2058330539725108"/>
    <s v="Тесс"/>
    <n v="281.75"/>
    <d v="2022-07-01T00:00:00"/>
    <x v="99"/>
  </r>
  <r>
    <n v="108"/>
    <n v="452"/>
    <n v="89"/>
    <n v="3"/>
    <n v="1335"/>
    <x v="100"/>
    <x v="14"/>
    <n v="211"/>
    <s v="Фрукты"/>
    <n v="274.1627906976744"/>
    <n v="-0.6753753499024515"/>
    <s v="Экзотик"/>
    <n v="253.6875"/>
    <d v="2022-03-01T00:00:00"/>
    <x v="103"/>
  </r>
  <r>
    <n v="109"/>
    <n v="452"/>
    <n v="78"/>
    <n v="3"/>
    <n v="1170"/>
    <x v="101"/>
    <x v="2"/>
    <n v="132"/>
    <s v="Фрукты"/>
    <n v="274.1627906976744"/>
    <n v="-0.715497497667317"/>
    <s v="Экзотик"/>
    <n v="253.6875"/>
    <d v="2022-02-09T00:00:00"/>
    <x v="104"/>
  </r>
  <r>
    <n v="110"/>
    <n v="132"/>
    <n v="278"/>
    <n v="3"/>
    <n v="4170"/>
    <x v="102"/>
    <x v="3"/>
    <n v="236"/>
    <s v="Рыба"/>
    <n v="258.5128205128205"/>
    <n v="0.07538186867684993"/>
    <s v="Меридиан"/>
    <n v="260.6470588235294"/>
    <d v="2022-09-16T00:00:00"/>
    <x v="105"/>
  </r>
  <r>
    <n v="111"/>
    <n v="457"/>
    <n v="211"/>
    <n v="4"/>
    <n v="4220"/>
    <x v="103"/>
    <x v="9"/>
    <n v="333"/>
    <s v="Сок"/>
    <n v="268.6034482758621"/>
    <n v="-0.2144553565697414"/>
    <s v="Rich"/>
    <n v="272.25"/>
    <d v="2022-10-23T00:00:00"/>
    <x v="106"/>
  </r>
  <r>
    <n v="112"/>
    <n v="250"/>
    <n v="97"/>
    <n v="5"/>
    <n v="2425"/>
    <x v="55"/>
    <x v="19"/>
    <n v="298"/>
    <s v="Фрукты"/>
    <n v="274.1627906976744"/>
    <n v="-0.6461956060734584"/>
    <s v="Фрукты-Ягоды"/>
    <n v="280.6666666666667"/>
    <d v="2022-09-17T00:00:00"/>
    <x v="107"/>
  </r>
  <r>
    <n v="113"/>
    <n v="195"/>
    <n v="240"/>
    <n v="2"/>
    <n v="2400"/>
    <x v="104"/>
    <x v="6"/>
    <n v="273"/>
    <s v="Хлеб"/>
    <n v="300.3181818181818"/>
    <n v="-0.2008475858937491"/>
    <s v="Каравай"/>
    <n v="331.1666666666667"/>
    <d v="2022-02-07T00:00:00"/>
    <x v="108"/>
  </r>
  <r>
    <n v="114"/>
    <n v="186"/>
    <n v="244"/>
    <n v="1"/>
    <n v="1220"/>
    <x v="105"/>
    <x v="9"/>
    <n v="321"/>
    <s v="Сыр"/>
    <n v="262.6349206349207"/>
    <n v="-0.07095370482291807"/>
    <s v="President"/>
    <n v="238.7222222222222"/>
    <d v="2022-07-14T00:00:00"/>
    <x v="78"/>
  </r>
  <r>
    <n v="115"/>
    <n v="490"/>
    <n v="219"/>
    <n v="1"/>
    <n v="1095"/>
    <x v="106"/>
    <x v="12"/>
    <n v="119"/>
    <s v="Сыр"/>
    <n v="262.6349206349207"/>
    <n v="-0.1661428744107338"/>
    <s v="Сырная долина"/>
    <n v="271"/>
    <d v="2022-05-09T00:00:00"/>
    <x v="109"/>
  </r>
  <r>
    <n v="116"/>
    <n v="72"/>
    <n v="162"/>
    <n v="1"/>
    <n v="810"/>
    <x v="107"/>
    <x v="9"/>
    <n v="472"/>
    <s v="Конфеты"/>
    <n v="267.8548387096774"/>
    <n v="-0.3951947973746011"/>
    <s v="Бабаевский"/>
    <n v="250.2592592592593"/>
    <d v="2022-12-06T00:00:00"/>
    <x v="110"/>
  </r>
  <r>
    <n v="117"/>
    <n v="430"/>
    <n v="119"/>
    <n v="3"/>
    <n v="1785"/>
    <x v="108"/>
    <x v="16"/>
    <n v="396"/>
    <s v="Чай"/>
    <n v="271.1818181818182"/>
    <n v="-0.5611800201139792"/>
    <s v="Ахмад"/>
    <n v="243.3"/>
    <d v="2022-11-06T00:00:00"/>
    <x v="111"/>
  </r>
  <r>
    <n v="118"/>
    <n v="223"/>
    <n v="174"/>
    <n v="2"/>
    <n v="1740"/>
    <x v="109"/>
    <x v="6"/>
    <n v="269"/>
    <s v="Чай"/>
    <n v="271.1818181818182"/>
    <n v="-0.3583640630238015"/>
    <s v="Greenfield"/>
    <n v="291.4545454545454"/>
    <d v="2022-06-08T00:00:00"/>
    <x v="112"/>
  </r>
  <r>
    <n v="119"/>
    <n v="164"/>
    <n v="229"/>
    <n v="3"/>
    <n v="3435"/>
    <x v="110"/>
    <x v="14"/>
    <n v="16"/>
    <s v="Молоко"/>
    <n v="294.952380952381"/>
    <n v="-0.2236034872457217"/>
    <s v="Беллакт"/>
    <n v="322.5454545454546"/>
    <d v="2022-06-01T00:00:00"/>
    <x v="113"/>
  </r>
  <r>
    <n v="120"/>
    <n v="223"/>
    <n v="411"/>
    <n v="5"/>
    <n v="10275"/>
    <x v="20"/>
    <x v="15"/>
    <n v="281"/>
    <s v="Чай"/>
    <n v="271.1818181818182"/>
    <n v="0.5155883338920551"/>
    <s v="Greenfield"/>
    <n v="291.4545454545454"/>
    <d v="2022-05-30T00:00:00"/>
    <x v="114"/>
  </r>
  <r>
    <n v="121"/>
    <n v="244"/>
    <n v="245"/>
    <n v="4"/>
    <n v="4900"/>
    <x v="111"/>
    <x v="17"/>
    <n v="149"/>
    <s v="Мясо"/>
    <n v="271.7454545454545"/>
    <n v="-0.09842098220259599"/>
    <s v="Сава"/>
    <n v="212.8125"/>
    <d v="2022-11-17T00:00:00"/>
    <x v="115"/>
  </r>
  <r>
    <n v="122"/>
    <n v="393"/>
    <n v="113"/>
    <n v="5"/>
    <n v="2825"/>
    <x v="112"/>
    <x v="11"/>
    <n v="71"/>
    <s v="Рыба"/>
    <n v="258.5128205128205"/>
    <n v="-0.5628843483435826"/>
    <s v="Русское море"/>
    <n v="292.6666666666667"/>
    <d v="2022-07-20T00:00:00"/>
    <x v="116"/>
  </r>
  <r>
    <n v="123"/>
    <n v="166"/>
    <n v="73"/>
    <n v="4"/>
    <n v="1460"/>
    <x v="72"/>
    <x v="16"/>
    <n v="126"/>
    <s v="Сок"/>
    <n v="268.6034482758621"/>
    <n v="-0.728223891135503"/>
    <s v="Добрый"/>
    <n v="242.8181818181818"/>
    <d v="2022-09-18T00:00:00"/>
    <x v="117"/>
  </r>
  <r>
    <n v="124"/>
    <n v="249"/>
    <n v="368"/>
    <n v="2"/>
    <n v="3680"/>
    <x v="113"/>
    <x v="14"/>
    <n v="380"/>
    <s v="Чай"/>
    <n v="271.1818181818182"/>
    <n v="0.3570231310760978"/>
    <s v="Lipton"/>
    <n v="260.1578947368421"/>
    <d v="2022-01-02T00:00:00"/>
    <x v="118"/>
  </r>
  <r>
    <n v="125"/>
    <n v="83"/>
    <n v="351"/>
    <n v="1"/>
    <n v="1755"/>
    <x v="114"/>
    <x v="7"/>
    <n v="11"/>
    <s v="Сок"/>
    <n v="268.6034482758621"/>
    <n v="0.3067590987868283"/>
    <s v="Сады Придонья"/>
    <n v="254.1818181818182"/>
    <d v="2022-05-09T00:00:00"/>
    <x v="116"/>
  </r>
  <r>
    <n v="126"/>
    <n v="242"/>
    <n v="221"/>
    <n v="5"/>
    <n v="5525"/>
    <x v="115"/>
    <x v="12"/>
    <n v="114"/>
    <s v="Овощи"/>
    <n v="250.4878048780488"/>
    <n v="-0.1177215189873418"/>
    <s v="Овощной ряд"/>
    <n v="303.8235294117647"/>
    <d v="2022-11-24T00:00:00"/>
    <x v="119"/>
  </r>
  <r>
    <n v="127"/>
    <n v="281"/>
    <n v="442"/>
    <n v="5"/>
    <n v="11050"/>
    <x v="116"/>
    <x v="2"/>
    <n v="381"/>
    <s v="Чай"/>
    <n v="271.1818181818182"/>
    <n v="0.6299027824337915"/>
    <s v="Lipton"/>
    <n v="260.1578947368421"/>
    <d v="2022-06-02T00:00:00"/>
    <x v="120"/>
  </r>
  <r>
    <n v="128"/>
    <n v="236"/>
    <n v="465"/>
    <n v="1"/>
    <n v="2325"/>
    <x v="105"/>
    <x v="18"/>
    <n v="342"/>
    <s v="Печенье"/>
    <n v="283.468085106383"/>
    <n v="0.6403963071380319"/>
    <s v="Посиделкино"/>
    <n v="321.6363636363636"/>
    <d v="2022-01-09T00:00:00"/>
    <x v="121"/>
  </r>
  <r>
    <n v="129"/>
    <n v="379"/>
    <n v="380"/>
    <n v="1"/>
    <n v="1900"/>
    <x v="117"/>
    <x v="18"/>
    <n v="276"/>
    <s v="Йогурт"/>
    <n v="263.2542372881356"/>
    <n v="0.4434715426216844"/>
    <s v="Активиа"/>
    <n v="293.6666666666667"/>
    <d v="2022-03-12T00:00:00"/>
    <x v="122"/>
  </r>
  <r>
    <n v="130"/>
    <n v="37"/>
    <n v="313"/>
    <n v="1"/>
    <n v="1565"/>
    <x v="118"/>
    <x v="8"/>
    <n v="293"/>
    <s v="Соль"/>
    <n v="264.8679245283019"/>
    <n v="0.1817210428836016"/>
    <s v="Илецкая"/>
    <n v="238.1666666666667"/>
    <d v="2022-01-12T00:00:00"/>
    <x v="123"/>
  </r>
  <r>
    <n v="131"/>
    <n v="431"/>
    <n v="141"/>
    <n v="5"/>
    <n v="3525"/>
    <x v="119"/>
    <x v="10"/>
    <n v="386"/>
    <s v="Овощи"/>
    <n v="250.4878048780488"/>
    <n v="-0.4370983446932815"/>
    <s v="Гавриш"/>
    <n v="247.6666666666667"/>
    <d v="2022-06-22T00:00:00"/>
    <x v="124"/>
  </r>
  <r>
    <n v="132"/>
    <n v="237"/>
    <n v="348"/>
    <n v="2"/>
    <n v="3480"/>
    <x v="120"/>
    <x v="1"/>
    <n v="362"/>
    <s v="Конфеты"/>
    <n v="267.8548387096774"/>
    <n v="0.2992111760101162"/>
    <s v="Рот Фронт"/>
    <n v="288.2380952380952"/>
    <d v="2022-12-21T00:00:00"/>
    <x v="77"/>
  </r>
  <r>
    <n v="133"/>
    <n v="452"/>
    <n v="349"/>
    <n v="1"/>
    <n v="1745"/>
    <x v="67"/>
    <x v="3"/>
    <n v="283"/>
    <s v="Фрукты"/>
    <n v="274.1627906976744"/>
    <n v="0.2729663245398253"/>
    <s v="Экзотик"/>
    <n v="253.6875"/>
    <d v="2022-11-24T00:00:00"/>
    <x v="125"/>
  </r>
  <r>
    <n v="134"/>
    <n v="382"/>
    <n v="379"/>
    <n v="5"/>
    <n v="9475"/>
    <x v="121"/>
    <x v="8"/>
    <n v="388"/>
    <s v="Овощи"/>
    <n v="250.4878048780488"/>
    <n v="0.513047711781889"/>
    <s v="Овощной ряд"/>
    <n v="303.8235294117647"/>
    <d v="2022-01-20T00:00:00"/>
    <x v="126"/>
  </r>
  <r>
    <n v="135"/>
    <n v="452"/>
    <n v="448"/>
    <n v="4"/>
    <n v="8960"/>
    <x v="122"/>
    <x v="18"/>
    <n v="437"/>
    <s v="Фрукты"/>
    <n v="274.1627906976744"/>
    <n v="0.6340656544236152"/>
    <s v="Экзотик"/>
    <n v="253.6875"/>
    <d v="2022-01-15T00:00:00"/>
    <x v="127"/>
  </r>
  <r>
    <n v="136"/>
    <n v="463"/>
    <n v="173"/>
    <n v="2"/>
    <n v="1730"/>
    <x v="123"/>
    <x v="14"/>
    <n v="450"/>
    <s v="Кофе"/>
    <n v="249.0238095238095"/>
    <n v="-0.3052873123625586"/>
    <s v="Черная Карта"/>
    <n v="222.2"/>
    <d v="2022-02-27T00:00:00"/>
    <x v="128"/>
  </r>
  <r>
    <n v="137"/>
    <n v="494"/>
    <n v="304"/>
    <n v="3"/>
    <n v="4560"/>
    <x v="124"/>
    <x v="6"/>
    <n v="136"/>
    <s v="Сыр"/>
    <n v="262.6349206349207"/>
    <n v="0.1575003021878398"/>
    <s v="Сырная долина"/>
    <n v="271"/>
    <d v="2022-10-26T00:00:00"/>
    <x v="129"/>
  </r>
  <r>
    <n v="138"/>
    <n v="394"/>
    <n v="493"/>
    <n v="3"/>
    <n v="7395"/>
    <x v="9"/>
    <x v="4"/>
    <n v="61"/>
    <s v="Кофе"/>
    <n v="249.0238095238095"/>
    <n v="0.9797303757529401"/>
    <s v="Черная Карта"/>
    <n v="222.2"/>
    <d v="2022-07-27T00:00:00"/>
    <x v="66"/>
  </r>
  <r>
    <n v="139"/>
    <n v="380"/>
    <n v="344"/>
    <n v="5"/>
    <n v="8600"/>
    <x v="81"/>
    <x v="4"/>
    <n v="364"/>
    <s v="Конфеты"/>
    <n v="267.8548387096774"/>
    <n v="0.2842777142168964"/>
    <s v="Бабаевский"/>
    <n v="250.2592592592593"/>
    <d v="2022-11-18T00:00:00"/>
    <x v="130"/>
  </r>
  <r>
    <n v="140"/>
    <n v="449"/>
    <n v="470"/>
    <n v="4"/>
    <n v="9400"/>
    <x v="125"/>
    <x v="10"/>
    <n v="496"/>
    <s v="Мясо"/>
    <n v="271.7454545454545"/>
    <n v="0.729559748427673"/>
    <s v="Агрокомплекс"/>
    <n v="311.2"/>
    <d v="2022-11-02T00:00:00"/>
    <x v="131"/>
  </r>
  <r>
    <n v="141"/>
    <n v="309"/>
    <n v="498"/>
    <n v="1"/>
    <n v="2490"/>
    <x v="126"/>
    <x v="10"/>
    <n v="464"/>
    <s v="Конфеты"/>
    <n v="267.8548387096774"/>
    <n v="0.8592159932558558"/>
    <s v="Рот Фронт"/>
    <n v="288.2380952380952"/>
    <d v="2022-09-23T00:00:00"/>
    <x v="132"/>
  </r>
  <r>
    <n v="142"/>
    <n v="112"/>
    <n v="351"/>
    <n v="3"/>
    <n v="5265"/>
    <x v="27"/>
    <x v="10"/>
    <n v="419"/>
    <s v="Молоко"/>
    <n v="294.952380952381"/>
    <n v="0.1900226025185663"/>
    <s v="Беллакт"/>
    <n v="322.5454545454546"/>
    <d v="2022-11-04T00:00:00"/>
    <x v="133"/>
  </r>
  <r>
    <n v="143"/>
    <n v="81"/>
    <n v="116"/>
    <n v="1"/>
    <n v="580"/>
    <x v="53"/>
    <x v="19"/>
    <n v="247"/>
    <s v="Чай"/>
    <n v="271.1818181818182"/>
    <n v="-0.5722427086825344"/>
    <s v="Тесс"/>
    <n v="281.75"/>
    <d v="2022-07-20T00:00:00"/>
    <x v="134"/>
  </r>
  <r>
    <n v="144"/>
    <n v="4"/>
    <n v="314"/>
    <n v="4"/>
    <n v="6280"/>
    <x v="127"/>
    <x v="6"/>
    <n v="380"/>
    <s v="Рис"/>
    <n v="258.375"/>
    <n v="0.2152878567972907"/>
    <s v="Белый Злат"/>
    <n v="269.7058823529412"/>
    <d v="2022-01-02T00:00:00"/>
    <x v="135"/>
  </r>
  <r>
    <n v="145"/>
    <n v="209"/>
    <n v="284"/>
    <n v="5"/>
    <n v="7100"/>
    <x v="128"/>
    <x v="4"/>
    <n v="75"/>
    <s v="Хлеб"/>
    <n v="300.3181818181818"/>
    <n v="-0.05433630997426975"/>
    <s v="Русский Хлеб"/>
    <n v="316.6"/>
    <d v="2022-08-23T00:00:00"/>
    <x v="136"/>
  </r>
  <r>
    <n v="146"/>
    <n v="156"/>
    <n v="332"/>
    <n v="1"/>
    <n v="1660"/>
    <x v="129"/>
    <x v="9"/>
    <n v="356"/>
    <s v="Фрукты"/>
    <n v="274.1627906976744"/>
    <n v="0.2109593689032148"/>
    <s v="Фрукты-Ягоды"/>
    <n v="280.6666666666667"/>
    <d v="2022-01-09T00:00:00"/>
    <x v="133"/>
  </r>
  <r>
    <n v="147"/>
    <n v="441"/>
    <n v="239"/>
    <n v="2"/>
    <n v="2390"/>
    <x v="130"/>
    <x v="16"/>
    <n v="487"/>
    <s v="Чай"/>
    <n v="271.1818181818182"/>
    <n v="-0.1186724773717734"/>
    <s v="Lipton"/>
    <n v="260.1578947368421"/>
    <d v="2022-09-11T00:00:00"/>
    <x v="137"/>
  </r>
  <r>
    <n v="148"/>
    <n v="180"/>
    <n v="86"/>
    <n v="4"/>
    <n v="1720"/>
    <x v="24"/>
    <x v="9"/>
    <n v="73"/>
    <s v="Чипсы"/>
    <n v="273.7254901960785"/>
    <n v="-0.6858166189111747"/>
    <s v="Русская картошка"/>
    <n v="241.8333333333333"/>
    <d v="2022-04-14T00:00:00"/>
    <x v="68"/>
  </r>
  <r>
    <n v="149"/>
    <n v="438"/>
    <n v="154"/>
    <n v="4"/>
    <n v="3080"/>
    <x v="131"/>
    <x v="4"/>
    <n v="139"/>
    <s v="Кофе"/>
    <n v="249.0238095238095"/>
    <n v="-0.3815852375944163"/>
    <s v="Nescafe"/>
    <n v="256.9"/>
    <d v="2022-03-28T00:00:00"/>
    <x v="138"/>
  </r>
  <r>
    <n v="150"/>
    <n v="232"/>
    <n v="109"/>
    <n v="4"/>
    <n v="2180"/>
    <x v="44"/>
    <x v="12"/>
    <n v="407"/>
    <s v="Молоко"/>
    <n v="294.952380952381"/>
    <n v="-0.6304488214401034"/>
    <s v="Простоквашино"/>
    <n v="318.8181818181818"/>
    <d v="2022-03-01T00:00:00"/>
    <x v="139"/>
  </r>
  <r>
    <n v="151"/>
    <n v="206"/>
    <n v="73"/>
    <n v="5"/>
    <n v="1825"/>
    <x v="132"/>
    <x v="2"/>
    <n v="115"/>
    <s v="Молоко"/>
    <n v="294.952380952381"/>
    <n v="-0.7525024216984179"/>
    <s v="Домик в деревне"/>
    <n v="274.7777777777778"/>
    <d v="2022-09-28T00:00:00"/>
    <x v="140"/>
  </r>
  <r>
    <n v="152"/>
    <n v="295"/>
    <n v="230"/>
    <n v="4"/>
    <n v="4600"/>
    <x v="133"/>
    <x v="4"/>
    <n v="258"/>
    <s v="Печенье"/>
    <n v="283.468085106383"/>
    <n v="-0.1886211814155971"/>
    <s v="Белогорье"/>
    <n v="249.5"/>
    <d v="2022-06-05T00:00:00"/>
    <x v="141"/>
  </r>
  <r>
    <n v="153"/>
    <n v="204"/>
    <n v="88"/>
    <n v="4"/>
    <n v="1760"/>
    <x v="133"/>
    <x v="16"/>
    <n v="349"/>
    <s v="Печенье"/>
    <n v="283.468085106383"/>
    <n v="-0.6895594085416198"/>
    <s v="Юбилейное"/>
    <n v="232.4444444444445"/>
    <d v="2022-04-22T00:00:00"/>
    <x v="142"/>
  </r>
  <r>
    <n v="154"/>
    <n v="399"/>
    <n v="231"/>
    <n v="2"/>
    <n v="2310"/>
    <x v="89"/>
    <x v="15"/>
    <n v="325"/>
    <s v="Хлеб"/>
    <n v="300.3181818181818"/>
    <n v="-0.2308158014227335"/>
    <s v="Хлебный Дом"/>
    <n v="281.7333333333333"/>
    <d v="2022-11-10T00:00:00"/>
    <x v="143"/>
  </r>
  <r>
    <n v="155"/>
    <n v="221"/>
    <n v="477"/>
    <n v="4"/>
    <n v="9540"/>
    <x v="134"/>
    <x v="7"/>
    <n v="276"/>
    <s v="Чипсы"/>
    <n v="273.7254901960785"/>
    <n v="0.7426217765042979"/>
    <s v="Pringles"/>
    <n v="280.2380952380952"/>
    <d v="2022-03-12T00:00:00"/>
    <x v="144"/>
  </r>
  <r>
    <n v="156"/>
    <n v="333"/>
    <n v="74"/>
    <n v="2"/>
    <n v="740"/>
    <x v="135"/>
    <x v="8"/>
    <n v="328"/>
    <s v="Рыба"/>
    <n v="258.5128205128205"/>
    <n v="-0.7137472723665939"/>
    <s v="Санта Бремор"/>
    <n v="216.4"/>
    <d v="2022-01-07T00:00:00"/>
    <x v="145"/>
  </r>
  <r>
    <n v="157"/>
    <n v="498"/>
    <n v="430"/>
    <n v="5"/>
    <n v="10750"/>
    <x v="136"/>
    <x v="17"/>
    <n v="250"/>
    <s v="Молоко"/>
    <n v="294.952380952381"/>
    <n v="0.4578624475298676"/>
    <s v="Домик в деревне"/>
    <n v="274.7777777777778"/>
    <d v="2022-10-22T00:00:00"/>
    <x v="146"/>
  </r>
  <r>
    <n v="158"/>
    <n v="476"/>
    <n v="286"/>
    <n v="2"/>
    <n v="2860"/>
    <x v="62"/>
    <x v="11"/>
    <n v="397"/>
    <s v="Рыба"/>
    <n v="258.5128205128205"/>
    <n v="0.1063281095020829"/>
    <s v="Балтийский берег"/>
    <n v="289.8888888888889"/>
    <d v="2022-06-16T00:00:00"/>
    <x v="75"/>
  </r>
  <r>
    <n v="159"/>
    <n v="126"/>
    <n v="273"/>
    <n v="3"/>
    <n v="4095"/>
    <x v="137"/>
    <x v="8"/>
    <n v="153"/>
    <s v="Сахар"/>
    <n v="252.7627118644068"/>
    <n v="0.08006437336551997"/>
    <s v="Русский сахар"/>
    <n v="293.4117647058824"/>
    <d v="2022-08-29T00:00:00"/>
    <x v="147"/>
  </r>
  <r>
    <n v="160"/>
    <n v="255"/>
    <n v="279"/>
    <n v="3"/>
    <n v="4185"/>
    <x v="138"/>
    <x v="2"/>
    <n v="286"/>
    <s v="Кофе"/>
    <n v="249.0238095238095"/>
    <n v="0.1203747968257003"/>
    <s v="Nescafe"/>
    <n v="256.9"/>
    <d v="2022-01-02T00:00:00"/>
    <x v="148"/>
  </r>
  <r>
    <n v="161"/>
    <n v="138"/>
    <n v="210"/>
    <n v="2"/>
    <n v="2100"/>
    <x v="139"/>
    <x v="5"/>
    <n v="14"/>
    <s v="Сыр"/>
    <n v="262.6349206349207"/>
    <n v="-0.2004109754623474"/>
    <s v="Сырная долина"/>
    <n v="271"/>
    <d v="2022-08-02T00:00:00"/>
    <x v="45"/>
  </r>
  <r>
    <n v="162"/>
    <n v="403"/>
    <n v="229"/>
    <n v="1"/>
    <n v="1145"/>
    <x v="140"/>
    <x v="9"/>
    <n v="32"/>
    <s v="Чай"/>
    <n v="271.1818181818182"/>
    <n v="-0.1555481059336239"/>
    <s v="Ахмад"/>
    <n v="243.3"/>
    <d v="2022-12-27T00:00:00"/>
    <x v="149"/>
  </r>
  <r>
    <n v="163"/>
    <n v="280"/>
    <n v="192"/>
    <n v="2"/>
    <n v="1920"/>
    <x v="141"/>
    <x v="0"/>
    <n v="49"/>
    <s v="Сыр"/>
    <n v="262.6349206349207"/>
    <n v="-0.2689471775655748"/>
    <s v="President"/>
    <n v="238.7222222222222"/>
    <d v="2022-04-21T00:00:00"/>
    <x v="6"/>
  </r>
  <r>
    <n v="164"/>
    <n v="356"/>
    <n v="373"/>
    <n v="1"/>
    <n v="1865"/>
    <x v="142"/>
    <x v="2"/>
    <n v="115"/>
    <s v="Печенье"/>
    <n v="283.468085106383"/>
    <n v="0.3158447797042707"/>
    <s v="Посиделкино"/>
    <n v="321.6363636363636"/>
    <d v="2022-09-28T00:00:00"/>
    <x v="48"/>
  </r>
  <r>
    <n v="165"/>
    <n v="41"/>
    <n v="315"/>
    <n v="3"/>
    <n v="4725"/>
    <x v="143"/>
    <x v="13"/>
    <n v="420"/>
    <s v="Рис"/>
    <n v="258.375"/>
    <n v="0.2191582002902757"/>
    <s v="Агро-Альянс"/>
    <n v="317.8571428571428"/>
    <d v="2022-05-17T00:00:00"/>
    <x v="150"/>
  </r>
  <r>
    <n v="166"/>
    <n v="379"/>
    <n v="321"/>
    <n v="5"/>
    <n v="8025"/>
    <x v="9"/>
    <x v="9"/>
    <n v="47"/>
    <s v="Йогурт"/>
    <n v="263.2542372881356"/>
    <n v="0.2193535925830543"/>
    <s v="Активиа"/>
    <n v="293.6666666666667"/>
    <d v="2022-05-12T00:00:00"/>
    <x v="12"/>
  </r>
  <r>
    <n v="167"/>
    <n v="282"/>
    <n v="189"/>
    <n v="2"/>
    <n v="1890"/>
    <x v="19"/>
    <x v="9"/>
    <n v="202"/>
    <s v="Рис"/>
    <n v="258.375"/>
    <n v="-0.2685050798258345"/>
    <s v="Агро-Альянс"/>
    <n v="317.8571428571428"/>
    <d v="2022-07-24T00:00:00"/>
    <x v="151"/>
  </r>
  <r>
    <n v="168"/>
    <n v="459"/>
    <n v="405"/>
    <n v="3"/>
    <n v="6075"/>
    <x v="144"/>
    <x v="2"/>
    <n v="37"/>
    <s v="Крупа"/>
    <n v="255.1162790697674"/>
    <n v="0.5875113947128532"/>
    <s v="Националь"/>
    <n v="274.2857142857143"/>
    <d v="2022-06-16T00:00:00"/>
    <x v="152"/>
  </r>
  <r>
    <n v="169"/>
    <n v="402"/>
    <n v="426"/>
    <n v="2"/>
    <n v="4260"/>
    <x v="26"/>
    <x v="17"/>
    <n v="366"/>
    <s v="Хлеб"/>
    <n v="300.3181818181818"/>
    <n v="0.4184955350385955"/>
    <s v="Каравай"/>
    <n v="331.1666666666667"/>
    <d v="2022-09-23T00:00:00"/>
    <x v="153"/>
  </r>
  <r>
    <n v="170"/>
    <n v="320"/>
    <n v="271"/>
    <n v="1"/>
    <n v="1355"/>
    <x v="145"/>
    <x v="19"/>
    <n v="434"/>
    <s v="Конфеты"/>
    <n v="267.8548387096774"/>
    <n v="0.01174203649063643"/>
    <s v="Бабаевский"/>
    <n v="250.2592592592593"/>
    <d v="2022-06-18T00:00:00"/>
    <x v="154"/>
  </r>
  <r>
    <n v="171"/>
    <n v="19"/>
    <n v="96"/>
    <n v="4"/>
    <n v="1920"/>
    <x v="146"/>
    <x v="1"/>
    <n v="172"/>
    <s v="Мясо"/>
    <n v="271.7454545454545"/>
    <n v="-0.6467282215977519"/>
    <s v="Снежана"/>
    <n v="272.3529411764706"/>
    <d v="2022-06-25T00:00:00"/>
    <x v="155"/>
  </r>
  <r>
    <n v="172"/>
    <n v="447"/>
    <n v="65"/>
    <n v="1"/>
    <n v="325"/>
    <x v="147"/>
    <x v="3"/>
    <n v="52"/>
    <s v="Йогурт"/>
    <n v="263.2542372881356"/>
    <n v="-0.7530903940252383"/>
    <s v="Эрманн"/>
    <n v="248.5"/>
    <d v="2022-12-22T00:00:00"/>
    <x v="156"/>
  </r>
  <r>
    <n v="173"/>
    <n v="406"/>
    <n v="426"/>
    <n v="1"/>
    <n v="2130"/>
    <x v="148"/>
    <x v="4"/>
    <n v="395"/>
    <s v="Сок"/>
    <n v="268.6034482758621"/>
    <n v="0.5859811284421335"/>
    <s v="Фруктовый сад"/>
    <n v="281.96875"/>
    <d v="2022-11-25T00:00:00"/>
    <x v="157"/>
  </r>
  <r>
    <n v="174"/>
    <n v="391"/>
    <n v="356"/>
    <n v="2"/>
    <n v="3560"/>
    <x v="149"/>
    <x v="4"/>
    <n v="46"/>
    <s v="Рыба"/>
    <n v="258.5128205128205"/>
    <n v="0.3771077167228725"/>
    <s v="Балтийский берег"/>
    <n v="289.8888888888889"/>
    <d v="2022-03-16T00:00:00"/>
    <x v="158"/>
  </r>
  <r>
    <n v="175"/>
    <n v="82"/>
    <n v="233"/>
    <n v="2"/>
    <n v="2330"/>
    <x v="150"/>
    <x v="16"/>
    <n v="361"/>
    <s v="Сыр"/>
    <n v="262.6349206349207"/>
    <n v="-0.1128369394415569"/>
    <s v="Hochland"/>
    <n v="168"/>
    <d v="2022-09-27T00:00:00"/>
    <x v="159"/>
  </r>
  <r>
    <n v="176"/>
    <n v="243"/>
    <n v="494"/>
    <n v="5"/>
    <n v="12350"/>
    <x v="151"/>
    <x v="19"/>
    <n v="358"/>
    <s v="Рис"/>
    <n v="258.375"/>
    <n v="0.9119496855345912"/>
    <s v="Белый Злат"/>
    <n v="269.7058823529412"/>
    <d v="2022-07-29T00:00:00"/>
    <x v="160"/>
  </r>
  <r>
    <n v="177"/>
    <n v="432"/>
    <n v="305"/>
    <n v="3"/>
    <n v="4575"/>
    <x v="152"/>
    <x v="14"/>
    <n v="44"/>
    <s v="Макароны"/>
    <n v="265.4767441860465"/>
    <n v="0.1488765275283606"/>
    <s v="Борилла"/>
    <n v="236.2758620689655"/>
    <d v="2022-05-20T00:00:00"/>
    <x v="60"/>
  </r>
  <r>
    <n v="178"/>
    <n v="159"/>
    <n v="173"/>
    <n v="4"/>
    <n v="3460"/>
    <x v="149"/>
    <x v="2"/>
    <n v="416"/>
    <s v="Крупа"/>
    <n v="255.1162790697674"/>
    <n v="-0.3218778486782133"/>
    <s v="Националь"/>
    <n v="274.2857142857143"/>
    <d v="2022-05-22T00:00:00"/>
    <x v="161"/>
  </r>
  <r>
    <n v="179"/>
    <n v="197"/>
    <n v="177"/>
    <n v="2"/>
    <n v="1770"/>
    <x v="153"/>
    <x v="15"/>
    <n v="153"/>
    <s v="Печенье"/>
    <n v="283.468085106383"/>
    <n v="-0.3755910830893944"/>
    <s v="Юбилейное"/>
    <n v="232.4444444444445"/>
    <d v="2022-08-29T00:00:00"/>
    <x v="95"/>
  </r>
  <r>
    <n v="180"/>
    <n v="110"/>
    <n v="261"/>
    <n v="1"/>
    <n v="1305"/>
    <x v="154"/>
    <x v="13"/>
    <n v="223"/>
    <s v="Макароны"/>
    <n v="265.4767441860465"/>
    <n v="-0.01686303709868164"/>
    <s v="Паста Зара"/>
    <n v="276.6756756756757"/>
    <d v="2022-11-28T00:00:00"/>
    <x v="162"/>
  </r>
  <r>
    <n v="181"/>
    <n v="288"/>
    <n v="198"/>
    <n v="5"/>
    <n v="4950"/>
    <x v="155"/>
    <x v="18"/>
    <n v="74"/>
    <s v="Сыр"/>
    <n v="262.6349206349207"/>
    <n v="-0.2461017768644991"/>
    <s v="Hochland"/>
    <n v="168"/>
    <d v="2022-10-23T00:00:00"/>
    <x v="163"/>
  </r>
  <r>
    <n v="182"/>
    <n v="7"/>
    <n v="114"/>
    <n v="3"/>
    <n v="1710"/>
    <x v="20"/>
    <x v="14"/>
    <n v="180"/>
    <s v="Сыр"/>
    <n v="262.6349206349207"/>
    <n v="-0.5659373866795601"/>
    <s v="President"/>
    <n v="238.7222222222222"/>
    <d v="2022-02-24T00:00:00"/>
    <x v="122"/>
  </r>
  <r>
    <n v="183"/>
    <n v="385"/>
    <n v="427"/>
    <n v="3"/>
    <n v="6405"/>
    <x v="92"/>
    <x v="19"/>
    <n v="359"/>
    <s v="Макароны"/>
    <n v="265.4767441860465"/>
    <n v="0.6084271385397046"/>
    <s v="Макфа"/>
    <n v="329.2727272727273"/>
    <d v="2022-01-23T00:00:00"/>
    <x v="73"/>
  </r>
  <r>
    <n v="184"/>
    <n v="493"/>
    <n v="376"/>
    <n v="1"/>
    <n v="1880"/>
    <x v="156"/>
    <x v="0"/>
    <n v="134"/>
    <s v="Овощи"/>
    <n v="250.4878048780488"/>
    <n v="0.5010710808179162"/>
    <s v="Овощной ряд"/>
    <n v="303.8235294117647"/>
    <d v="2022-07-11T00:00:00"/>
    <x v="164"/>
  </r>
  <r>
    <n v="185"/>
    <n v="158"/>
    <n v="51"/>
    <n v="2"/>
    <n v="510"/>
    <x v="154"/>
    <x v="3"/>
    <n v="159"/>
    <s v="Сахар"/>
    <n v="252.7627118644068"/>
    <n v="-0.7982297324481995"/>
    <s v="Сладов"/>
    <n v="240.2666666666667"/>
    <d v="2022-05-05T00:00:00"/>
    <x v="165"/>
  </r>
  <r>
    <n v="186"/>
    <n v="446"/>
    <n v="316"/>
    <n v="2"/>
    <n v="3160"/>
    <x v="119"/>
    <x v="8"/>
    <n v="328"/>
    <s v="Чипсы"/>
    <n v="273.7254901960785"/>
    <n v="0.1544412607449857"/>
    <s v="Lay's"/>
    <n v="320.5714285714286"/>
    <d v="2022-01-07T00:00:00"/>
    <x v="166"/>
  </r>
  <r>
    <n v="187"/>
    <n v="428"/>
    <n v="156"/>
    <n v="1"/>
    <n v="780"/>
    <x v="157"/>
    <x v="8"/>
    <n v="325"/>
    <s v="Конфеты"/>
    <n v="267.8548387096774"/>
    <n v="-0.4175949900644307"/>
    <s v="Бабаевский"/>
    <n v="250.2592592592593"/>
    <d v="2022-11-10T00:00:00"/>
    <x v="167"/>
  </r>
  <r>
    <n v="188"/>
    <n v="192"/>
    <n v="215"/>
    <n v="1"/>
    <n v="1075"/>
    <x v="158"/>
    <x v="18"/>
    <n v="106"/>
    <s v="Мясо"/>
    <n v="271.7454545454545"/>
    <n v="-0.2088184129532985"/>
    <s v="Снежана"/>
    <n v="272.3529411764706"/>
    <d v="2022-10-24T00:00:00"/>
    <x v="144"/>
  </r>
  <r>
    <n v="189"/>
    <n v="41"/>
    <n v="59"/>
    <n v="1"/>
    <n v="295"/>
    <x v="67"/>
    <x v="1"/>
    <n v="65"/>
    <s v="Рис"/>
    <n v="258.375"/>
    <n v="-0.7716497339138848"/>
    <s v="Агро-Альянс"/>
    <n v="317.8571428571428"/>
    <d v="2022-03-03T00:00:00"/>
    <x v="168"/>
  </r>
  <r>
    <n v="190"/>
    <n v="69"/>
    <n v="88"/>
    <n v="4"/>
    <n v="1760"/>
    <x v="159"/>
    <x v="4"/>
    <n v="346"/>
    <s v="Чипсы"/>
    <n v="273.7254901960785"/>
    <n v="-0.6785100286532951"/>
    <s v="Estrella"/>
    <n v="266.2727272727273"/>
    <d v="2022-03-16T00:00:00"/>
    <x v="169"/>
  </r>
  <r>
    <n v="191"/>
    <n v="270"/>
    <n v="484"/>
    <n v="4"/>
    <n v="9680"/>
    <x v="160"/>
    <x v="0"/>
    <n v="457"/>
    <s v="Соль"/>
    <n v="264.8679245283019"/>
    <n v="0.8273258298902977"/>
    <s v="Славянская"/>
    <n v="236.9166666666667"/>
    <d v="2022-02-03T00:00:00"/>
    <x v="170"/>
  </r>
  <r>
    <n v="192"/>
    <n v="345"/>
    <n v="257"/>
    <n v="1"/>
    <n v="1285"/>
    <x v="161"/>
    <x v="1"/>
    <n v="255"/>
    <s v="Конфеты"/>
    <n v="267.8548387096774"/>
    <n v="-0.04052507978563258"/>
    <s v="Рот Фронт"/>
    <n v="288.2380952380952"/>
    <d v="2022-08-20T00:00:00"/>
    <x v="171"/>
  </r>
  <r>
    <n v="193"/>
    <n v="348"/>
    <n v="497"/>
    <n v="3"/>
    <n v="7455"/>
    <x v="162"/>
    <x v="0"/>
    <n v="42"/>
    <s v="Чипсы"/>
    <n v="273.7254901960785"/>
    <n v="0.8156876790830945"/>
    <s v="Estrella"/>
    <n v="266.2727272727273"/>
    <d v="2022-08-10T00:00:00"/>
    <x v="172"/>
  </r>
  <r>
    <n v="194"/>
    <n v="102"/>
    <n v="115"/>
    <n v="2"/>
    <n v="1150"/>
    <x v="163"/>
    <x v="8"/>
    <n v="385"/>
    <s v="Печенье"/>
    <n v="283.468085106383"/>
    <n v="-0.5943105907077986"/>
    <s v="Белогорье"/>
    <n v="249.5"/>
    <d v="2022-07-11T00:00:00"/>
    <x v="173"/>
  </r>
  <r>
    <n v="195"/>
    <n v="321"/>
    <n v="368"/>
    <n v="1"/>
    <n v="1840"/>
    <x v="164"/>
    <x v="17"/>
    <n v="436"/>
    <s v="Мясо"/>
    <n v="271.7454545454545"/>
    <n v="0.3542084838752844"/>
    <s v="Сава"/>
    <n v="212.8125"/>
    <d v="2022-05-02T00:00:00"/>
    <x v="174"/>
  </r>
  <r>
    <n v="196"/>
    <n v="176"/>
    <n v="113"/>
    <n v="4"/>
    <n v="2260"/>
    <x v="165"/>
    <x v="14"/>
    <n v="175"/>
    <s v="Сахар"/>
    <n v="252.7627118644068"/>
    <n v="-0.5529403875813049"/>
    <s v="Продимекс"/>
    <n v="240.5"/>
    <d v="2022-01-04T00:00:00"/>
    <x v="175"/>
  </r>
  <r>
    <n v="197"/>
    <n v="341"/>
    <n v="194"/>
    <n v="3"/>
    <n v="2910"/>
    <x v="166"/>
    <x v="7"/>
    <n v="274"/>
    <s v="Макароны"/>
    <n v="265.4767441860465"/>
    <n v="-0.2692391923262232"/>
    <s v="Макфа"/>
    <n v="329.2727272727273"/>
    <d v="2022-02-15T00:00:00"/>
    <x v="102"/>
  </r>
  <r>
    <n v="198"/>
    <n v="473"/>
    <n v="171"/>
    <n v="4"/>
    <n v="3420"/>
    <x v="18"/>
    <x v="19"/>
    <n v="266"/>
    <s v="Хлеб"/>
    <n v="300.3181818181818"/>
    <n v="-0.4306039049492962"/>
    <s v="Хлебный Дом"/>
    <n v="281.7333333333333"/>
    <d v="2022-08-22T00:00:00"/>
    <x v="66"/>
  </r>
  <r>
    <n v="199"/>
    <n v="482"/>
    <n v="321"/>
    <n v="2"/>
    <n v="3210"/>
    <x v="92"/>
    <x v="2"/>
    <n v="481"/>
    <s v="Крупа"/>
    <n v="255.1162790697674"/>
    <n v="0.2582497721057428"/>
    <s v="Мистраль"/>
    <n v="250.3076923076923"/>
    <d v="2022-07-14T00:00:00"/>
    <x v="176"/>
  </r>
  <r>
    <n v="200"/>
    <n v="169"/>
    <n v="386"/>
    <n v="5"/>
    <n v="9650"/>
    <x v="167"/>
    <x v="10"/>
    <n v="59"/>
    <s v="Фрукты"/>
    <n v="274.1627906976744"/>
    <n v="0.4079226397489184"/>
    <s v="Фруктовый Рай"/>
    <n v="258.3076923076923"/>
    <d v="2022-07-28T00:00:00"/>
    <x v="177"/>
  </r>
  <r>
    <n v="201"/>
    <n v="397"/>
    <n v="148"/>
    <n v="1"/>
    <n v="740"/>
    <x v="168"/>
    <x v="13"/>
    <n v="47"/>
    <s v="Йогурт"/>
    <n v="263.2542372881356"/>
    <n v="-0.4378058202420808"/>
    <s v="Ростагроэкспорт"/>
    <n v="257.7826086956522"/>
    <d v="2022-05-12T00:00:00"/>
    <x v="142"/>
  </r>
  <r>
    <n v="202"/>
    <n v="436"/>
    <n v="291"/>
    <n v="2"/>
    <n v="2910"/>
    <x v="99"/>
    <x v="13"/>
    <n v="385"/>
    <s v="Овощи"/>
    <n v="250.4878048780488"/>
    <n v="0.1617332035053554"/>
    <s v="Гавриш"/>
    <n v="247.6666666666667"/>
    <d v="2022-07-11T00:00:00"/>
    <x v="178"/>
  </r>
  <r>
    <n v="203"/>
    <n v="369"/>
    <n v="74"/>
    <n v="1"/>
    <n v="370"/>
    <x v="47"/>
    <x v="10"/>
    <n v="411"/>
    <s v="Молоко"/>
    <n v="294.952380952381"/>
    <n v="-0.7491120439134646"/>
    <s v="Домик в деревне"/>
    <n v="274.7777777777778"/>
    <d v="2022-04-22T00:00:00"/>
    <x v="179"/>
  </r>
  <r>
    <n v="204"/>
    <n v="361"/>
    <n v="245"/>
    <n v="1"/>
    <n v="1225"/>
    <x v="169"/>
    <x v="16"/>
    <n v="259"/>
    <s v="Мясо"/>
    <n v="271.7454545454545"/>
    <n v="-0.09842098220259599"/>
    <s v="Сава"/>
    <n v="212.8125"/>
    <d v="2022-05-26T00:00:00"/>
    <x v="180"/>
  </r>
  <r>
    <n v="205"/>
    <n v="226"/>
    <n v="339"/>
    <n v="4"/>
    <n v="6780"/>
    <x v="170"/>
    <x v="7"/>
    <n v="337"/>
    <s v="Сыр"/>
    <n v="262.6349206349207"/>
    <n v="0.290765139610782"/>
    <s v="Карат"/>
    <n v="311.3333333333333"/>
    <d v="2022-11-10T00:00:00"/>
    <x v="181"/>
  </r>
  <r>
    <n v="206"/>
    <n v="87"/>
    <n v="487"/>
    <n v="1"/>
    <n v="2435"/>
    <x v="171"/>
    <x v="9"/>
    <n v="172"/>
    <s v="Кофе"/>
    <n v="249.0238095238095"/>
    <n v="0.9556362941007746"/>
    <s v="Jacobs"/>
    <n v="276.2105263157895"/>
    <d v="2022-06-25T00:00:00"/>
    <x v="182"/>
  </r>
  <r>
    <n v="207"/>
    <n v="376"/>
    <n v="335"/>
    <n v="5"/>
    <n v="8375"/>
    <x v="172"/>
    <x v="9"/>
    <n v="130"/>
    <s v="Конфеты"/>
    <n v="267.8548387096774"/>
    <n v="0.250677425182152"/>
    <s v="Красный Октябрь"/>
    <n v="273.625"/>
    <d v="2022-10-29T00:00:00"/>
    <x v="183"/>
  </r>
  <r>
    <n v="208"/>
    <n v="255"/>
    <n v="214"/>
    <n v="2"/>
    <n v="2140"/>
    <x v="173"/>
    <x v="4"/>
    <n v="354"/>
    <s v="Кофе"/>
    <n v="249.0238095238095"/>
    <n v="-0.1406444210727603"/>
    <s v="Nescafe"/>
    <n v="256.9"/>
    <d v="2022-09-07T00:00:00"/>
    <x v="184"/>
  </r>
  <r>
    <n v="209"/>
    <n v="111"/>
    <n v="452"/>
    <n v="4"/>
    <n v="9040"/>
    <x v="83"/>
    <x v="7"/>
    <n v="329"/>
    <s v="Сахар"/>
    <n v="252.7627118644068"/>
    <n v="0.7882384496747803"/>
    <s v="Сладов"/>
    <n v="240.2666666666667"/>
    <d v="2022-04-02T00:00:00"/>
    <x v="185"/>
  </r>
  <r>
    <n v="210"/>
    <n v="344"/>
    <n v="172"/>
    <n v="5"/>
    <n v="4300"/>
    <x v="174"/>
    <x v="10"/>
    <n v="186"/>
    <s v="Сок"/>
    <n v="268.6034482758621"/>
    <n v="-0.3596508119905001"/>
    <s v="Сады Придонья"/>
    <n v="254.1818181818182"/>
    <d v="2022-12-19T00:00:00"/>
    <x v="186"/>
  </r>
  <r>
    <n v="211"/>
    <n v="462"/>
    <n v="104"/>
    <n v="4"/>
    <n v="2080"/>
    <x v="175"/>
    <x v="12"/>
    <n v="448"/>
    <s v="Рис"/>
    <n v="258.375"/>
    <n v="-0.5974842767295597"/>
    <s v="Белый Злат"/>
    <n v="269.7058823529412"/>
    <d v="2022-07-28T00:00:00"/>
    <x v="187"/>
  </r>
  <r>
    <n v="212"/>
    <n v="279"/>
    <n v="433"/>
    <n v="4"/>
    <n v="8660"/>
    <x v="176"/>
    <x v="17"/>
    <n v="377"/>
    <s v="Крупа"/>
    <n v="255.1162790697674"/>
    <n v="0.6972652689152232"/>
    <s v="Увелка"/>
    <n v="251.9166666666667"/>
    <d v="2022-08-21T00:00:00"/>
    <x v="180"/>
  </r>
  <r>
    <n v="213"/>
    <n v="322"/>
    <n v="79"/>
    <n v="5"/>
    <n v="1975"/>
    <x v="177"/>
    <x v="5"/>
    <n v="316"/>
    <s v="Крупа"/>
    <n v="255.1162790697674"/>
    <n v="-0.6903372835004558"/>
    <s v="Увелка"/>
    <n v="251.9166666666667"/>
    <d v="2022-08-14T00:00:00"/>
    <x v="188"/>
  </r>
  <r>
    <n v="214"/>
    <n v="494"/>
    <n v="181"/>
    <n v="1"/>
    <n v="905"/>
    <x v="170"/>
    <x v="16"/>
    <n v="356"/>
    <s v="Сыр"/>
    <n v="262.6349206349207"/>
    <n v="-0.3108304121842138"/>
    <s v="Сырная долина"/>
    <n v="271"/>
    <d v="2022-01-09T00:00:00"/>
    <x v="189"/>
  </r>
  <r>
    <n v="215"/>
    <n v="317"/>
    <n v="196"/>
    <n v="3"/>
    <n v="2940"/>
    <x v="178"/>
    <x v="8"/>
    <n v="159"/>
    <s v="Сок"/>
    <n v="268.6034482758621"/>
    <n v="-0.2702997625008025"/>
    <s v="Фруктовый сад"/>
    <n v="281.96875"/>
    <d v="2022-05-05T00:00:00"/>
    <x v="190"/>
  </r>
  <r>
    <n v="216"/>
    <n v="223"/>
    <n v="174"/>
    <n v="1"/>
    <n v="870"/>
    <x v="179"/>
    <x v="2"/>
    <n v="287"/>
    <s v="Чай"/>
    <n v="271.1818181818182"/>
    <n v="-0.3583640630238015"/>
    <s v="Greenfield"/>
    <n v="291.4545454545454"/>
    <d v="2022-02-16T00:00:00"/>
    <x v="191"/>
  </r>
  <r>
    <n v="217"/>
    <n v="25"/>
    <n v="356"/>
    <n v="3"/>
    <n v="5340"/>
    <x v="180"/>
    <x v="7"/>
    <n v="322"/>
    <s v="Чипсы"/>
    <n v="273.7254901960785"/>
    <n v="0.3005730659025787"/>
    <s v="Русская картошка"/>
    <n v="241.8333333333333"/>
    <d v="2022-11-21T00:00:00"/>
    <x v="192"/>
  </r>
  <r>
    <n v="218"/>
    <n v="392"/>
    <n v="125"/>
    <n v="5"/>
    <n v="3125"/>
    <x v="181"/>
    <x v="1"/>
    <n v="62"/>
    <s v="Кофе"/>
    <n v="249.0238095238095"/>
    <n v="-0.4980399655798834"/>
    <s v="Черная Карта"/>
    <n v="222.2"/>
    <d v="2022-04-20T00:00:00"/>
    <x v="6"/>
  </r>
  <r>
    <n v="219"/>
    <n v="410"/>
    <n v="228"/>
    <n v="2"/>
    <n v="2280"/>
    <x v="182"/>
    <x v="14"/>
    <n v="295"/>
    <s v="Чипсы"/>
    <n v="273.7254901960785"/>
    <n v="-0.1670487106017192"/>
    <s v="Lay's"/>
    <n v="320.5714285714286"/>
    <d v="2022-01-27T00:00:00"/>
    <x v="193"/>
  </r>
  <r>
    <n v="220"/>
    <n v="498"/>
    <n v="472"/>
    <n v="5"/>
    <n v="11800"/>
    <x v="183"/>
    <x v="9"/>
    <n v="171"/>
    <s v="Молоко"/>
    <n v="294.952380952381"/>
    <n v="0.6002583144979012"/>
    <s v="Домик в деревне"/>
    <n v="274.7777777777778"/>
    <d v="2022-05-29T00:00:00"/>
    <x v="194"/>
  </r>
  <r>
    <n v="221"/>
    <n v="304"/>
    <n v="163"/>
    <n v="3"/>
    <n v="2445"/>
    <x v="184"/>
    <x v="6"/>
    <n v="392"/>
    <s v="Конфеты"/>
    <n v="267.8548387096774"/>
    <n v="-0.3914614319262962"/>
    <s v="Рот Фронт"/>
    <n v="288.2380952380952"/>
    <d v="2022-12-24T00:00:00"/>
    <x v="184"/>
  </r>
  <r>
    <n v="222"/>
    <n v="333"/>
    <n v="70"/>
    <n v="1"/>
    <n v="350"/>
    <x v="185"/>
    <x v="8"/>
    <n v="229"/>
    <s v="Рыба"/>
    <n v="258.5128205128205"/>
    <n v="-0.7292203927792105"/>
    <s v="Санта Бремор"/>
    <n v="216.4"/>
    <d v="2022-07-24T00:00:00"/>
    <x v="195"/>
  </r>
  <r>
    <n v="223"/>
    <n v="207"/>
    <n v="208"/>
    <n v="5"/>
    <n v="5200"/>
    <x v="111"/>
    <x v="0"/>
    <n v="253"/>
    <s v="Сахар"/>
    <n v="252.7627118644068"/>
    <n v="-0.1770938107691277"/>
    <s v="Агросахар"/>
    <n v="215.8571428571429"/>
    <d v="2022-07-08T00:00:00"/>
    <x v="129"/>
  </r>
  <r>
    <n v="224"/>
    <n v="348"/>
    <n v="417"/>
    <n v="4"/>
    <n v="8340"/>
    <x v="186"/>
    <x v="10"/>
    <n v="235"/>
    <s v="Чипсы"/>
    <n v="273.7254901960785"/>
    <n v="0.5234240687679081"/>
    <s v="Estrella"/>
    <n v="266.2727272727273"/>
    <d v="2022-03-15T00:00:00"/>
    <x v="111"/>
  </r>
  <r>
    <n v="225"/>
    <n v="4"/>
    <n v="198"/>
    <n v="5"/>
    <n v="4950"/>
    <x v="187"/>
    <x v="0"/>
    <n v="156"/>
    <s v="Рис"/>
    <n v="258.375"/>
    <n v="-0.2336719883889695"/>
    <s v="Белый Злат"/>
    <n v="269.7058823529412"/>
    <d v="2022-12-10T00:00:00"/>
    <x v="196"/>
  </r>
  <r>
    <n v="226"/>
    <n v="317"/>
    <n v="196"/>
    <n v="2"/>
    <n v="1960"/>
    <x v="188"/>
    <x v="14"/>
    <n v="327"/>
    <s v="Сок"/>
    <n v="268.6034482758621"/>
    <n v="-0.2702997625008025"/>
    <s v="Фруктовый сад"/>
    <n v="281.96875"/>
    <d v="2022-01-04T00:00:00"/>
    <x v="197"/>
  </r>
  <r>
    <n v="227"/>
    <n v="131"/>
    <n v="376"/>
    <n v="1"/>
    <n v="1880"/>
    <x v="189"/>
    <x v="9"/>
    <n v="275"/>
    <s v="Сок"/>
    <n v="268.6034482758621"/>
    <n v="0.39983310867193"/>
    <s v="Сады Придонья"/>
    <n v="254.1818181818182"/>
    <d v="2022-03-31T00:00:00"/>
    <x v="198"/>
  </r>
  <r>
    <n v="228"/>
    <n v="96"/>
    <n v="362"/>
    <n v="4"/>
    <n v="7240"/>
    <x v="48"/>
    <x v="1"/>
    <n v="330"/>
    <s v="Соль"/>
    <n v="264.8679245283019"/>
    <n v="0.3667189058270408"/>
    <s v="Салта"/>
    <n v="273.7"/>
    <d v="2022-09-11T00:00:00"/>
    <x v="199"/>
  </r>
  <r>
    <n v="229"/>
    <n v="311"/>
    <n v="345"/>
    <n v="5"/>
    <n v="8625"/>
    <x v="157"/>
    <x v="15"/>
    <n v="177"/>
    <s v="Макароны"/>
    <n v="265.4767441860465"/>
    <n v="0.2995488590074897"/>
    <s v="Паста Зара"/>
    <n v="276.6756756756757"/>
    <d v="2022-10-23T00:00:00"/>
    <x v="200"/>
  </r>
  <r>
    <n v="230"/>
    <n v="268"/>
    <n v="81"/>
    <n v="3"/>
    <n v="1215"/>
    <x v="136"/>
    <x v="17"/>
    <n v="407"/>
    <s v="Рис"/>
    <n v="258.375"/>
    <n v="-0.6865021770682148"/>
    <s v="Мистраль"/>
    <n v="181.5714285714286"/>
    <d v="2022-03-01T00:00:00"/>
    <x v="194"/>
  </r>
  <r>
    <n v="231"/>
    <n v="495"/>
    <n v="97"/>
    <n v="4"/>
    <n v="1940"/>
    <x v="190"/>
    <x v="4"/>
    <n v="181"/>
    <s v="Чай"/>
    <n v="271.1818181818182"/>
    <n v="-0.6423064029500503"/>
    <s v="Greenfield"/>
    <n v="291.4545454545454"/>
    <d v="2022-01-07T00:00:00"/>
    <x v="201"/>
  </r>
  <r>
    <n v="232"/>
    <n v="436"/>
    <n v="184"/>
    <n v="4"/>
    <n v="3680"/>
    <x v="191"/>
    <x v="2"/>
    <n v="166"/>
    <s v="Овощи"/>
    <n v="250.4878048780488"/>
    <n v="-0.2654333008763389"/>
    <s v="Гавриш"/>
    <n v="247.6666666666667"/>
    <d v="2022-08-23T00:00:00"/>
    <x v="202"/>
  </r>
  <r>
    <n v="233"/>
    <n v="358"/>
    <n v="172"/>
    <n v="1"/>
    <n v="860"/>
    <x v="116"/>
    <x v="15"/>
    <n v="478"/>
    <s v="Конфеты"/>
    <n v="267.8548387096774"/>
    <n v="-0.3578611428915518"/>
    <s v="Славянка"/>
    <n v="268"/>
    <d v="2022-06-14T00:00:00"/>
    <x v="203"/>
  </r>
  <r>
    <n v="234"/>
    <n v="160"/>
    <n v="288"/>
    <n v="2"/>
    <n v="2880"/>
    <x v="192"/>
    <x v="10"/>
    <n v="429"/>
    <s v="Крупа"/>
    <n v="255.1162790697674"/>
    <n v="0.1288969917958067"/>
    <s v="Мистраль"/>
    <n v="250.3076923076923"/>
    <d v="2022-03-05T00:00:00"/>
    <x v="136"/>
  </r>
  <r>
    <n v="235"/>
    <n v="23"/>
    <n v="174"/>
    <n v="3"/>
    <n v="2610"/>
    <x v="193"/>
    <x v="13"/>
    <n v="181"/>
    <s v="Рыба"/>
    <n v="258.5128205128205"/>
    <n v="-0.3269192620511803"/>
    <s v="Санта Бремор"/>
    <n v="216.4"/>
    <d v="2022-01-07T00:00:00"/>
    <x v="204"/>
  </r>
  <r>
    <n v="236"/>
    <n v="49"/>
    <n v="292"/>
    <n v="3"/>
    <n v="4380"/>
    <x v="194"/>
    <x v="1"/>
    <n v="431"/>
    <s v="Рис"/>
    <n v="258.375"/>
    <n v="0.1301402999516208"/>
    <s v="Агро-Альянс"/>
    <n v="317.8571428571428"/>
    <d v="2022-03-03T00:00:00"/>
    <x v="123"/>
  </r>
  <r>
    <n v="237"/>
    <n v="485"/>
    <n v="243"/>
    <n v="3"/>
    <n v="3645"/>
    <x v="195"/>
    <x v="13"/>
    <n v="34"/>
    <s v="Макароны"/>
    <n v="265.4767441860465"/>
    <n v="-0.08466558626428977"/>
    <s v="Борилла"/>
    <n v="236.2758620689655"/>
    <d v="2022-04-03T00:00:00"/>
    <x v="1"/>
  </r>
  <r>
    <n v="238"/>
    <n v="131"/>
    <n v="382"/>
    <n v="5"/>
    <n v="9550"/>
    <x v="196"/>
    <x v="5"/>
    <n v="147"/>
    <s v="Сок"/>
    <n v="268.6034482758621"/>
    <n v="0.4221708710443544"/>
    <s v="Сады Придонья"/>
    <n v="254.1818181818182"/>
    <d v="2022-09-23T00:00:00"/>
    <x v="159"/>
  </r>
  <r>
    <n v="239"/>
    <n v="270"/>
    <n v="308"/>
    <n v="1"/>
    <n v="1540"/>
    <x v="197"/>
    <x v="1"/>
    <n v="496"/>
    <s v="Соль"/>
    <n v="264.8679245283019"/>
    <n v="0.1628437099301894"/>
    <s v="Славянская"/>
    <n v="236.9166666666667"/>
    <d v="2022-11-02T00:00:00"/>
    <x v="205"/>
  </r>
  <r>
    <n v="240"/>
    <n v="345"/>
    <n v="357"/>
    <n v="4"/>
    <n v="7140"/>
    <x v="198"/>
    <x v="14"/>
    <n v="202"/>
    <s v="Конфеты"/>
    <n v="267.8548387096774"/>
    <n v="0.3328114650448606"/>
    <s v="Рот Фронт"/>
    <n v="288.2380952380952"/>
    <d v="2022-07-24T00:00:00"/>
    <x v="206"/>
  </r>
  <r>
    <n v="241"/>
    <n v="40"/>
    <n v="82"/>
    <n v="1"/>
    <n v="410"/>
    <x v="199"/>
    <x v="4"/>
    <n v="312"/>
    <s v="Колбаса"/>
    <n v="286.9230769230769"/>
    <n v="-0.7142091152815013"/>
    <s v="Микоян"/>
    <n v="82"/>
    <d v="2022-11-21T00:00:00"/>
    <x v="207"/>
  </r>
  <r>
    <n v="242"/>
    <n v="275"/>
    <n v="219"/>
    <n v="1"/>
    <n v="1095"/>
    <x v="200"/>
    <x v="16"/>
    <n v="41"/>
    <s v="Сыр"/>
    <n v="262.6349206349207"/>
    <n v="-0.1661428744107338"/>
    <s v="Сырная долина"/>
    <n v="271"/>
    <d v="2022-10-08T00:00:00"/>
    <x v="176"/>
  </r>
  <r>
    <n v="243"/>
    <n v="205"/>
    <n v="117"/>
    <n v="5"/>
    <n v="2925"/>
    <x v="201"/>
    <x v="19"/>
    <n v="389"/>
    <s v="Макароны"/>
    <n v="265.4767441860465"/>
    <n v="-0.559283430423547"/>
    <s v="Борилла"/>
    <n v="236.2758620689655"/>
    <d v="2022-11-11T00:00:00"/>
    <x v="208"/>
  </r>
  <r>
    <n v="244"/>
    <n v="219"/>
    <n v="474"/>
    <n v="5"/>
    <n v="11850"/>
    <x v="202"/>
    <x v="10"/>
    <n v="24"/>
    <s v="Йогурт"/>
    <n v="263.2542372881356"/>
    <n v="0.8005408189544168"/>
    <s v="Чудо"/>
    <n v="287.1"/>
    <d v="2022-02-17T00:00:00"/>
    <x v="209"/>
  </r>
  <r>
    <n v="245"/>
    <n v="425"/>
    <n v="334"/>
    <n v="2"/>
    <n v="3340"/>
    <x v="0"/>
    <x v="7"/>
    <n v="25"/>
    <s v="Соль"/>
    <n v="264.8679245283019"/>
    <n v="0.2610058412879328"/>
    <s v="Экстра"/>
    <n v="320.8461538461539"/>
    <d v="2022-01-21T00:00:00"/>
    <x v="97"/>
  </r>
  <r>
    <n v="246"/>
    <n v="452"/>
    <n v="220"/>
    <n v="5"/>
    <n v="5500"/>
    <x v="203"/>
    <x v="4"/>
    <n v="411"/>
    <s v="Фрукты"/>
    <n v="274.1627906976744"/>
    <n v="-0.197557044702689"/>
    <s v="Экзотик"/>
    <n v="253.6875"/>
    <d v="2022-04-22T00:00:00"/>
    <x v="98"/>
  </r>
  <r>
    <n v="247"/>
    <n v="285"/>
    <n v="282"/>
    <n v="5"/>
    <n v="7050"/>
    <x v="204"/>
    <x v="16"/>
    <n v="106"/>
    <s v="Макароны"/>
    <n v="265.4767441860465"/>
    <n v="0.06223993692786123"/>
    <s v="Паста Зара"/>
    <n v="276.6756756756757"/>
    <d v="2022-10-24T00:00:00"/>
    <x v="87"/>
  </r>
  <r>
    <n v="248"/>
    <n v="435"/>
    <n v="499"/>
    <n v="5"/>
    <n v="12475"/>
    <x v="92"/>
    <x v="4"/>
    <n v="175"/>
    <s v="Мясо"/>
    <n v="271.7454545454545"/>
    <n v="0.8362772648200187"/>
    <s v="Снежана"/>
    <n v="272.3529411764706"/>
    <d v="2022-01-04T00:00:00"/>
    <x v="168"/>
  </r>
  <r>
    <n v="249"/>
    <n v="26"/>
    <n v="170"/>
    <n v="1"/>
    <n v="850"/>
    <x v="184"/>
    <x v="17"/>
    <n v="286"/>
    <s v="Мясо"/>
    <n v="271.7454545454545"/>
    <n v="-0.3744145590793524"/>
    <s v="Сава"/>
    <n v="212.8125"/>
    <d v="2022-01-02T00:00:00"/>
    <x v="210"/>
  </r>
  <r>
    <n v="250"/>
    <n v="157"/>
    <n v="52"/>
    <n v="1"/>
    <n v="260"/>
    <x v="205"/>
    <x v="0"/>
    <n v="249"/>
    <s v="Сыр"/>
    <n v="262.6349206349207"/>
    <n v="-0.8020065272573431"/>
    <s v="President"/>
    <n v="238.7222222222222"/>
    <d v="2022-08-08T00:00:00"/>
    <x v="211"/>
  </r>
  <r>
    <n v="251"/>
    <n v="273"/>
    <n v="156"/>
    <n v="5"/>
    <n v="3900"/>
    <x v="119"/>
    <x v="15"/>
    <n v="168"/>
    <s v="Конфеты"/>
    <n v="267.8548387096774"/>
    <n v="-0.4175949900644307"/>
    <s v="Красный Октябрь"/>
    <n v="273.625"/>
    <d v="2022-05-25T00:00:00"/>
    <x v="212"/>
  </r>
  <r>
    <n v="252"/>
    <n v="340"/>
    <n v="450"/>
    <n v="3"/>
    <n v="6750"/>
    <x v="206"/>
    <x v="7"/>
    <n v="121"/>
    <s v="Сыр"/>
    <n v="262.6349206349207"/>
    <n v="0.7134050525806839"/>
    <s v="Карат"/>
    <n v="311.3333333333333"/>
    <d v="2022-07-21T00:00:00"/>
    <x v="213"/>
  </r>
  <r>
    <n v="253"/>
    <n v="34"/>
    <n v="366"/>
    <n v="4"/>
    <n v="7320"/>
    <x v="131"/>
    <x v="6"/>
    <n v="259"/>
    <s v="Крупа"/>
    <n v="255.1162790697674"/>
    <n v="0.4346399270738377"/>
    <s v="Ярмарка"/>
    <n v="252.0909090909091"/>
    <d v="2022-05-26T00:00:00"/>
    <x v="214"/>
  </r>
  <r>
    <n v="254"/>
    <n v="296"/>
    <n v="210"/>
    <n v="1"/>
    <n v="1050"/>
    <x v="168"/>
    <x v="1"/>
    <n v="255"/>
    <s v="Крупа"/>
    <n v="255.1162790697674"/>
    <n v="-0.1768459434822243"/>
    <s v="Мистраль"/>
    <n v="250.3076923076923"/>
    <d v="2022-08-20T00:00:00"/>
    <x v="215"/>
  </r>
  <r>
    <n v="255"/>
    <n v="116"/>
    <n v="379"/>
    <n v="4"/>
    <n v="7580"/>
    <x v="207"/>
    <x v="14"/>
    <n v="405"/>
    <s v="Соль"/>
    <n v="264.8679245283019"/>
    <n v="0.4309018378686422"/>
    <s v="Экстра"/>
    <n v="320.8461538461539"/>
    <d v="2022-08-25T00:00:00"/>
    <x v="101"/>
  </r>
  <r>
    <n v="256"/>
    <n v="117"/>
    <n v="102"/>
    <n v="4"/>
    <n v="2040"/>
    <x v="208"/>
    <x v="16"/>
    <n v="376"/>
    <s v="Макароны"/>
    <n v="265.4767441860465"/>
    <n v="-0.6157855547282204"/>
    <s v="Роллтон"/>
    <n v="235.5555555555555"/>
    <d v="2022-06-18T00:00:00"/>
    <x v="216"/>
  </r>
  <r>
    <n v="257"/>
    <n v="239"/>
    <n v="380"/>
    <n v="5"/>
    <n v="9500"/>
    <x v="37"/>
    <x v="0"/>
    <n v="489"/>
    <s v="Йогурт"/>
    <n v="263.2542372881356"/>
    <n v="0.4434715426216844"/>
    <s v="Эрманн"/>
    <n v="248.5"/>
    <d v="2022-01-26T00:00:00"/>
    <x v="217"/>
  </r>
  <r>
    <n v="258"/>
    <n v="201"/>
    <n v="355"/>
    <n v="5"/>
    <n v="8875"/>
    <x v="110"/>
    <x v="11"/>
    <n v="483"/>
    <s v="Печенье"/>
    <n v="283.468085106383"/>
    <n v="0.2523455678150566"/>
    <s v="Белогорье"/>
    <n v="249.5"/>
    <d v="2022-10-21T00:00:00"/>
    <x v="218"/>
  </r>
  <r>
    <n v="259"/>
    <n v="377"/>
    <n v="403"/>
    <n v="4"/>
    <n v="8060"/>
    <x v="209"/>
    <x v="16"/>
    <n v="107"/>
    <s v="Колбаса"/>
    <n v="286.9230769230769"/>
    <n v="0.4045576407506704"/>
    <s v="Окраина"/>
    <n v="273.5833333333333"/>
    <d v="2022-07-02T00:00:00"/>
    <x v="219"/>
  </r>
  <r>
    <n v="260"/>
    <n v="485"/>
    <n v="101"/>
    <n v="1"/>
    <n v="505"/>
    <x v="94"/>
    <x v="13"/>
    <n v="51"/>
    <s v="Макароны"/>
    <n v="265.4767441860465"/>
    <n v="-0.6195523630151987"/>
    <s v="Борилла"/>
    <n v="236.2758620689655"/>
    <d v="2022-02-13T00:00:00"/>
    <x v="220"/>
  </r>
  <r>
    <n v="261"/>
    <n v="251"/>
    <n v="294"/>
    <n v="1"/>
    <n v="1470"/>
    <x v="96"/>
    <x v="4"/>
    <n v="47"/>
    <s v="Овощи"/>
    <n v="250.4878048780488"/>
    <n v="0.1737098344693282"/>
    <s v="Гавриш"/>
    <n v="247.6666666666667"/>
    <d v="2022-05-12T00:00:00"/>
    <x v="221"/>
  </r>
  <r>
    <n v="262"/>
    <n v="409"/>
    <n v="299"/>
    <n v="1"/>
    <n v="1495"/>
    <x v="114"/>
    <x v="2"/>
    <n v="411"/>
    <s v="Фрукты"/>
    <n v="274.1627906976744"/>
    <n v="0.0905929256086182"/>
    <s v="Фруктовый Рай"/>
    <n v="258.3076923076923"/>
    <d v="2022-04-22T00:00:00"/>
    <x v="222"/>
  </r>
  <r>
    <n v="263"/>
    <n v="422"/>
    <n v="349"/>
    <n v="2"/>
    <n v="3490"/>
    <x v="210"/>
    <x v="10"/>
    <n v="160"/>
    <s v="Кофе"/>
    <n v="249.0238095238095"/>
    <n v="0.4014724161009657"/>
    <s v="Nescafe"/>
    <n v="256.9"/>
    <d v="2022-03-29T00:00:00"/>
    <x v="79"/>
  </r>
  <r>
    <n v="264"/>
    <n v="222"/>
    <n v="500"/>
    <n v="2"/>
    <n v="5000"/>
    <x v="211"/>
    <x v="18"/>
    <n v="9"/>
    <s v="Молоко"/>
    <n v="294.952380952381"/>
    <n v="0.6951888924765901"/>
    <s v="Простоквашино"/>
    <n v="318.8181818181818"/>
    <d v="2022-12-05T00:00:00"/>
    <x v="223"/>
  </r>
  <r>
    <n v="265"/>
    <n v="497"/>
    <n v="387"/>
    <n v="2"/>
    <n v="3870"/>
    <x v="212"/>
    <x v="7"/>
    <n v="456"/>
    <s v="Конфеты"/>
    <n v="267.8548387096774"/>
    <n v="0.4448124284940085"/>
    <s v="Бабаевский"/>
    <n v="250.2592592592593"/>
    <d v="2022-02-26T00:00:00"/>
    <x v="224"/>
  </r>
  <r>
    <n v="266"/>
    <n v="217"/>
    <n v="412"/>
    <n v="2"/>
    <n v="4120"/>
    <x v="25"/>
    <x v="11"/>
    <n v="110"/>
    <s v="Мясо"/>
    <n v="271.7454545454545"/>
    <n v="0.5161247156429813"/>
    <s v="Агрокомплекс"/>
    <n v="311.2"/>
    <d v="2022-01-19T00:00:00"/>
    <x v="134"/>
  </r>
  <r>
    <n v="267"/>
    <n v="351"/>
    <n v="155"/>
    <n v="5"/>
    <n v="3875"/>
    <x v="81"/>
    <x v="9"/>
    <n v="216"/>
    <s v="Чипсы"/>
    <n v="273.7254901960785"/>
    <n v="-0.4337392550143266"/>
    <s v="Русская картошка"/>
    <n v="241.8333333333333"/>
    <d v="2022-04-04T00:00:00"/>
    <x v="225"/>
  </r>
  <r>
    <n v="268"/>
    <n v="494"/>
    <n v="214"/>
    <n v="1"/>
    <n v="1070"/>
    <x v="119"/>
    <x v="6"/>
    <n v="424"/>
    <s v="Сыр"/>
    <n v="262.6349206349207"/>
    <n v="-0.1851807083282969"/>
    <s v="Сырная долина"/>
    <n v="271"/>
    <d v="2022-01-24T00:00:00"/>
    <x v="226"/>
  </r>
  <r>
    <n v="269"/>
    <n v="464"/>
    <n v="290"/>
    <n v="3"/>
    <n v="4350"/>
    <x v="134"/>
    <x v="14"/>
    <n v="77"/>
    <s v="Сыр"/>
    <n v="262.6349206349207"/>
    <n v="0.1041943672186629"/>
    <s v="Сырная долина"/>
    <n v="271"/>
    <d v="2022-03-24T00:00:00"/>
    <x v="227"/>
  </r>
  <r>
    <n v="270"/>
    <n v="462"/>
    <n v="271"/>
    <n v="2"/>
    <n v="2710"/>
    <x v="45"/>
    <x v="0"/>
    <n v="192"/>
    <s v="Рис"/>
    <n v="258.375"/>
    <n v="0.04886308659893568"/>
    <s v="Белый Злат"/>
    <n v="269.7058823529412"/>
    <d v="2022-01-11T00:00:00"/>
    <x v="61"/>
  </r>
  <r>
    <n v="271"/>
    <n v="102"/>
    <n v="326"/>
    <n v="2"/>
    <n v="3260"/>
    <x v="213"/>
    <x v="16"/>
    <n v="130"/>
    <s v="Печенье"/>
    <n v="283.468085106383"/>
    <n v="0.1500412819935448"/>
    <s v="Белогорье"/>
    <n v="249.5"/>
    <d v="2022-10-29T00:00:00"/>
    <x v="228"/>
  </r>
  <r>
    <n v="272"/>
    <n v="345"/>
    <n v="420"/>
    <n v="2"/>
    <n v="4200"/>
    <x v="214"/>
    <x v="11"/>
    <n v="308"/>
    <s v="Конфеты"/>
    <n v="267.8548387096774"/>
    <n v="0.5680134882880712"/>
    <s v="Рот Фронт"/>
    <n v="288.2380952380952"/>
    <d v="2022-01-01T00:00:00"/>
    <x v="229"/>
  </r>
  <r>
    <n v="273"/>
    <n v="445"/>
    <n v="71"/>
    <n v="4"/>
    <n v="1420"/>
    <x v="215"/>
    <x v="17"/>
    <n v="455"/>
    <s v="Сахар"/>
    <n v="252.7627118644068"/>
    <n v="-0.7191041373298465"/>
    <s v="Сладов"/>
    <n v="240.2666666666667"/>
    <d v="2022-09-16T00:00:00"/>
    <x v="230"/>
  </r>
  <r>
    <n v="274"/>
    <n v="241"/>
    <n v="400"/>
    <n v="3"/>
    <n v="6000"/>
    <x v="178"/>
    <x v="17"/>
    <n v="490"/>
    <s v="Колбаса"/>
    <n v="286.9230769230769"/>
    <n v="0.3941018766756033"/>
    <s v="Окраина"/>
    <n v="273.5833333333333"/>
    <d v="2022-02-11T00:00:00"/>
    <x v="231"/>
  </r>
  <r>
    <n v="275"/>
    <n v="258"/>
    <n v="109"/>
    <n v="2"/>
    <n v="1090"/>
    <x v="216"/>
    <x v="2"/>
    <n v="480"/>
    <s v="Рыба"/>
    <n v="258.5128205128205"/>
    <n v="-0.5783574687561992"/>
    <s v="Санта Бремор"/>
    <n v="216.4"/>
    <d v="2022-01-07T00:00:00"/>
    <x v="232"/>
  </r>
  <r>
    <n v="276"/>
    <n v="376"/>
    <n v="217"/>
    <n v="1"/>
    <n v="1085"/>
    <x v="217"/>
    <x v="4"/>
    <n v="321"/>
    <s v="Конфеты"/>
    <n v="267.8548387096774"/>
    <n v="-0.1898596977178298"/>
    <s v="Красный Октябрь"/>
    <n v="273.625"/>
    <d v="2022-07-14T00:00:00"/>
    <x v="233"/>
  </r>
  <r>
    <n v="277"/>
    <n v="7"/>
    <n v="104"/>
    <n v="1"/>
    <n v="520"/>
    <x v="63"/>
    <x v="7"/>
    <n v="496"/>
    <s v="Сыр"/>
    <n v="262.6349206349207"/>
    <n v="-0.6040130545146863"/>
    <s v="President"/>
    <n v="238.7222222222222"/>
    <d v="2022-11-02T00:00:00"/>
    <x v="234"/>
  </r>
  <r>
    <n v="278"/>
    <n v="428"/>
    <n v="428"/>
    <n v="4"/>
    <n v="8560"/>
    <x v="21"/>
    <x v="10"/>
    <n v="203"/>
    <s v="Конфеты"/>
    <n v="267.8548387096774"/>
    <n v="0.5978804118745107"/>
    <s v="Бабаевский"/>
    <n v="250.2592592592593"/>
    <d v="2022-05-04T00:00:00"/>
    <x v="235"/>
  </r>
  <r>
    <n v="279"/>
    <n v="216"/>
    <n v="83"/>
    <n v="3"/>
    <n v="1245"/>
    <x v="100"/>
    <x v="9"/>
    <n v="457"/>
    <s v="Кофе"/>
    <n v="249.0238095238095"/>
    <n v="-0.6666985371450425"/>
    <s v="Черная Карта"/>
    <n v="222.2"/>
    <d v="2022-02-03T00:00:00"/>
    <x v="235"/>
  </r>
  <r>
    <n v="280"/>
    <n v="272"/>
    <n v="113"/>
    <n v="3"/>
    <n v="1695"/>
    <x v="171"/>
    <x v="15"/>
    <n v="21"/>
    <s v="Крупа"/>
    <n v="255.1162790697674"/>
    <n v="-0.5570647219690064"/>
    <s v="Ярмарка"/>
    <n v="252.0909090909091"/>
    <d v="2022-11-16T00:00:00"/>
    <x v="236"/>
  </r>
  <r>
    <n v="281"/>
    <n v="236"/>
    <n v="221"/>
    <n v="4"/>
    <n v="4420"/>
    <x v="218"/>
    <x v="11"/>
    <n v="333"/>
    <s v="Печенье"/>
    <n v="283.468085106383"/>
    <n v="-0.2203707873602042"/>
    <s v="Посиделкино"/>
    <n v="321.6363636363636"/>
    <d v="2022-10-23T00:00:00"/>
    <x v="237"/>
  </r>
  <r>
    <n v="282"/>
    <n v="225"/>
    <n v="114"/>
    <n v="3"/>
    <n v="1710"/>
    <x v="219"/>
    <x v="7"/>
    <n v="405"/>
    <s v="Соль"/>
    <n v="264.8679245283019"/>
    <n v="-0.5695968086622026"/>
    <s v="Илецкая"/>
    <n v="238.1666666666667"/>
    <d v="2022-08-25T00:00:00"/>
    <x v="238"/>
  </r>
  <r>
    <n v="283"/>
    <n v="167"/>
    <n v="488"/>
    <n v="3"/>
    <n v="7320"/>
    <x v="75"/>
    <x v="0"/>
    <n v="32"/>
    <s v="Мясо"/>
    <n v="271.7454545454545"/>
    <n v="0.7957982068780944"/>
    <s v="Сава"/>
    <n v="212.8125"/>
    <d v="2022-12-27T00:00:00"/>
    <x v="239"/>
  </r>
  <r>
    <n v="284"/>
    <n v="467"/>
    <n v="421"/>
    <n v="5"/>
    <n v="10525"/>
    <x v="124"/>
    <x v="6"/>
    <n v="334"/>
    <s v="Макароны"/>
    <n v="265.4767441860465"/>
    <n v="0.5858262888178354"/>
    <s v="Борилла"/>
    <n v="236.2758620689655"/>
    <d v="2022-11-16T00:00:00"/>
    <x v="240"/>
  </r>
  <r>
    <n v="285"/>
    <n v="430"/>
    <n v="380"/>
    <n v="1"/>
    <n v="1900"/>
    <x v="220"/>
    <x v="19"/>
    <n v="449"/>
    <s v="Чай"/>
    <n v="271.1818181818182"/>
    <n v="0.4012738853503184"/>
    <s v="Ахмад"/>
    <n v="243.3"/>
    <d v="2022-03-25T00:00:00"/>
    <x v="241"/>
  </r>
  <r>
    <n v="286"/>
    <n v="139"/>
    <n v="232"/>
    <n v="3"/>
    <n v="3480"/>
    <x v="91"/>
    <x v="18"/>
    <n v="302"/>
    <s v="Йогурт"/>
    <n v="263.2542372881356"/>
    <n v="-0.1187226371362349"/>
    <s v="Ростагроэкспорт"/>
    <n v="257.7826086956522"/>
    <d v="2022-10-25T00:00:00"/>
    <x v="242"/>
  </r>
  <r>
    <n v="287"/>
    <n v="351"/>
    <n v="93"/>
    <n v="3"/>
    <n v="1395"/>
    <x v="221"/>
    <x v="12"/>
    <n v="341"/>
    <s v="Чипсы"/>
    <n v="273.7254901960785"/>
    <n v="-0.6602435530085959"/>
    <s v="Русская картошка"/>
    <n v="241.8333333333333"/>
    <d v="2022-06-12T00:00:00"/>
    <x v="243"/>
  </r>
  <r>
    <n v="288"/>
    <n v="404"/>
    <n v="136"/>
    <n v="2"/>
    <n v="1360"/>
    <x v="64"/>
    <x v="3"/>
    <n v="62"/>
    <s v="Йогурт"/>
    <n v="263.2542372881356"/>
    <n v="-0.4833891321143445"/>
    <s v="Ростагроэкспорт"/>
    <n v="257.7826086956522"/>
    <d v="2022-04-20T00:00:00"/>
    <x v="138"/>
  </r>
  <r>
    <n v="289"/>
    <n v="237"/>
    <n v="157"/>
    <n v="5"/>
    <n v="3925"/>
    <x v="76"/>
    <x v="16"/>
    <n v="366"/>
    <s v="Конфеты"/>
    <n v="267.8548387096774"/>
    <n v="-0.4138616246161257"/>
    <s v="Рот Фронт"/>
    <n v="288.2380952380952"/>
    <d v="2022-09-23T00:00:00"/>
    <x v="244"/>
  </r>
  <r>
    <n v="290"/>
    <n v="323"/>
    <n v="363"/>
    <n v="4"/>
    <n v="7260"/>
    <x v="222"/>
    <x v="7"/>
    <n v="463"/>
    <s v="Рыба"/>
    <n v="258.5128205128205"/>
    <n v="0.4041856774449515"/>
    <s v="Меридиан"/>
    <n v="260.6470588235294"/>
    <d v="2022-11-04T00:00:00"/>
    <x v="172"/>
  </r>
  <r>
    <n v="291"/>
    <n v="457"/>
    <n v="289"/>
    <n v="5"/>
    <n v="7225"/>
    <x v="128"/>
    <x v="16"/>
    <n v="421"/>
    <s v="Сок"/>
    <n v="268.6034482758621"/>
    <n v="0.07593555427177612"/>
    <s v="Rich"/>
    <n v="272.25"/>
    <d v="2022-02-28T00:00:00"/>
    <x v="87"/>
  </r>
  <r>
    <n v="292"/>
    <n v="328"/>
    <n v="448"/>
    <n v="4"/>
    <n v="8960"/>
    <x v="218"/>
    <x v="10"/>
    <n v="86"/>
    <s v="Чипсы"/>
    <n v="273.7254901960785"/>
    <n v="0.6366762177650429"/>
    <s v="Русская картошка"/>
    <n v="241.8333333333333"/>
    <d v="2022-05-11T00:00:00"/>
    <x v="245"/>
  </r>
  <r>
    <n v="293"/>
    <n v="424"/>
    <n v="226"/>
    <n v="2"/>
    <n v="2260"/>
    <x v="177"/>
    <x v="9"/>
    <n v="397"/>
    <s v="Печенье"/>
    <n v="283.468085106383"/>
    <n v="-0.2027321173909781"/>
    <s v="КДВ"/>
    <n v="323.0769230769231"/>
    <d v="2022-06-16T00:00:00"/>
    <x v="246"/>
  </r>
  <r>
    <n v="294"/>
    <n v="86"/>
    <n v="261"/>
    <n v="5"/>
    <n v="6525"/>
    <x v="223"/>
    <x v="2"/>
    <n v="319"/>
    <s v="Сахар"/>
    <n v="252.7627118644068"/>
    <n v="0.03258901629450817"/>
    <s v="Русский сахар"/>
    <n v="293.4117647058824"/>
    <d v="2022-04-23T00:00:00"/>
    <x v="224"/>
  </r>
  <r>
    <n v="295"/>
    <n v="17"/>
    <n v="253"/>
    <n v="3"/>
    <n v="3795"/>
    <x v="150"/>
    <x v="15"/>
    <n v="290"/>
    <s v="Кофе"/>
    <n v="249.0238095238095"/>
    <n v="0.01596710966631609"/>
    <s v="Jacobs"/>
    <n v="276.2105263157895"/>
    <d v="2022-08-04T00:00:00"/>
    <x v="50"/>
  </r>
  <r>
    <n v="296"/>
    <n v="43"/>
    <n v="457"/>
    <n v="3"/>
    <n v="6855"/>
    <x v="224"/>
    <x v="8"/>
    <n v="13"/>
    <s v="Печенье"/>
    <n v="283.468085106383"/>
    <n v="0.61217443518727"/>
    <s v="КДВ"/>
    <n v="323.0769230769231"/>
    <d v="2022-06-12T00:00:00"/>
    <x v="247"/>
  </r>
  <r>
    <n v="297"/>
    <n v="5"/>
    <n v="65"/>
    <n v="5"/>
    <n v="1625"/>
    <x v="170"/>
    <x v="14"/>
    <n v="302"/>
    <s v="Макароны"/>
    <n v="265.4767441860465"/>
    <n v="-0.7551574613464149"/>
    <s v="Роллтон"/>
    <n v="235.5555555555555"/>
    <d v="2022-10-25T00:00:00"/>
    <x v="151"/>
  </r>
  <r>
    <n v="298"/>
    <n v="298"/>
    <n v="65"/>
    <n v="1"/>
    <n v="325"/>
    <x v="225"/>
    <x v="19"/>
    <n v="453"/>
    <s v="Крупа"/>
    <n v="255.1162790697674"/>
    <n v="-0.7452142206016408"/>
    <s v="Увелка"/>
    <n v="251.9166666666667"/>
    <d v="2022-03-15T00:00:00"/>
    <x v="248"/>
  </r>
  <r>
    <n v="299"/>
    <n v="436"/>
    <n v="320"/>
    <n v="3"/>
    <n v="4800"/>
    <x v="85"/>
    <x v="13"/>
    <n v="16"/>
    <s v="Овощи"/>
    <n v="250.4878048780488"/>
    <n v="0.2775073028237585"/>
    <s v="Гавриш"/>
    <n v="247.6666666666667"/>
    <d v="2022-06-01T00:00:00"/>
    <x v="249"/>
  </r>
  <r>
    <n v="300"/>
    <n v="421"/>
    <n v="145"/>
    <n v="4"/>
    <n v="2900"/>
    <x v="226"/>
    <x v="13"/>
    <n v="120"/>
    <s v="Чай"/>
    <n v="271.1818181818182"/>
    <n v="-0.465303385853168"/>
    <s v="Greenfield"/>
    <n v="291.4545454545454"/>
    <d v="2022-05-10T00:00:00"/>
    <x v="46"/>
  </r>
  <r>
    <n v="301"/>
    <n v="223"/>
    <n v="467"/>
    <n v="5"/>
    <n v="11675"/>
    <x v="132"/>
    <x v="4"/>
    <n v="295"/>
    <s v="Чай"/>
    <n v="271.1818181818182"/>
    <n v="0.7220918538384176"/>
    <s v="Greenfield"/>
    <n v="291.4545454545454"/>
    <d v="2022-01-27T00:00:00"/>
    <x v="250"/>
  </r>
  <r>
    <n v="302"/>
    <n v="483"/>
    <n v="124"/>
    <n v="4"/>
    <n v="2480"/>
    <x v="227"/>
    <x v="6"/>
    <n v="381"/>
    <s v="Колбаса"/>
    <n v="286.9230769230769"/>
    <n v="-0.567828418230563"/>
    <s v="Дымов"/>
    <n v="312.6666666666667"/>
    <d v="2022-06-02T00:00:00"/>
    <x v="145"/>
  </r>
  <r>
    <n v="303"/>
    <n v="414"/>
    <n v="406"/>
    <n v="3"/>
    <n v="6090"/>
    <x v="52"/>
    <x v="3"/>
    <n v="287"/>
    <s v="Фрукты"/>
    <n v="274.1627906976744"/>
    <n v="0.4808719993214012"/>
    <s v="Экзотик"/>
    <n v="253.6875"/>
    <d v="2022-02-16T00:00:00"/>
    <x v="251"/>
  </r>
  <r>
    <n v="304"/>
    <n v="389"/>
    <n v="76"/>
    <n v="4"/>
    <n v="1520"/>
    <x v="228"/>
    <x v="10"/>
    <n v="415"/>
    <s v="Чай"/>
    <n v="271.1818181818182"/>
    <n v="-0.7197452229299364"/>
    <s v="Ахмад"/>
    <n v="243.3"/>
    <d v="2022-04-10T00:00:00"/>
    <x v="252"/>
  </r>
  <r>
    <n v="305"/>
    <n v="367"/>
    <n v="79"/>
    <n v="5"/>
    <n v="1975"/>
    <x v="229"/>
    <x v="18"/>
    <n v="292"/>
    <s v="Колбаса"/>
    <n v="286.9230769230769"/>
    <n v="-0.7246648793565684"/>
    <s v="Окраина"/>
    <n v="273.5833333333333"/>
    <d v="2022-02-16T00:00:00"/>
    <x v="133"/>
  </r>
  <r>
    <n v="306"/>
    <n v="128"/>
    <n v="466"/>
    <n v="1"/>
    <n v="2330"/>
    <x v="230"/>
    <x v="19"/>
    <n v="389"/>
    <s v="Мясо"/>
    <n v="271.7454545454545"/>
    <n v="0.7148400909942458"/>
    <s v="Мираторг"/>
    <n v="316.5833333333333"/>
    <d v="2022-11-11T00:00:00"/>
    <x v="253"/>
  </r>
  <r>
    <n v="307"/>
    <n v="368"/>
    <n v="265"/>
    <n v="5"/>
    <n v="6625"/>
    <x v="231"/>
    <x v="7"/>
    <n v="106"/>
    <s v="Сыр"/>
    <n v="262.6349206349207"/>
    <n v="0.009005197630847173"/>
    <s v="Сырная долина"/>
    <n v="271"/>
    <d v="2022-10-24T00:00:00"/>
    <x v="254"/>
  </r>
  <r>
    <n v="308"/>
    <n v="74"/>
    <n v="397"/>
    <n v="2"/>
    <n v="3970"/>
    <x v="169"/>
    <x v="11"/>
    <n v="458"/>
    <s v="Колбаса"/>
    <n v="286.9230769230769"/>
    <n v="0.3836461126005364"/>
    <s v="Черкизово"/>
    <n v="320.25"/>
    <d v="2022-05-13T00:00:00"/>
    <x v="255"/>
  </r>
  <r>
    <n v="309"/>
    <n v="276"/>
    <n v="359"/>
    <n v="2"/>
    <n v="3590"/>
    <x v="191"/>
    <x v="5"/>
    <n v="203"/>
    <s v="Колбаса"/>
    <n v="286.9230769230769"/>
    <n v="0.251206434316354"/>
    <s v="Дымов"/>
    <n v="312.6666666666667"/>
    <d v="2022-05-04T00:00:00"/>
    <x v="256"/>
  </r>
  <r>
    <n v="310"/>
    <n v="149"/>
    <n v="168"/>
    <n v="4"/>
    <n v="3360"/>
    <x v="232"/>
    <x v="1"/>
    <n v="1"/>
    <s v="Конфеты"/>
    <n v="267.8548387096774"/>
    <n v="-0.3727946046847715"/>
    <s v="Бабаевский"/>
    <n v="250.2592592592593"/>
    <d v="2022-01-24T00:00:00"/>
    <x v="202"/>
  </r>
  <r>
    <n v="311"/>
    <n v="229"/>
    <n v="156"/>
    <n v="4"/>
    <n v="3120"/>
    <x v="233"/>
    <x v="14"/>
    <n v="204"/>
    <s v="Мясо"/>
    <n v="271.7454545454545"/>
    <n v="-0.4259333600963469"/>
    <s v="Сава"/>
    <n v="212.8125"/>
    <d v="2022-11-02T00:00:00"/>
    <x v="93"/>
  </r>
  <r>
    <n v="312"/>
    <n v="28"/>
    <n v="78"/>
    <n v="4"/>
    <n v="1560"/>
    <x v="234"/>
    <x v="14"/>
    <n v="490"/>
    <s v="Крупа"/>
    <n v="255.1162790697674"/>
    <n v="-0.694257064721969"/>
    <s v="Националь"/>
    <n v="274.2857142857143"/>
    <d v="2022-02-11T00:00:00"/>
    <x v="99"/>
  </r>
  <r>
    <n v="313"/>
    <n v="260"/>
    <n v="489"/>
    <n v="3"/>
    <n v="7335"/>
    <x v="235"/>
    <x v="17"/>
    <n v="98"/>
    <s v="Соль"/>
    <n v="264.8679245283019"/>
    <n v="0.8462031628437099"/>
    <s v="Экстра"/>
    <n v="320.8461538461539"/>
    <d v="2022-03-17T00:00:00"/>
    <x v="257"/>
  </r>
  <r>
    <n v="314"/>
    <n v="140"/>
    <n v="106"/>
    <n v="3"/>
    <n v="1590"/>
    <x v="144"/>
    <x v="3"/>
    <n v="181"/>
    <s v="Рис"/>
    <n v="258.375"/>
    <n v="-0.5897435897435898"/>
    <s v="Белый Злат"/>
    <n v="269.7058823529412"/>
    <d v="2022-01-07T00:00:00"/>
    <x v="258"/>
  </r>
  <r>
    <n v="315"/>
    <n v="270"/>
    <n v="204"/>
    <n v="3"/>
    <n v="3060"/>
    <x v="118"/>
    <x v="13"/>
    <n v="226"/>
    <s v="Соль"/>
    <n v="264.8679245283019"/>
    <n v="-0.2298048155007836"/>
    <s v="Славянская"/>
    <n v="236.9166666666667"/>
    <d v="2022-05-21T00:00:00"/>
    <x v="259"/>
  </r>
  <r>
    <n v="316"/>
    <n v="67"/>
    <n v="317"/>
    <n v="4"/>
    <n v="6340"/>
    <x v="236"/>
    <x v="4"/>
    <n v="322"/>
    <s v="Йогурт"/>
    <n v="263.2542372881356"/>
    <n v="0.2041591552922999"/>
    <s v="Чудо"/>
    <n v="287.1"/>
    <d v="2022-11-21T00:00:00"/>
    <x v="260"/>
  </r>
  <r>
    <n v="317"/>
    <n v="448"/>
    <n v="442"/>
    <n v="1"/>
    <n v="2210"/>
    <x v="28"/>
    <x v="15"/>
    <n v="296"/>
    <s v="Йогурт"/>
    <n v="263.2542372881356"/>
    <n v="0.6789853206283802"/>
    <s v="Ростагроэкспорт"/>
    <n v="257.7826086956522"/>
    <d v="2022-07-16T00:00:00"/>
    <x v="182"/>
  </r>
  <r>
    <n v="318"/>
    <n v="331"/>
    <n v="88"/>
    <n v="3"/>
    <n v="1320"/>
    <x v="237"/>
    <x v="0"/>
    <n v="458"/>
    <s v="Соль"/>
    <n v="264.8679245283019"/>
    <n v="-0.667758940019946"/>
    <s v="Салта"/>
    <n v="273.7"/>
    <d v="2022-05-13T00:00:00"/>
    <x v="261"/>
  </r>
  <r>
    <n v="319"/>
    <n v="325"/>
    <n v="99"/>
    <n v="2"/>
    <n v="990"/>
    <x v="238"/>
    <x v="8"/>
    <n v="11"/>
    <s v="Сок"/>
    <n v="268.6034482758621"/>
    <n v="-0.6314269208549972"/>
    <s v="Добрый"/>
    <n v="242.8181818181818"/>
    <d v="2022-05-09T00:00:00"/>
    <x v="117"/>
  </r>
  <r>
    <n v="320"/>
    <n v="346"/>
    <n v="178"/>
    <n v="5"/>
    <n v="4450"/>
    <x v="235"/>
    <x v="14"/>
    <n v="75"/>
    <s v="Чай"/>
    <n v="271.1818181818182"/>
    <n v="-0.3436138115990613"/>
    <s v="Greenfield"/>
    <n v="291.4545454545454"/>
    <d v="2022-08-23T00:00:00"/>
    <x v="262"/>
  </r>
  <r>
    <n v="321"/>
    <n v="397"/>
    <n v="299"/>
    <n v="3"/>
    <n v="4485"/>
    <x v="239"/>
    <x v="7"/>
    <n v="29"/>
    <s v="Йогурт"/>
    <n v="263.2542372881356"/>
    <n v="0.1357841874839043"/>
    <s v="Ростагроэкспорт"/>
    <n v="257.7826086956522"/>
    <d v="2022-05-23T00:00:00"/>
    <x v="263"/>
  </r>
  <r>
    <n v="322"/>
    <n v="115"/>
    <n v="479"/>
    <n v="1"/>
    <n v="2395"/>
    <x v="141"/>
    <x v="12"/>
    <n v="297"/>
    <s v="Сыр"/>
    <n v="262.6349206349207"/>
    <n v="0.8238244893025504"/>
    <s v="President"/>
    <n v="238.7222222222222"/>
    <d v="2022-04-15T00:00:00"/>
    <x v="264"/>
  </r>
  <r>
    <n v="323"/>
    <n v="360"/>
    <n v="463"/>
    <n v="3"/>
    <n v="6945"/>
    <x v="240"/>
    <x v="19"/>
    <n v="497"/>
    <s v="Соль"/>
    <n v="264.8679245283019"/>
    <n v="0.7480410314859667"/>
    <s v="Славянская"/>
    <n v="236.9166666666667"/>
    <d v="2022-09-22T00:00:00"/>
    <x v="162"/>
  </r>
  <r>
    <n v="324"/>
    <n v="230"/>
    <n v="431"/>
    <n v="3"/>
    <n v="6465"/>
    <x v="181"/>
    <x v="18"/>
    <n v="191"/>
    <s v="Сок"/>
    <n v="268.6034482758621"/>
    <n v="0.6045959304191539"/>
    <s v="Фруктовый сад"/>
    <n v="281.96875"/>
    <d v="2022-11-01T00:00:00"/>
    <x v="265"/>
  </r>
  <r>
    <n v="325"/>
    <n v="229"/>
    <n v="173"/>
    <n v="4"/>
    <n v="3460"/>
    <x v="123"/>
    <x v="16"/>
    <n v="327"/>
    <s v="Мясо"/>
    <n v="271.7454545454545"/>
    <n v="-0.3633748160042821"/>
    <s v="Сава"/>
    <n v="212.8125"/>
    <d v="2022-01-04T00:00:00"/>
    <x v="92"/>
  </r>
  <r>
    <n v="326"/>
    <n v="486"/>
    <n v="213"/>
    <n v="1"/>
    <n v="1065"/>
    <x v="241"/>
    <x v="18"/>
    <n v="58"/>
    <s v="Соль"/>
    <n v="264.8679245283019"/>
    <n v="-0.1958256161846417"/>
    <s v="Илецкая"/>
    <n v="238.1666666666667"/>
    <d v="2022-03-08T00:00:00"/>
    <x v="266"/>
  </r>
  <r>
    <n v="327"/>
    <n v="353"/>
    <n v="115"/>
    <n v="2"/>
    <n v="1150"/>
    <x v="242"/>
    <x v="13"/>
    <n v="446"/>
    <s v="Макароны"/>
    <n v="265.4767441860465"/>
    <n v="-0.5668170469975033"/>
    <s v="Паста Зара"/>
    <n v="276.6756756756757"/>
    <d v="2022-04-20T00:00:00"/>
    <x v="265"/>
  </r>
  <r>
    <n v="328"/>
    <n v="65"/>
    <n v="455"/>
    <n v="5"/>
    <n v="11375"/>
    <x v="243"/>
    <x v="9"/>
    <n v="117"/>
    <s v="Хлеб"/>
    <n v="300.3181818181818"/>
    <n v="0.515059785076434"/>
    <s v="Хлебный Дом"/>
    <n v="281.7333333333333"/>
    <d v="2022-05-25T00:00:00"/>
    <x v="267"/>
  </r>
  <r>
    <n v="329"/>
    <n v="490"/>
    <n v="176"/>
    <n v="3"/>
    <n v="2640"/>
    <x v="87"/>
    <x v="15"/>
    <n v="32"/>
    <s v="Сыр"/>
    <n v="262.6349206349207"/>
    <n v="-0.3298682461017769"/>
    <s v="Сырная долина"/>
    <n v="271"/>
    <d v="2022-12-27T00:00:00"/>
    <x v="268"/>
  </r>
  <r>
    <n v="330"/>
    <n v="188"/>
    <n v="154"/>
    <n v="4"/>
    <n v="3080"/>
    <x v="244"/>
    <x v="18"/>
    <n v="187"/>
    <s v="Молоко"/>
    <n v="294.952380952381"/>
    <n v="-0.4778818211172102"/>
    <s v="Вимм-Билль-Данн"/>
    <n v="193.5"/>
    <d v="2022-10-14T00:00:00"/>
    <x v="20"/>
  </r>
  <r>
    <n v="331"/>
    <n v="17"/>
    <n v="212"/>
    <n v="3"/>
    <n v="3180"/>
    <x v="245"/>
    <x v="16"/>
    <n v="111"/>
    <s v="Кофе"/>
    <n v="249.0238095238095"/>
    <n v="-0.1486757816234822"/>
    <s v="Jacobs"/>
    <n v="276.2105263157895"/>
    <d v="2022-08-31T00:00:00"/>
    <x v="269"/>
  </r>
  <r>
    <n v="332"/>
    <n v="405"/>
    <n v="389"/>
    <n v="5"/>
    <n v="9725"/>
    <x v="118"/>
    <x v="6"/>
    <n v="231"/>
    <s v="Хлеб"/>
    <n v="300.3181818181818"/>
    <n v="0.2952928711972151"/>
    <s v="Каравай"/>
    <n v="331.1666666666667"/>
    <d v="2022-07-10T00:00:00"/>
    <x v="223"/>
  </r>
  <r>
    <n v="333"/>
    <n v="23"/>
    <n v="476"/>
    <n v="3"/>
    <n v="7140"/>
    <x v="246"/>
    <x v="2"/>
    <n v="283"/>
    <s v="Рыба"/>
    <n v="258.5128205128205"/>
    <n v="0.8413013291013689"/>
    <s v="Санта Бремор"/>
    <n v="216.4"/>
    <d v="2022-11-24T00:00:00"/>
    <x v="270"/>
  </r>
  <r>
    <n v="334"/>
    <n v="99"/>
    <n v="51"/>
    <n v="5"/>
    <n v="1275"/>
    <x v="56"/>
    <x v="8"/>
    <n v="265"/>
    <s v="Овощи"/>
    <n v="250.4878048780488"/>
    <n v="-0.7963972736124635"/>
    <s v="Семко"/>
    <n v="208"/>
    <d v="2022-07-14T00:00:00"/>
    <x v="51"/>
  </r>
  <r>
    <n v="335"/>
    <n v="196"/>
    <n v="452"/>
    <n v="2"/>
    <n v="4520"/>
    <x v="209"/>
    <x v="0"/>
    <n v="136"/>
    <s v="Конфеты"/>
    <n v="267.8548387096774"/>
    <n v="0.687481182633829"/>
    <s v="Рот Фронт"/>
    <n v="288.2380952380952"/>
    <d v="2022-10-26T00:00:00"/>
    <x v="271"/>
  </r>
  <r>
    <n v="336"/>
    <n v="415"/>
    <n v="222"/>
    <n v="3"/>
    <n v="3330"/>
    <x v="247"/>
    <x v="17"/>
    <n v="395"/>
    <s v="Чипсы"/>
    <n v="273.7254901960785"/>
    <n v="-0.1889684813753583"/>
    <s v="Pringles"/>
    <n v="280.2380952380952"/>
    <d v="2022-11-25T00:00:00"/>
    <x v="272"/>
  </r>
  <r>
    <n v="337"/>
    <n v="328"/>
    <n v="100"/>
    <n v="1"/>
    <n v="500"/>
    <x v="93"/>
    <x v="5"/>
    <n v="391"/>
    <s v="Чипсы"/>
    <n v="273.7254901960785"/>
    <n v="-0.6346704871060171"/>
    <s v="Русская картошка"/>
    <n v="241.8333333333333"/>
    <d v="2022-04-24T00:00:00"/>
    <x v="18"/>
  </r>
  <r>
    <n v="338"/>
    <n v="271"/>
    <n v="382"/>
    <n v="1"/>
    <n v="1910"/>
    <x v="248"/>
    <x v="1"/>
    <n v="355"/>
    <s v="Сыр"/>
    <n v="262.6349206349207"/>
    <n v="0.4544905113018252"/>
    <s v="Сырная долина"/>
    <n v="271"/>
    <d v="2022-03-11T00:00:00"/>
    <x v="273"/>
  </r>
  <r>
    <n v="339"/>
    <n v="204"/>
    <n v="279"/>
    <n v="4"/>
    <n v="5580"/>
    <x v="249"/>
    <x v="4"/>
    <n v="277"/>
    <s v="Печенье"/>
    <n v="283.468085106383"/>
    <n v="-0.01576221571718084"/>
    <s v="Юбилейное"/>
    <n v="232.4444444444445"/>
    <d v="2022-07-08T00:00:00"/>
    <x v="271"/>
  </r>
  <r>
    <n v="340"/>
    <n v="60"/>
    <n v="500"/>
    <n v="2"/>
    <n v="5000"/>
    <x v="30"/>
    <x v="19"/>
    <n v="145"/>
    <s v="Кофе"/>
    <n v="249.0238095238095"/>
    <n v="1.007840137680466"/>
    <s v="Jacobs"/>
    <n v="276.2105263157895"/>
    <d v="2022-04-02T00:00:00"/>
    <x v="161"/>
  </r>
  <r>
    <n v="341"/>
    <n v="76"/>
    <n v="92"/>
    <n v="2"/>
    <n v="920"/>
    <x v="250"/>
    <x v="0"/>
    <n v="104"/>
    <s v="Печенье"/>
    <n v="283.468085106383"/>
    <n v="-0.6754484725662389"/>
    <s v="Юбилейное"/>
    <n v="232.4444444444445"/>
    <d v="2022-07-30T00:00:00"/>
    <x v="32"/>
  </r>
  <r>
    <n v="342"/>
    <n v="201"/>
    <n v="179"/>
    <n v="5"/>
    <n v="4475"/>
    <x v="251"/>
    <x v="6"/>
    <n v="109"/>
    <s v="Печенье"/>
    <n v="283.468085106383"/>
    <n v="-0.3685356151017039"/>
    <s v="Белогорье"/>
    <n v="249.5"/>
    <d v="2022-06-20T00:00:00"/>
    <x v="274"/>
  </r>
  <r>
    <n v="343"/>
    <n v="462"/>
    <n v="209"/>
    <n v="4"/>
    <n v="4180"/>
    <x v="17"/>
    <x v="14"/>
    <n v="369"/>
    <s v="Рис"/>
    <n v="258.375"/>
    <n v="-0.1910982099661345"/>
    <s v="Белый Злат"/>
    <n v="269.7058823529412"/>
    <d v="2022-04-27T00:00:00"/>
    <x v="235"/>
  </r>
  <r>
    <n v="344"/>
    <n v="210"/>
    <n v="486"/>
    <n v="5"/>
    <n v="12150"/>
    <x v="252"/>
    <x v="3"/>
    <n v="78"/>
    <s v="Колбаса"/>
    <n v="286.9230769230769"/>
    <n v="0.6938337801608581"/>
    <s v="Окраина"/>
    <n v="273.5833333333333"/>
    <d v="2022-04-07T00:00:00"/>
    <x v="8"/>
  </r>
  <r>
    <n v="345"/>
    <n v="404"/>
    <n v="123"/>
    <n v="1"/>
    <n v="615"/>
    <x v="253"/>
    <x v="12"/>
    <n v="298"/>
    <s v="Йогурт"/>
    <n v="263.2542372881356"/>
    <n v="-0.5327710533092969"/>
    <s v="Ростагроэкспорт"/>
    <n v="257.7826086956522"/>
    <d v="2022-09-17T00:00:00"/>
    <x v="275"/>
  </r>
  <r>
    <n v="346"/>
    <n v="178"/>
    <n v="179"/>
    <n v="1"/>
    <n v="895"/>
    <x v="254"/>
    <x v="13"/>
    <n v="130"/>
    <s v="Йогурт"/>
    <n v="263.2542372881356"/>
    <n v="-0.3200489312387329"/>
    <s v="Ростагроэкспорт"/>
    <n v="257.7826086956522"/>
    <d v="2022-10-29T00:00:00"/>
    <x v="276"/>
  </r>
  <r>
    <n v="347"/>
    <n v="423"/>
    <n v="218"/>
    <n v="3"/>
    <n v="3270"/>
    <x v="255"/>
    <x v="8"/>
    <n v="66"/>
    <s v="Чипсы"/>
    <n v="273.7254901960785"/>
    <n v="-0.2035816618911176"/>
    <s v="Pringles"/>
    <n v="280.2380952380952"/>
    <d v="2022-08-04T00:00:00"/>
    <x v="277"/>
  </r>
  <r>
    <n v="348"/>
    <n v="70"/>
    <n v="51"/>
    <n v="1"/>
    <n v="255"/>
    <x v="121"/>
    <x v="1"/>
    <n v="261"/>
    <s v="Рис"/>
    <n v="258.375"/>
    <n v="-0.8026124818577649"/>
    <s v="Мистраль"/>
    <n v="181.5714285714286"/>
    <d v="2022-10-14T00:00:00"/>
    <x v="278"/>
  </r>
  <r>
    <n v="349"/>
    <n v="335"/>
    <n v="392"/>
    <n v="5"/>
    <n v="9800"/>
    <x v="256"/>
    <x v="8"/>
    <n v="307"/>
    <s v="Хлеб"/>
    <n v="300.3181818181818"/>
    <n v="0.3052822763735432"/>
    <s v="Каравай"/>
    <n v="331.1666666666667"/>
    <d v="2022-07-22T00:00:00"/>
    <x v="49"/>
  </r>
  <r>
    <n v="350"/>
    <n v="427"/>
    <n v="273"/>
    <n v="5"/>
    <n v="6825"/>
    <x v="48"/>
    <x v="14"/>
    <n v="190"/>
    <s v="Хлеб"/>
    <n v="300.3181818181818"/>
    <n v="-0.09096412895413952"/>
    <s v="Русский Хлеб"/>
    <n v="316.6"/>
    <d v="2022-05-08T00:00:00"/>
    <x v="279"/>
  </r>
  <r>
    <n v="351"/>
    <n v="137"/>
    <n v="154"/>
    <n v="1"/>
    <n v="770"/>
    <x v="164"/>
    <x v="16"/>
    <n v="144"/>
    <s v="Фрукты"/>
    <n v="274.1627906976744"/>
    <n v="-0.4382899312918823"/>
    <s v="Экзотик"/>
    <n v="253.6875"/>
    <d v="2022-05-24T00:00:00"/>
    <x v="218"/>
  </r>
  <r>
    <n v="352"/>
    <n v="303"/>
    <n v="68"/>
    <n v="4"/>
    <n v="1360"/>
    <x v="36"/>
    <x v="16"/>
    <n v="76"/>
    <s v="Фрукты"/>
    <n v="274.1627906976744"/>
    <n v="-0.7519721774535584"/>
    <s v="Фруктовый Рай"/>
    <n v="258.3076923076923"/>
    <d v="2022-01-14T00:00:00"/>
    <x v="280"/>
  </r>
  <r>
    <n v="353"/>
    <n v="23"/>
    <n v="380"/>
    <n v="1"/>
    <n v="1900"/>
    <x v="217"/>
    <x v="8"/>
    <n v="84"/>
    <s v="Рыба"/>
    <n v="258.5128205128205"/>
    <n v="0.4699464391985717"/>
    <s v="Санта Бремор"/>
    <n v="216.4"/>
    <d v="2022-09-01T00:00:00"/>
    <x v="281"/>
  </r>
  <r>
    <n v="354"/>
    <n v="398"/>
    <n v="417"/>
    <n v="4"/>
    <n v="8340"/>
    <x v="128"/>
    <x v="15"/>
    <n v="81"/>
    <s v="Сок"/>
    <n v="268.6034482758621"/>
    <n v="0.5524744848834968"/>
    <s v="Фруктовый сад"/>
    <n v="281.96875"/>
    <d v="2022-09-21T00:00:00"/>
    <x v="178"/>
  </r>
  <r>
    <n v="355"/>
    <n v="8"/>
    <n v="404"/>
    <n v="1"/>
    <n v="2020"/>
    <x v="93"/>
    <x v="14"/>
    <n v="157"/>
    <s v="Макароны"/>
    <n v="265.4767441860465"/>
    <n v="0.5217905479392055"/>
    <s v="Паста Зара"/>
    <n v="276.6756756756757"/>
    <d v="2022-08-10T00:00:00"/>
    <x v="282"/>
  </r>
  <r>
    <n v="356"/>
    <n v="485"/>
    <n v="193"/>
    <n v="1"/>
    <n v="965"/>
    <x v="175"/>
    <x v="12"/>
    <n v="57"/>
    <s v="Макароны"/>
    <n v="265.4767441860465"/>
    <n v="-0.2730060006132013"/>
    <s v="Борилла"/>
    <n v="236.2758620689655"/>
    <d v="2022-04-18T00:00:00"/>
    <x v="123"/>
  </r>
  <r>
    <n v="357"/>
    <n v="60"/>
    <n v="320"/>
    <n v="4"/>
    <n v="6400"/>
    <x v="257"/>
    <x v="10"/>
    <n v="273"/>
    <s v="Кофе"/>
    <n v="249.0238095238095"/>
    <n v="0.2850176881154987"/>
    <s v="Jacobs"/>
    <n v="276.2105263157895"/>
    <d v="2022-02-07T00:00:00"/>
    <x v="283"/>
  </r>
  <r>
    <n v="358"/>
    <n v="290"/>
    <n v="470"/>
    <n v="5"/>
    <n v="11750"/>
    <x v="103"/>
    <x v="12"/>
    <n v="479"/>
    <s v="Сахар"/>
    <n v="252.7627118644068"/>
    <n v="0.8594514852812982"/>
    <s v="Продимекс"/>
    <n v="240.5"/>
    <d v="2022-08-20T00:00:00"/>
    <x v="284"/>
  </r>
  <r>
    <n v="359"/>
    <n v="386"/>
    <n v="424"/>
    <n v="3"/>
    <n v="6360"/>
    <x v="218"/>
    <x v="19"/>
    <n v="406"/>
    <s v="Крупа"/>
    <n v="255.1162790697674"/>
    <n v="0.6619872379216043"/>
    <s v="Увелка"/>
    <n v="251.9166666666667"/>
    <d v="2022-11-30T00:00:00"/>
    <x v="272"/>
  </r>
  <r>
    <n v="360"/>
    <n v="348"/>
    <n v="147"/>
    <n v="4"/>
    <n v="2940"/>
    <x v="201"/>
    <x v="14"/>
    <n v="157"/>
    <s v="Чипсы"/>
    <n v="273.7254901960785"/>
    <n v="-0.4629656160458453"/>
    <s v="Estrella"/>
    <n v="266.2727272727273"/>
    <d v="2022-08-10T00:00:00"/>
    <x v="16"/>
  </r>
  <r>
    <n v="361"/>
    <n v="350"/>
    <n v="319"/>
    <n v="3"/>
    <n v="4785"/>
    <x v="258"/>
    <x v="0"/>
    <n v="56"/>
    <s v="Фрукты"/>
    <n v="274.1627906976744"/>
    <n v="0.163542285181101"/>
    <s v="Фрукты-Ягоды"/>
    <n v="280.6666666666667"/>
    <d v="2022-04-11T00:00:00"/>
    <x v="285"/>
  </r>
  <r>
    <n v="362"/>
    <n v="126"/>
    <n v="479"/>
    <n v="2"/>
    <n v="4790"/>
    <x v="210"/>
    <x v="16"/>
    <n v="10"/>
    <s v="Сахар"/>
    <n v="252.7627118644068"/>
    <n v="0.8950580030845572"/>
    <s v="Русский сахар"/>
    <n v="293.4117647058824"/>
    <d v="2022-11-16T00:00:00"/>
    <x v="286"/>
  </r>
  <r>
    <n v="363"/>
    <n v="258"/>
    <n v="181"/>
    <n v="5"/>
    <n v="4525"/>
    <x v="259"/>
    <x v="19"/>
    <n v="174"/>
    <s v="Рыба"/>
    <n v="258.5128205128205"/>
    <n v="-0.2998413013291014"/>
    <s v="Санта Бремор"/>
    <n v="216.4"/>
    <d v="2022-08-06T00:00:00"/>
    <x v="287"/>
  </r>
  <r>
    <n v="364"/>
    <n v="325"/>
    <n v="361"/>
    <n v="5"/>
    <n v="9025"/>
    <x v="244"/>
    <x v="3"/>
    <n v="110"/>
    <s v="Сок"/>
    <n v="268.6034482758621"/>
    <n v="0.343988702740869"/>
    <s v="Добрый"/>
    <n v="242.8181818181818"/>
    <d v="2022-01-19T00:00:00"/>
    <x v="288"/>
  </r>
  <r>
    <n v="365"/>
    <n v="320"/>
    <n v="254"/>
    <n v="1"/>
    <n v="1270"/>
    <x v="72"/>
    <x v="11"/>
    <n v="72"/>
    <s v="Конфеты"/>
    <n v="267.8548387096774"/>
    <n v="-0.05172517613054739"/>
    <s v="Бабаевский"/>
    <n v="250.2592592592593"/>
    <d v="2022-12-11T00:00:00"/>
    <x v="289"/>
  </r>
  <r>
    <n v="366"/>
    <n v="329"/>
    <n v="187"/>
    <n v="4"/>
    <n v="3740"/>
    <x v="260"/>
    <x v="12"/>
    <n v="307"/>
    <s v="Соль"/>
    <n v="264.8679245283019"/>
    <n v="-0.293987747542385"/>
    <s v="Славянская"/>
    <n v="236.9166666666667"/>
    <d v="2022-07-22T00:00:00"/>
    <x v="174"/>
  </r>
  <r>
    <n v="367"/>
    <n v="226"/>
    <n v="155"/>
    <n v="4"/>
    <n v="3100"/>
    <x v="167"/>
    <x v="13"/>
    <n v="202"/>
    <s v="Сыр"/>
    <n v="262.6349206349207"/>
    <n v="-0.4098271485555421"/>
    <s v="Карат"/>
    <n v="311.3333333333333"/>
    <d v="2022-07-24T00:00:00"/>
    <x v="290"/>
  </r>
  <r>
    <n v="368"/>
    <n v="270"/>
    <n v="78"/>
    <n v="4"/>
    <n v="1560"/>
    <x v="261"/>
    <x v="16"/>
    <n v="157"/>
    <s v="Соль"/>
    <n v="264.8679245283019"/>
    <n v="-0.7055136059267701"/>
    <s v="Славянская"/>
    <n v="236.9166666666667"/>
    <d v="2022-08-10T00:00:00"/>
    <x v="291"/>
  </r>
  <r>
    <n v="369"/>
    <n v="233"/>
    <n v="478"/>
    <n v="2"/>
    <n v="4780"/>
    <x v="37"/>
    <x v="14"/>
    <n v="270"/>
    <s v="Йогурт"/>
    <n v="263.2542372881356"/>
    <n v="0.8157352562451714"/>
    <s v="Ростагроэкспорт"/>
    <n v="257.7826086956522"/>
    <d v="2022-09-23T00:00:00"/>
    <x v="14"/>
  </r>
  <r>
    <n v="370"/>
    <n v="178"/>
    <n v="176"/>
    <n v="5"/>
    <n v="4400"/>
    <x v="87"/>
    <x v="9"/>
    <n v="65"/>
    <s v="Йогурт"/>
    <n v="263.2542372881356"/>
    <n v="-0.3314447592067988"/>
    <s v="Ростагроэкспорт"/>
    <n v="257.7826086956522"/>
    <d v="2022-03-03T00:00:00"/>
    <x v="41"/>
  </r>
  <r>
    <n v="371"/>
    <n v="293"/>
    <n v="179"/>
    <n v="4"/>
    <n v="3580"/>
    <x v="240"/>
    <x v="3"/>
    <n v="38"/>
    <s v="Конфеты"/>
    <n v="267.8548387096774"/>
    <n v="-0.3317275847534172"/>
    <s v="Бабаевский"/>
    <n v="250.2592592592593"/>
    <d v="2022-09-15T00:00:00"/>
    <x v="52"/>
  </r>
  <r>
    <n v="372"/>
    <n v="286"/>
    <n v="122"/>
    <n v="5"/>
    <n v="3050"/>
    <x v="191"/>
    <x v="5"/>
    <n v="356"/>
    <s v="Йогурт"/>
    <n v="263.2542372881356"/>
    <n v="-0.5365696626319856"/>
    <s v="Ростагроэкспорт"/>
    <n v="257.7826086956522"/>
    <d v="2022-01-09T00:00:00"/>
    <x v="292"/>
  </r>
  <r>
    <n v="373"/>
    <n v="11"/>
    <n v="199"/>
    <n v="4"/>
    <n v="3980"/>
    <x v="262"/>
    <x v="9"/>
    <n v="296"/>
    <s v="Хлеб"/>
    <n v="300.3181818181818"/>
    <n v="-0.3373694566369002"/>
    <s v="Русский Хлеб"/>
    <n v="316.6"/>
    <d v="2022-07-16T00:00:00"/>
    <x v="138"/>
  </r>
  <r>
    <n v="374"/>
    <n v="441"/>
    <n v="173"/>
    <n v="3"/>
    <n v="2595"/>
    <x v="6"/>
    <x v="6"/>
    <n v="62"/>
    <s v="Чай"/>
    <n v="271.1818181818182"/>
    <n v="-0.3620516258799866"/>
    <s v="Lipton"/>
    <n v="260.1578947368421"/>
    <d v="2022-04-20T00:00:00"/>
    <x v="108"/>
  </r>
  <r>
    <n v="375"/>
    <n v="19"/>
    <n v="142"/>
    <n v="3"/>
    <n v="2130"/>
    <x v="211"/>
    <x v="2"/>
    <n v="18"/>
    <s v="Мясо"/>
    <n v="271.7454545454545"/>
    <n v="-0.4774521611133413"/>
    <s v="Снежана"/>
    <n v="272.3529411764706"/>
    <d v="2022-01-17T00:00:00"/>
    <x v="293"/>
  </r>
  <r>
    <n v="376"/>
    <n v="340"/>
    <n v="157"/>
    <n v="2"/>
    <n v="1570"/>
    <x v="263"/>
    <x v="10"/>
    <n v="376"/>
    <s v="Сыр"/>
    <n v="262.6349206349207"/>
    <n v="-0.4022120149885169"/>
    <s v="Карат"/>
    <n v="311.3333333333333"/>
    <d v="2022-06-18T00:00:00"/>
    <x v="294"/>
  </r>
  <r>
    <n v="377"/>
    <n v="142"/>
    <n v="160"/>
    <n v="4"/>
    <n v="3200"/>
    <x v="29"/>
    <x v="2"/>
    <n v="459"/>
    <s v="Фрукты"/>
    <n v="274.1627906976744"/>
    <n v="-0.4164051234201375"/>
    <s v="Фруктовый Рай"/>
    <n v="258.3076923076923"/>
    <d v="2022-07-01T00:00:00"/>
    <x v="116"/>
  </r>
  <r>
    <n v="378"/>
    <n v="452"/>
    <n v="325"/>
    <n v="2"/>
    <n v="3250"/>
    <x v="264"/>
    <x v="7"/>
    <n v="88"/>
    <s v="Фрукты"/>
    <n v="274.1627906976744"/>
    <n v="0.1854270930528459"/>
    <s v="Экзотик"/>
    <n v="253.6875"/>
    <d v="2022-03-10T00:00:00"/>
    <x v="295"/>
  </r>
  <r>
    <n v="379"/>
    <n v="340"/>
    <n v="457"/>
    <n v="1"/>
    <n v="2285"/>
    <x v="212"/>
    <x v="5"/>
    <n v="325"/>
    <s v="Сыр"/>
    <n v="262.6349206349207"/>
    <n v="0.7400580200652724"/>
    <s v="Карат"/>
    <n v="311.3333333333333"/>
    <d v="2022-11-10T00:00:00"/>
    <x v="296"/>
  </r>
  <r>
    <n v="380"/>
    <n v="466"/>
    <n v="425"/>
    <n v="5"/>
    <n v="10625"/>
    <x v="265"/>
    <x v="13"/>
    <n v="129"/>
    <s v="Фрукты"/>
    <n v="274.1627906976744"/>
    <n v="0.5501738909152598"/>
    <s v="Green Garden"/>
    <n v="369.2"/>
    <d v="2022-11-03T00:00:00"/>
    <x v="34"/>
  </r>
  <r>
    <n v="381"/>
    <n v="71"/>
    <n v="125"/>
    <n v="4"/>
    <n v="2500"/>
    <x v="248"/>
    <x v="9"/>
    <n v="19"/>
    <s v="Печенье"/>
    <n v="283.468085106383"/>
    <n v="-0.5590332507693463"/>
    <s v="Белогорье"/>
    <n v="249.5"/>
    <d v="2022-12-07T00:00:00"/>
    <x v="297"/>
  </r>
  <r>
    <n v="382"/>
    <n v="451"/>
    <n v="227"/>
    <n v="3"/>
    <n v="3405"/>
    <x v="266"/>
    <x v="10"/>
    <n v="304"/>
    <s v="Рис"/>
    <n v="258.375"/>
    <n v="-0.1214320270924044"/>
    <s v="Белый Злат"/>
    <n v="269.7058823529412"/>
    <d v="2022-11-21T00:00:00"/>
    <x v="298"/>
  </r>
  <r>
    <n v="383"/>
    <n v="116"/>
    <n v="426"/>
    <n v="5"/>
    <n v="10650"/>
    <x v="69"/>
    <x v="17"/>
    <n v="285"/>
    <s v="Соль"/>
    <n v="264.8679245283019"/>
    <n v="0.6083487676307167"/>
    <s v="Экстра"/>
    <n v="320.8461538461539"/>
    <d v="2022-12-27T00:00:00"/>
    <x v="299"/>
  </r>
  <r>
    <n v="384"/>
    <n v="480"/>
    <n v="70"/>
    <n v="1"/>
    <n v="350"/>
    <x v="212"/>
    <x v="2"/>
    <n v="464"/>
    <s v="Молоко"/>
    <n v="294.952380952381"/>
    <n v="-0.7626735550532774"/>
    <s v="Беллакт"/>
    <n v="322.5454545454546"/>
    <d v="2022-09-23T00:00:00"/>
    <x v="300"/>
  </r>
  <r>
    <n v="385"/>
    <n v="409"/>
    <n v="386"/>
    <n v="1"/>
    <n v="1930"/>
    <x v="231"/>
    <x v="5"/>
    <n v="461"/>
    <s v="Фрукты"/>
    <n v="274.1627906976744"/>
    <n v="0.4079226397489184"/>
    <s v="Фруктовый Рай"/>
    <n v="258.3076923076923"/>
    <d v="2022-04-16T00:00:00"/>
    <x v="275"/>
  </r>
  <r>
    <n v="386"/>
    <n v="129"/>
    <n v="235"/>
    <n v="2"/>
    <n v="2350"/>
    <x v="267"/>
    <x v="2"/>
    <n v="149"/>
    <s v="Мясо"/>
    <n v="271.7454545454545"/>
    <n v="-0.1352201257861635"/>
    <s v="Агрокомплекс"/>
    <n v="311.2"/>
    <d v="2022-11-17T00:00:00"/>
    <x v="301"/>
  </r>
  <r>
    <n v="387"/>
    <n v="283"/>
    <n v="107"/>
    <n v="3"/>
    <n v="1605"/>
    <x v="152"/>
    <x v="10"/>
    <n v="222"/>
    <s v="Конфеты"/>
    <n v="267.8548387096774"/>
    <n v="-0.6005298970313724"/>
    <s v="Рот Фронт"/>
    <n v="288.2380952380952"/>
    <d v="2022-05-13T00:00:00"/>
    <x v="302"/>
  </r>
  <r>
    <n v="388"/>
    <n v="36"/>
    <n v="83"/>
    <n v="4"/>
    <n v="1660"/>
    <x v="176"/>
    <x v="5"/>
    <n v="333"/>
    <s v="Макароны"/>
    <n v="265.4767441860465"/>
    <n v="-0.6873549121808068"/>
    <s v="Роллтон"/>
    <n v="235.5555555555555"/>
    <d v="2022-10-23T00:00:00"/>
    <x v="11"/>
  </r>
  <r>
    <n v="389"/>
    <n v="290"/>
    <n v="50"/>
    <n v="5"/>
    <n v="1250"/>
    <x v="268"/>
    <x v="9"/>
    <n v="495"/>
    <s v="Сахар"/>
    <n v="252.7627118644068"/>
    <n v="-0.8021860122041172"/>
    <s v="Продимекс"/>
    <n v="240.5"/>
    <d v="2022-04-03T00:00:00"/>
    <x v="303"/>
  </r>
  <r>
    <n v="390"/>
    <n v="229"/>
    <n v="269"/>
    <n v="5"/>
    <n v="6725"/>
    <x v="199"/>
    <x v="6"/>
    <n v="278"/>
    <s v="Мясо"/>
    <n v="271.7454545454545"/>
    <n v="-0.01010303760203402"/>
    <s v="Сава"/>
    <n v="212.8125"/>
    <d v="2022-12-25T00:00:00"/>
    <x v="62"/>
  </r>
  <r>
    <n v="391"/>
    <n v="313"/>
    <n v="385"/>
    <n v="4"/>
    <n v="7700"/>
    <x v="269"/>
    <x v="10"/>
    <n v="246"/>
    <s v="Конфеты"/>
    <n v="267.8548387096774"/>
    <n v="0.4373456975973986"/>
    <s v="Бабаевский"/>
    <n v="250.2592592592593"/>
    <d v="2022-09-01T00:00:00"/>
    <x v="304"/>
  </r>
  <r>
    <n v="392"/>
    <n v="368"/>
    <n v="64"/>
    <n v="5"/>
    <n v="1600"/>
    <x v="270"/>
    <x v="4"/>
    <n v="480"/>
    <s v="Сыр"/>
    <n v="262.6349206349207"/>
    <n v="-0.7563157258551916"/>
    <s v="Сырная долина"/>
    <n v="271"/>
    <d v="2022-01-07T00:00:00"/>
    <x v="305"/>
  </r>
  <r>
    <n v="393"/>
    <n v="322"/>
    <n v="223"/>
    <n v="2"/>
    <n v="2230"/>
    <x v="271"/>
    <x v="7"/>
    <n v="205"/>
    <s v="Крупа"/>
    <n v="255.1162790697674"/>
    <n v="-0.1258887876025524"/>
    <s v="Увелка"/>
    <n v="251.9166666666667"/>
    <d v="2022-12-23T00:00:00"/>
    <x v="260"/>
  </r>
  <r>
    <n v="394"/>
    <n v="206"/>
    <n v="226"/>
    <n v="2"/>
    <n v="2260"/>
    <x v="131"/>
    <x v="7"/>
    <n v="357"/>
    <s v="Молоко"/>
    <n v="294.952380952381"/>
    <n v="-0.2337746206005812"/>
    <s v="Домик в деревне"/>
    <n v="274.7777777777778"/>
    <d v="2022-12-18T00:00:00"/>
    <x v="202"/>
  </r>
  <r>
    <n v="395"/>
    <n v="18"/>
    <n v="459"/>
    <n v="3"/>
    <n v="6885"/>
    <x v="272"/>
    <x v="8"/>
    <n v="152"/>
    <s v="Рыба"/>
    <n v="258.5128205128205"/>
    <n v="0.7755405673477487"/>
    <s v="Меридиан"/>
    <n v="260.6470588235294"/>
    <d v="2022-08-18T00:00:00"/>
    <x v="273"/>
  </r>
  <r>
    <n v="396"/>
    <n v="145"/>
    <n v="455"/>
    <n v="3"/>
    <n v="6825"/>
    <x v="273"/>
    <x v="14"/>
    <n v="323"/>
    <s v="Овощи"/>
    <n v="250.4878048780488"/>
    <n v="0.8164556962025316"/>
    <s v="Семко"/>
    <n v="208"/>
    <d v="2022-09-17T00:00:00"/>
    <x v="306"/>
  </r>
  <r>
    <n v="397"/>
    <n v="491"/>
    <n v="193"/>
    <n v="1"/>
    <n v="965"/>
    <x v="274"/>
    <x v="6"/>
    <n v="185"/>
    <s v="Овощи"/>
    <n v="250.4878048780488"/>
    <n v="-0.2295034079844207"/>
    <s v="Зеленая грядка"/>
    <n v="159.2"/>
    <d v="2022-05-02T00:00:00"/>
    <x v="307"/>
  </r>
  <r>
    <n v="398"/>
    <n v="258"/>
    <n v="113"/>
    <n v="1"/>
    <n v="565"/>
    <x v="148"/>
    <x v="16"/>
    <n v="314"/>
    <s v="Рыба"/>
    <n v="258.5128205128205"/>
    <n v="-0.5628843483435826"/>
    <s v="Санта Бремор"/>
    <n v="216.4"/>
    <d v="2022-12-04T00:00:00"/>
    <x v="24"/>
  </r>
  <r>
    <n v="399"/>
    <n v="29"/>
    <n v="91"/>
    <n v="5"/>
    <n v="2275"/>
    <x v="275"/>
    <x v="0"/>
    <n v="476"/>
    <s v="Соль"/>
    <n v="264.8679245283019"/>
    <n v="-0.6564325402478985"/>
    <s v="Илецкая"/>
    <n v="238.1666666666667"/>
    <d v="2022-05-22T00:00:00"/>
    <x v="308"/>
  </r>
  <r>
    <n v="400"/>
    <n v="321"/>
    <n v="61"/>
    <n v="5"/>
    <n v="1525"/>
    <x v="42"/>
    <x v="12"/>
    <n v="375"/>
    <s v="Мясо"/>
    <n v="271.7454545454545"/>
    <n v="-0.7755252241402382"/>
    <s v="Сава"/>
    <n v="212.8125"/>
    <d v="2022-04-23T00:00:00"/>
    <x v="230"/>
  </r>
  <r>
    <n v="401"/>
    <n v="50"/>
    <n v="95"/>
    <n v="4"/>
    <n v="1900"/>
    <x v="129"/>
    <x v="12"/>
    <n v="376"/>
    <s v="Сок"/>
    <n v="268.6034482758621"/>
    <n v="-0.6463187624366133"/>
    <s v="Добрый"/>
    <n v="242.8181818181818"/>
    <d v="2022-06-18T00:00:00"/>
    <x v="12"/>
  </r>
  <r>
    <n v="402"/>
    <n v="495"/>
    <n v="469"/>
    <n v="2"/>
    <n v="4690"/>
    <x v="27"/>
    <x v="16"/>
    <n v="233"/>
    <s v="Чай"/>
    <n v="271.1818181818182"/>
    <n v="0.7294669795507878"/>
    <s v="Greenfield"/>
    <n v="291.4545454545454"/>
    <d v="2022-02-24T00:00:00"/>
    <x v="309"/>
  </r>
  <r>
    <n v="403"/>
    <n v="207"/>
    <n v="237"/>
    <n v="2"/>
    <n v="2370"/>
    <x v="138"/>
    <x v="3"/>
    <n v="69"/>
    <s v="Сахар"/>
    <n v="252.7627118644068"/>
    <n v="-0.06236169784751555"/>
    <s v="Агросахар"/>
    <n v="215.8571428571429"/>
    <d v="2022-01-26T00:00:00"/>
    <x v="117"/>
  </r>
  <r>
    <n v="404"/>
    <n v="145"/>
    <n v="356"/>
    <n v="3"/>
    <n v="5340"/>
    <x v="276"/>
    <x v="0"/>
    <n v="254"/>
    <s v="Овощи"/>
    <n v="250.4878048780488"/>
    <n v="0.4212268743914314"/>
    <s v="Семко"/>
    <n v="208"/>
    <d v="2022-10-28T00:00:00"/>
    <x v="310"/>
  </r>
  <r>
    <n v="405"/>
    <n v="249"/>
    <n v="275"/>
    <n v="3"/>
    <n v="4125"/>
    <x v="103"/>
    <x v="15"/>
    <n v="219"/>
    <s v="Чай"/>
    <n v="271.1818181818182"/>
    <n v="0.01407978545088828"/>
    <s v="Lipton"/>
    <n v="260.1578947368421"/>
    <d v="2022-01-24T00:00:00"/>
    <x v="311"/>
  </r>
  <r>
    <n v="406"/>
    <n v="377"/>
    <n v="129"/>
    <n v="1"/>
    <n v="645"/>
    <x v="277"/>
    <x v="4"/>
    <n v="456"/>
    <s v="Колбаса"/>
    <n v="286.9230769230769"/>
    <n v="-0.5504021447721179"/>
    <s v="Окраина"/>
    <n v="273.5833333333333"/>
    <d v="2022-02-26T00:00:00"/>
    <x v="15"/>
  </r>
  <r>
    <n v="407"/>
    <n v="427"/>
    <n v="499"/>
    <n v="4"/>
    <n v="9980"/>
    <x v="27"/>
    <x v="15"/>
    <n v="283"/>
    <s v="Хлеб"/>
    <n v="300.3181818181818"/>
    <n v="0.6615710609959136"/>
    <s v="Русский Хлеб"/>
    <n v="316.6"/>
    <d v="2022-11-24T00:00:00"/>
    <x v="312"/>
  </r>
  <r>
    <n v="408"/>
    <n v="445"/>
    <n v="164"/>
    <n v="2"/>
    <n v="1640"/>
    <x v="240"/>
    <x v="7"/>
    <n v="232"/>
    <s v="Сахар"/>
    <n v="252.7627118644068"/>
    <n v="-0.3511701200295044"/>
    <s v="Сладов"/>
    <n v="240.2666666666667"/>
    <d v="2022-12-28T00:00:00"/>
    <x v="187"/>
  </r>
  <r>
    <n v="409"/>
    <n v="336"/>
    <n v="265"/>
    <n v="3"/>
    <n v="3975"/>
    <x v="278"/>
    <x v="1"/>
    <n v="434"/>
    <s v="Чипсы"/>
    <n v="273.7254901960785"/>
    <n v="-0.03187679083094563"/>
    <s v="Estrella"/>
    <n v="266.2727272727273"/>
    <d v="2022-06-18T00:00:00"/>
    <x v="281"/>
  </r>
  <r>
    <n v="410"/>
    <n v="96"/>
    <n v="386"/>
    <n v="4"/>
    <n v="7720"/>
    <x v="279"/>
    <x v="9"/>
    <n v="252"/>
    <s v="Соль"/>
    <n v="264.8679245283019"/>
    <n v="0.4573301040034192"/>
    <s v="Салта"/>
    <n v="273.7"/>
    <d v="2022-03-23T00:00:00"/>
    <x v="313"/>
  </r>
  <r>
    <n v="411"/>
    <n v="117"/>
    <n v="288"/>
    <n v="5"/>
    <n v="7200"/>
    <x v="280"/>
    <x v="11"/>
    <n v="372"/>
    <s v="Макароны"/>
    <n v="265.4767441860465"/>
    <n v="0.08484078664973072"/>
    <s v="Роллтон"/>
    <n v="235.5555555555555"/>
    <d v="2022-07-30T00:00:00"/>
    <x v="210"/>
  </r>
  <r>
    <n v="412"/>
    <n v="440"/>
    <n v="201"/>
    <n v="5"/>
    <n v="5025"/>
    <x v="281"/>
    <x v="14"/>
    <n v="432"/>
    <s v="Фрукты"/>
    <n v="274.1627906976744"/>
    <n v="-0.2668589362965477"/>
    <s v="Фруктовый Рай"/>
    <n v="258.3076923076923"/>
    <d v="2022-06-06T00:00:00"/>
    <x v="314"/>
  </r>
  <r>
    <n v="413"/>
    <n v="51"/>
    <n v="271"/>
    <n v="4"/>
    <n v="5420"/>
    <x v="282"/>
    <x v="7"/>
    <n v="221"/>
    <s v="Колбаса"/>
    <n v="286.9230769230769"/>
    <n v="-0.05549597855227872"/>
    <s v="Дымов"/>
    <n v="312.6666666666667"/>
    <d v="2022-09-16T00:00:00"/>
    <x v="86"/>
  </r>
  <r>
    <n v="414"/>
    <n v="398"/>
    <n v="419"/>
    <n v="2"/>
    <n v="4190"/>
    <x v="165"/>
    <x v="16"/>
    <n v="164"/>
    <s v="Сок"/>
    <n v="268.6034482758621"/>
    <n v="0.559920405674305"/>
    <s v="Фруктовый сад"/>
    <n v="281.96875"/>
    <d v="2022-04-27T00:00:00"/>
    <x v="315"/>
  </r>
  <r>
    <n v="415"/>
    <n v="443"/>
    <n v="192"/>
    <n v="5"/>
    <n v="4800"/>
    <x v="108"/>
    <x v="14"/>
    <n v="413"/>
    <s v="Кофе"/>
    <n v="249.0238095238095"/>
    <n v="-0.2289893871307008"/>
    <s v="Jacobs"/>
    <n v="276.2105263157895"/>
    <d v="2022-05-18T00:00:00"/>
    <x v="217"/>
  </r>
  <r>
    <n v="416"/>
    <n v="118"/>
    <n v="193"/>
    <n v="2"/>
    <n v="1930"/>
    <x v="53"/>
    <x v="3"/>
    <n v="148"/>
    <s v="Сахар"/>
    <n v="252.7627118644068"/>
    <n v="-0.2364380071078924"/>
    <s v="Продимекс"/>
    <n v="240.5"/>
    <d v="2022-05-19T00:00:00"/>
    <x v="316"/>
  </r>
  <r>
    <n v="417"/>
    <n v="371"/>
    <n v="245"/>
    <n v="1"/>
    <n v="1225"/>
    <x v="225"/>
    <x v="19"/>
    <n v="209"/>
    <s v="Сахар"/>
    <n v="252.7627118644068"/>
    <n v="-0.03071145980017431"/>
    <s v="Русский сахар"/>
    <n v="293.4117647058824"/>
    <d v="2022-03-08T00:00:00"/>
    <x v="317"/>
  </r>
  <r>
    <n v="418"/>
    <n v="216"/>
    <n v="209"/>
    <n v="3"/>
    <n v="3135"/>
    <x v="283"/>
    <x v="8"/>
    <n v="263"/>
    <s v="Кофе"/>
    <n v="249.0238095238095"/>
    <n v="-0.1607228224495649"/>
    <s v="Черная Карта"/>
    <n v="222.2"/>
    <d v="2022-02-20T00:00:00"/>
    <x v="318"/>
  </r>
  <r>
    <n v="419"/>
    <n v="390"/>
    <n v="120"/>
    <n v="1"/>
    <n v="600"/>
    <x v="105"/>
    <x v="6"/>
    <n v="449"/>
    <s v="Сок"/>
    <n v="268.6034482758621"/>
    <n v="-0.5532447525515116"/>
    <s v="Сады Придонья"/>
    <n v="254.1818181818182"/>
    <d v="2022-03-25T00:00:00"/>
    <x v="319"/>
  </r>
  <r>
    <n v="420"/>
    <n v="14"/>
    <n v="251"/>
    <n v="1"/>
    <n v="1255"/>
    <x v="79"/>
    <x v="15"/>
    <n v="321"/>
    <s v="Сок"/>
    <n v="268.6034482758621"/>
    <n v="-0.06553694075357863"/>
    <s v="Rich"/>
    <n v="272.25"/>
    <d v="2022-07-14T00:00:00"/>
    <x v="84"/>
  </r>
  <r>
    <n v="421"/>
    <n v="451"/>
    <n v="443"/>
    <n v="4"/>
    <n v="8860"/>
    <x v="95"/>
    <x v="18"/>
    <n v="101"/>
    <s v="Рис"/>
    <n v="258.375"/>
    <n v="0.7145621673923561"/>
    <s v="Белый Злат"/>
    <n v="269.7058823529412"/>
    <d v="2022-06-15T00:00:00"/>
    <x v="320"/>
  </r>
  <r>
    <n v="422"/>
    <n v="312"/>
    <n v="234"/>
    <n v="1"/>
    <n v="1170"/>
    <x v="284"/>
    <x v="9"/>
    <n v="124"/>
    <s v="Хлеб"/>
    <n v="300.3181818181818"/>
    <n v="-0.2208263962464053"/>
    <s v="Каравай"/>
    <n v="331.1666666666667"/>
    <d v="2022-08-22T00:00:00"/>
    <x v="58"/>
  </r>
  <r>
    <n v="423"/>
    <n v="217"/>
    <n v="260"/>
    <n v="5"/>
    <n v="6500"/>
    <x v="180"/>
    <x v="4"/>
    <n v="257"/>
    <s v="Мясо"/>
    <n v="271.7454545454545"/>
    <n v="-0.04322226682724473"/>
    <s v="Агрокомплекс"/>
    <n v="311.2"/>
    <d v="2022-05-20T00:00:00"/>
    <x v="142"/>
  </r>
  <r>
    <n v="424"/>
    <n v="10"/>
    <n v="203"/>
    <n v="4"/>
    <n v="4060"/>
    <x v="194"/>
    <x v="4"/>
    <n v="276"/>
    <s v="Сок"/>
    <n v="268.6034482758621"/>
    <n v="-0.2442390397329739"/>
    <s v="Фруктовый сад"/>
    <n v="281.96875"/>
    <d v="2022-03-12T00:00:00"/>
    <x v="321"/>
  </r>
  <r>
    <n v="425"/>
    <n v="60"/>
    <n v="251"/>
    <n v="2"/>
    <n v="2510"/>
    <x v="143"/>
    <x v="17"/>
    <n v="309"/>
    <s v="Кофе"/>
    <n v="249.0238095238095"/>
    <n v="0.007935749115594248"/>
    <s v="Jacobs"/>
    <n v="276.2105263157895"/>
    <d v="2022-05-30T00:00:00"/>
    <x v="322"/>
  </r>
  <r>
    <n v="426"/>
    <n v="74"/>
    <n v="210"/>
    <n v="3"/>
    <n v="3150"/>
    <x v="165"/>
    <x v="9"/>
    <n v="319"/>
    <s v="Колбаса"/>
    <n v="286.9230769230769"/>
    <n v="-0.2680965147453083"/>
    <s v="Черкизово"/>
    <n v="320.25"/>
    <d v="2022-04-23T00:00:00"/>
    <x v="68"/>
  </r>
  <r>
    <n v="427"/>
    <n v="116"/>
    <n v="295"/>
    <n v="1"/>
    <n v="1475"/>
    <x v="127"/>
    <x v="2"/>
    <n v="359"/>
    <s v="Соль"/>
    <n v="264.8679245283019"/>
    <n v="0.1137626442513178"/>
    <s v="Экстра"/>
    <n v="320.8461538461539"/>
    <d v="2022-01-23T00:00:00"/>
    <x v="309"/>
  </r>
  <r>
    <n v="428"/>
    <n v="401"/>
    <n v="78"/>
    <n v="3"/>
    <n v="1170"/>
    <x v="285"/>
    <x v="2"/>
    <n v="395"/>
    <s v="Чай"/>
    <n v="271.1818181818182"/>
    <n v="-0.7123700972175662"/>
    <s v="Greenfield"/>
    <n v="291.4545454545454"/>
    <d v="2022-11-25T00:00:00"/>
    <x v="323"/>
  </r>
  <r>
    <n v="429"/>
    <n v="348"/>
    <n v="162"/>
    <n v="2"/>
    <n v="1620"/>
    <x v="286"/>
    <x v="11"/>
    <n v="107"/>
    <s v="Чипсы"/>
    <n v="273.7254901960785"/>
    <n v="-0.4081661891117478"/>
    <s v="Estrella"/>
    <n v="266.2727272727273"/>
    <d v="2022-07-02T00:00:00"/>
    <x v="324"/>
  </r>
  <r>
    <n v="430"/>
    <n v="382"/>
    <n v="278"/>
    <n v="2"/>
    <n v="2780"/>
    <x v="287"/>
    <x v="17"/>
    <n v="103"/>
    <s v="Овощи"/>
    <n v="250.4878048780488"/>
    <n v="0.1098344693281401"/>
    <s v="Овощной ряд"/>
    <n v="303.8235294117647"/>
    <d v="2022-08-14T00:00:00"/>
    <x v="325"/>
  </r>
  <r>
    <n v="431"/>
    <n v="477"/>
    <n v="420"/>
    <n v="1"/>
    <n v="2100"/>
    <x v="250"/>
    <x v="3"/>
    <n v="221"/>
    <s v="Макароны"/>
    <n v="265.4767441860465"/>
    <n v="0.5820594805308572"/>
    <s v="Борилла"/>
    <n v="236.2758620689655"/>
    <d v="2022-09-16T00:00:00"/>
    <x v="103"/>
  </r>
  <r>
    <n v="432"/>
    <n v="91"/>
    <n v="413"/>
    <n v="2"/>
    <n v="4130"/>
    <x v="87"/>
    <x v="11"/>
    <n v="31"/>
    <s v="Сыр"/>
    <n v="262.6349206349207"/>
    <n v="0.5725250815907166"/>
    <s v="Сырная долина"/>
    <n v="271"/>
    <d v="2022-01-19T00:00:00"/>
    <x v="326"/>
  </r>
  <r>
    <n v="433"/>
    <n v="52"/>
    <n v="272"/>
    <n v="3"/>
    <n v="4080"/>
    <x v="288"/>
    <x v="1"/>
    <n v="306"/>
    <s v="Соль"/>
    <n v="264.8679245283019"/>
    <n v="0.02692691266562175"/>
    <s v="Илецкая"/>
    <n v="238.1666666666667"/>
    <d v="2022-11-07T00:00:00"/>
    <x v="327"/>
  </r>
  <r>
    <n v="434"/>
    <n v="438"/>
    <n v="435"/>
    <n v="1"/>
    <n v="2175"/>
    <x v="213"/>
    <x v="19"/>
    <n v="383"/>
    <s v="Кофе"/>
    <n v="249.0238095238095"/>
    <n v="0.7468209197820059"/>
    <s v="Nescafe"/>
    <n v="256.9"/>
    <d v="2022-11-11T00:00:00"/>
    <x v="328"/>
  </r>
  <r>
    <n v="435"/>
    <n v="384"/>
    <n v="303"/>
    <n v="2"/>
    <n v="3030"/>
    <x v="4"/>
    <x v="6"/>
    <n v="235"/>
    <s v="Сахар"/>
    <n v="252.7627118644068"/>
    <n v="0.1987527660430497"/>
    <s v="Сладов"/>
    <n v="240.2666666666667"/>
    <d v="2022-03-15T00:00:00"/>
    <x v="84"/>
  </r>
  <r>
    <n v="436"/>
    <n v="473"/>
    <n v="231"/>
    <n v="3"/>
    <n v="3465"/>
    <x v="289"/>
    <x v="3"/>
    <n v="448"/>
    <s v="Хлеб"/>
    <n v="300.3181818181818"/>
    <n v="-0.2308158014227335"/>
    <s v="Хлебный Дом"/>
    <n v="281.7333333333333"/>
    <d v="2022-07-28T00:00:00"/>
    <x v="155"/>
  </r>
  <r>
    <n v="437"/>
    <n v="383"/>
    <n v="429"/>
    <n v="4"/>
    <n v="8580"/>
    <x v="290"/>
    <x v="12"/>
    <n v="367"/>
    <s v="Фрукты"/>
    <n v="274.1627906976744"/>
    <n v="0.5647637628297564"/>
    <s v="Фруктовый Рай"/>
    <n v="258.3076923076923"/>
    <d v="2022-11-02T00:00:00"/>
    <x v="329"/>
  </r>
  <r>
    <n v="438"/>
    <n v="406"/>
    <n v="87"/>
    <n v="2"/>
    <n v="870"/>
    <x v="291"/>
    <x v="11"/>
    <n v="255"/>
    <s v="Сок"/>
    <n v="268.6034482758621"/>
    <n v="-0.676102445599846"/>
    <s v="Фруктовый сад"/>
    <n v="281.96875"/>
    <d v="2022-08-20T00:00:00"/>
    <x v="141"/>
  </r>
  <r>
    <n v="439"/>
    <n v="252"/>
    <n v="50"/>
    <n v="1"/>
    <n v="250"/>
    <x v="111"/>
    <x v="7"/>
    <n v="138"/>
    <s v="Чай"/>
    <n v="271.1818181818182"/>
    <n v="-0.8156218571907475"/>
    <s v="Lipton"/>
    <n v="260.1578947368421"/>
    <d v="2022-06-11T00:00:00"/>
    <x v="45"/>
  </r>
  <r>
    <n v="440"/>
    <n v="365"/>
    <n v="127"/>
    <n v="1"/>
    <n v="635"/>
    <x v="187"/>
    <x v="11"/>
    <n v="158"/>
    <s v="Мясо"/>
    <n v="271.7454545454545"/>
    <n v="-0.5326508764886926"/>
    <s v="Агрокомплекс"/>
    <n v="311.2"/>
    <d v="2022-07-10T00:00:00"/>
    <x v="216"/>
  </r>
  <r>
    <n v="441"/>
    <n v="420"/>
    <n v="390"/>
    <n v="3"/>
    <n v="5850"/>
    <x v="87"/>
    <x v="1"/>
    <n v="217"/>
    <s v="Хлеб"/>
    <n v="300.3181818181818"/>
    <n v="0.2986226729226578"/>
    <s v="Хлебный Дом"/>
    <n v="281.7333333333333"/>
    <d v="2022-09-22T00:00:00"/>
    <x v="317"/>
  </r>
  <r>
    <n v="442"/>
    <n v="97"/>
    <n v="298"/>
    <n v="2"/>
    <n v="2980"/>
    <x v="246"/>
    <x v="9"/>
    <n v="102"/>
    <s v="Печенье"/>
    <n v="283.468085106383"/>
    <n v="0.0512647301658784"/>
    <s v="КДВ"/>
    <n v="323.0769230769231"/>
    <d v="2022-06-11T00:00:00"/>
    <x v="330"/>
  </r>
  <r>
    <n v="443"/>
    <n v="217"/>
    <n v="471"/>
    <n v="3"/>
    <n v="7065"/>
    <x v="292"/>
    <x v="6"/>
    <n v="425"/>
    <s v="Мясо"/>
    <n v="271.7454545454545"/>
    <n v="0.7332396627860296"/>
    <s v="Агрокомплекс"/>
    <n v="311.2"/>
    <d v="2022-08-09T00:00:00"/>
    <x v="156"/>
  </r>
  <r>
    <n v="444"/>
    <n v="47"/>
    <n v="315"/>
    <n v="3"/>
    <n v="4725"/>
    <x v="222"/>
    <x v="14"/>
    <n v="140"/>
    <s v="Мясо"/>
    <n v="271.7454545454545"/>
    <n v="0.1591730228823764"/>
    <s v="Снежана"/>
    <n v="272.3529411764706"/>
    <d v="2022-03-07T00:00:00"/>
    <x v="331"/>
  </r>
  <r>
    <n v="445"/>
    <n v="346"/>
    <n v="267"/>
    <n v="3"/>
    <n v="4005"/>
    <x v="38"/>
    <x v="13"/>
    <n v="385"/>
    <s v="Чай"/>
    <n v="271.1818181818182"/>
    <n v="-0.01542071739859208"/>
    <s v="Greenfield"/>
    <n v="291.4545454545454"/>
    <d v="2022-07-11T00:00:00"/>
    <x v="203"/>
  </r>
  <r>
    <n v="446"/>
    <n v="47"/>
    <n v="476"/>
    <n v="4"/>
    <n v="9520"/>
    <x v="293"/>
    <x v="5"/>
    <n v="43"/>
    <s v="Мясо"/>
    <n v="271.7454545454545"/>
    <n v="0.7516392345778133"/>
    <s v="Снежана"/>
    <n v="272.3529411764706"/>
    <d v="2022-12-17T00:00:00"/>
    <x v="332"/>
  </r>
  <r>
    <n v="447"/>
    <n v="290"/>
    <n v="97"/>
    <n v="4"/>
    <n v="1940"/>
    <x v="294"/>
    <x v="11"/>
    <n v="326"/>
    <s v="Сахар"/>
    <n v="252.7627118644068"/>
    <n v="-0.6162408636759874"/>
    <s v="Продимекс"/>
    <n v="240.5"/>
    <d v="2022-04-04T00:00:00"/>
    <x v="100"/>
  </r>
  <r>
    <n v="448"/>
    <n v="484"/>
    <n v="114"/>
    <n v="1"/>
    <n v="570"/>
    <x v="295"/>
    <x v="19"/>
    <n v="402"/>
    <s v="Печенье"/>
    <n v="283.468085106383"/>
    <n v="-0.5978383247016439"/>
    <s v="КДВ"/>
    <n v="323.0769230769231"/>
    <d v="2022-06-30T00:00:00"/>
    <x v="333"/>
  </r>
  <r>
    <n v="449"/>
    <n v="192"/>
    <n v="147"/>
    <n v="1"/>
    <n v="735"/>
    <x v="296"/>
    <x v="7"/>
    <n v="23"/>
    <s v="Мясо"/>
    <n v="271.7454545454545"/>
    <n v="-0.4590525893215576"/>
    <s v="Снежана"/>
    <n v="272.3529411764706"/>
    <d v="2022-05-25T00:00:00"/>
    <x v="334"/>
  </r>
  <r>
    <n v="450"/>
    <n v="187"/>
    <n v="185"/>
    <n v="2"/>
    <n v="1850"/>
    <x v="246"/>
    <x v="8"/>
    <n v="468"/>
    <s v="Макароны"/>
    <n v="265.4767441860465"/>
    <n v="-0.3031404669090272"/>
    <s v="Паста Зара"/>
    <n v="276.6756756756757"/>
    <d v="2022-02-27T00:00:00"/>
    <x v="320"/>
  </r>
  <r>
    <n v="451"/>
    <n v="429"/>
    <n v="368"/>
    <n v="2"/>
    <n v="3680"/>
    <x v="297"/>
    <x v="6"/>
    <n v="16"/>
    <s v="Крупа"/>
    <n v="255.1162790697674"/>
    <n v="0.4424794895168642"/>
    <s v="Увелка"/>
    <n v="251.9166666666667"/>
    <d v="2022-06-01T00:00:00"/>
    <x v="124"/>
  </r>
  <r>
    <n v="452"/>
    <n v="93"/>
    <n v="387"/>
    <n v="2"/>
    <n v="3870"/>
    <x v="298"/>
    <x v="8"/>
    <n v="156"/>
    <s v="Чай"/>
    <n v="271.1818181818182"/>
    <n v="0.4270868253436138"/>
    <s v="Greenfield"/>
    <n v="291.4545454545454"/>
    <d v="2022-12-10T00:00:00"/>
    <x v="335"/>
  </r>
  <r>
    <n v="453"/>
    <n v="57"/>
    <n v="174"/>
    <n v="2"/>
    <n v="1740"/>
    <x v="62"/>
    <x v="7"/>
    <n v="141"/>
    <s v="Печенье"/>
    <n v="283.468085106383"/>
    <n v="-0.38617428507093"/>
    <s v="Юбилейное"/>
    <n v="232.4444444444445"/>
    <d v="2022-07-01T00:00:00"/>
    <x v="336"/>
  </r>
  <r>
    <n v="454"/>
    <n v="198"/>
    <n v="438"/>
    <n v="4"/>
    <n v="8760"/>
    <x v="299"/>
    <x v="15"/>
    <n v="385"/>
    <s v="Мясо"/>
    <n v="271.7454545454545"/>
    <n v="0.6118024889602569"/>
    <s v="Мираторг"/>
    <n v="316.5833333333333"/>
    <d v="2022-07-11T00:00:00"/>
    <x v="337"/>
  </r>
  <r>
    <n v="455"/>
    <n v="202"/>
    <n v="308"/>
    <n v="2"/>
    <n v="3080"/>
    <x v="300"/>
    <x v="12"/>
    <n v="182"/>
    <s v="Овощи"/>
    <n v="250.4878048780488"/>
    <n v="0.2296007789678676"/>
    <s v="Овощной ряд"/>
    <n v="303.8235294117647"/>
    <d v="2022-10-22T00:00:00"/>
    <x v="338"/>
  </r>
  <r>
    <n v="456"/>
    <n v="427"/>
    <n v="240"/>
    <n v="1"/>
    <n v="1200"/>
    <x v="301"/>
    <x v="2"/>
    <n v="225"/>
    <s v="Хлеб"/>
    <n v="300.3181818181818"/>
    <n v="-0.2008475858937491"/>
    <s v="Русский Хлеб"/>
    <n v="316.6"/>
    <d v="2022-09-23T00:00:00"/>
    <x v="219"/>
  </r>
  <r>
    <n v="457"/>
    <n v="272"/>
    <n v="67"/>
    <n v="3"/>
    <n v="1005"/>
    <x v="245"/>
    <x v="5"/>
    <n v="151"/>
    <s v="Крупа"/>
    <n v="255.1162790697674"/>
    <n v="-0.7373746581586145"/>
    <s v="Ярмарка"/>
    <n v="252.0909090909091"/>
    <d v="2022-12-28T00:00:00"/>
    <x v="233"/>
  </r>
  <r>
    <n v="458"/>
    <n v="473"/>
    <n v="474"/>
    <n v="2"/>
    <n v="4740"/>
    <x v="45"/>
    <x v="4"/>
    <n v="428"/>
    <s v="Хлеб"/>
    <n v="300.3181818181818"/>
    <n v="0.5783260178598457"/>
    <s v="Хлебный Дом"/>
    <n v="281.7333333333333"/>
    <d v="2022-10-14T00:00:00"/>
    <x v="339"/>
  </r>
  <r>
    <n v="459"/>
    <n v="189"/>
    <n v="275"/>
    <n v="4"/>
    <n v="5500"/>
    <x v="105"/>
    <x v="14"/>
    <n v="438"/>
    <s v="Хлеб"/>
    <n v="300.3181818181818"/>
    <n v="-0.08430452550325407"/>
    <s v="Дарница"/>
    <n v="264"/>
    <d v="2022-05-12T00:00:00"/>
    <x v="320"/>
  </r>
  <r>
    <n v="460"/>
    <n v="362"/>
    <n v="358"/>
    <n v="4"/>
    <n v="7160"/>
    <x v="14"/>
    <x v="3"/>
    <n v="465"/>
    <s v="Хлеб"/>
    <n v="300.3181818181818"/>
    <n v="0.1920690177084909"/>
    <s v="Русский Хлеб"/>
    <n v="316.6"/>
    <d v="2022-04-20T00:00:00"/>
    <x v="93"/>
  </r>
  <r>
    <n v="461"/>
    <n v="345"/>
    <n v="455"/>
    <n v="5"/>
    <n v="11375"/>
    <x v="302"/>
    <x v="3"/>
    <n v="215"/>
    <s v="Конфеты"/>
    <n v="267.8548387096774"/>
    <n v="0.6986812789787438"/>
    <s v="Рот Фронт"/>
    <n v="288.2380952380952"/>
    <d v="2022-08-26T00:00:00"/>
    <x v="191"/>
  </r>
  <r>
    <n v="462"/>
    <n v="461"/>
    <n v="443"/>
    <n v="3"/>
    <n v="6645"/>
    <x v="185"/>
    <x v="19"/>
    <n v="314"/>
    <s v="Фрукты"/>
    <n v="274.1627906976744"/>
    <n v="0.6158283145304944"/>
    <s v="Green Garden"/>
    <n v="369.2"/>
    <d v="2022-12-04T00:00:00"/>
    <x v="304"/>
  </r>
  <r>
    <n v="463"/>
    <n v="401"/>
    <n v="464"/>
    <n v="2"/>
    <n v="4640"/>
    <x v="219"/>
    <x v="5"/>
    <n v="15"/>
    <s v="Чай"/>
    <n v="271.1818181818182"/>
    <n v="0.7110291652698626"/>
    <s v="Greenfield"/>
    <n v="291.4545454545454"/>
    <d v="2022-05-30T00:00:00"/>
    <x v="143"/>
  </r>
  <r>
    <n v="464"/>
    <n v="427"/>
    <n v="307"/>
    <n v="5"/>
    <n v="7675"/>
    <x v="246"/>
    <x v="16"/>
    <n v="191"/>
    <s v="Хлеб"/>
    <n v="300.3181818181818"/>
    <n v="0.02224912971091264"/>
    <s v="Русский Хлеб"/>
    <n v="316.6"/>
    <d v="2022-11-01T00:00:00"/>
    <x v="31"/>
  </r>
  <r>
    <n v="465"/>
    <n v="129"/>
    <n v="121"/>
    <n v="5"/>
    <n v="3025"/>
    <x v="303"/>
    <x v="16"/>
    <n v="277"/>
    <s v="Мясо"/>
    <n v="271.7454545454545"/>
    <n v="-0.5547303626388331"/>
    <s v="Агрокомплекс"/>
    <n v="311.2"/>
    <d v="2022-07-08T00:00:00"/>
    <x v="252"/>
  </r>
  <r>
    <n v="466"/>
    <n v="84"/>
    <n v="265"/>
    <n v="2"/>
    <n v="2650"/>
    <x v="228"/>
    <x v="0"/>
    <n v="101"/>
    <s v="Кофе"/>
    <n v="249.0238095238095"/>
    <n v="0.06415527297064738"/>
    <s v="Tchibo"/>
    <n v="140"/>
    <d v="2022-06-15T00:00:00"/>
    <x v="340"/>
  </r>
  <r>
    <n v="467"/>
    <n v="172"/>
    <n v="451"/>
    <n v="2"/>
    <n v="4510"/>
    <x v="256"/>
    <x v="18"/>
    <n v="141"/>
    <s v="Фрукты"/>
    <n v="274.1627906976744"/>
    <n v="0.6450080583594875"/>
    <s v="Green Garden"/>
    <n v="369.2"/>
    <d v="2022-07-01T00:00:00"/>
    <x v="245"/>
  </r>
  <r>
    <n v="468"/>
    <n v="348"/>
    <n v="212"/>
    <n v="5"/>
    <n v="5300"/>
    <x v="277"/>
    <x v="3"/>
    <n v="126"/>
    <s v="Чипсы"/>
    <n v="273.7254901960785"/>
    <n v="-0.2255014326647565"/>
    <s v="Estrella"/>
    <n v="266.2727272727273"/>
    <d v="2022-09-18T00:00:00"/>
    <x v="341"/>
  </r>
  <r>
    <n v="469"/>
    <n v="171"/>
    <n v="336"/>
    <n v="4"/>
    <n v="6720"/>
    <x v="304"/>
    <x v="7"/>
    <n v="148"/>
    <s v="Чай"/>
    <n v="271.1818181818182"/>
    <n v="0.2390211196781764"/>
    <s v="Greenfield"/>
    <n v="291.4545454545454"/>
    <d v="2022-05-19T00:00:00"/>
    <x v="188"/>
  </r>
  <r>
    <n v="470"/>
    <n v="70"/>
    <n v="407"/>
    <n v="2"/>
    <n v="4070"/>
    <x v="91"/>
    <x v="6"/>
    <n v="334"/>
    <s v="Рис"/>
    <n v="258.375"/>
    <n v="0.575229801644896"/>
    <s v="Мистраль"/>
    <n v="181.5714285714286"/>
    <d v="2022-11-16T00:00:00"/>
    <x v="342"/>
  </r>
  <r>
    <n v="471"/>
    <n v="476"/>
    <n v="109"/>
    <n v="4"/>
    <n v="2180"/>
    <x v="242"/>
    <x v="6"/>
    <n v="335"/>
    <s v="Рыба"/>
    <n v="258.5128205128205"/>
    <n v="-0.5783574687561992"/>
    <s v="Балтийский берег"/>
    <n v="289.8888888888889"/>
    <d v="2022-02-27T00:00:00"/>
    <x v="77"/>
  </r>
  <r>
    <n v="472"/>
    <n v="49"/>
    <n v="412"/>
    <n v="3"/>
    <n v="6180"/>
    <x v="153"/>
    <x v="8"/>
    <n v="370"/>
    <s v="Рис"/>
    <n v="258.375"/>
    <n v="0.5945815191098209"/>
    <s v="Агро-Альянс"/>
    <n v="317.8571428571428"/>
    <d v="2022-06-14T00:00:00"/>
    <x v="52"/>
  </r>
  <r>
    <n v="473"/>
    <n v="7"/>
    <n v="254"/>
    <n v="2"/>
    <n v="2540"/>
    <x v="305"/>
    <x v="5"/>
    <n v="76"/>
    <s v="Сыр"/>
    <n v="262.6349206349207"/>
    <n v="-0.03287803698779168"/>
    <s v="President"/>
    <n v="238.7222222222222"/>
    <d v="2022-01-14T00:00:00"/>
    <x v="343"/>
  </r>
  <r>
    <n v="474"/>
    <n v="180"/>
    <n v="338"/>
    <n v="3"/>
    <n v="5070"/>
    <x v="19"/>
    <x v="12"/>
    <n v="25"/>
    <s v="Чипсы"/>
    <n v="273.7254901960785"/>
    <n v="0.2348137535816619"/>
    <s v="Русская картошка"/>
    <n v="241.8333333333333"/>
    <d v="2022-01-21T00:00:00"/>
    <x v="210"/>
  </r>
  <r>
    <n v="475"/>
    <n v="194"/>
    <n v="268"/>
    <n v="5"/>
    <n v="6700"/>
    <x v="306"/>
    <x v="16"/>
    <n v="80"/>
    <s v="Соль"/>
    <n v="264.8679245283019"/>
    <n v="0.01182504630289216"/>
    <s v="Салта"/>
    <n v="273.7"/>
    <d v="2022-03-03T00:00:00"/>
    <x v="344"/>
  </r>
  <r>
    <n v="476"/>
    <n v="312"/>
    <n v="223"/>
    <n v="2"/>
    <n v="2230"/>
    <x v="140"/>
    <x v="4"/>
    <n v="276"/>
    <s v="Хлеб"/>
    <n v="300.3181818181818"/>
    <n v="-0.2574542152262751"/>
    <s v="Каравай"/>
    <n v="331.1666666666667"/>
    <d v="2022-03-12T00:00:00"/>
    <x v="274"/>
  </r>
  <r>
    <n v="477"/>
    <n v="235"/>
    <n v="455"/>
    <n v="5"/>
    <n v="11375"/>
    <x v="123"/>
    <x v="17"/>
    <n v="71"/>
    <s v="Хлеб"/>
    <n v="300.3181818181818"/>
    <n v="0.515059785076434"/>
    <s v="Русский Хлеб"/>
    <n v="316.6"/>
    <d v="2022-07-20T00:00:00"/>
    <x v="345"/>
  </r>
  <r>
    <n v="478"/>
    <n v="399"/>
    <n v="379"/>
    <n v="1"/>
    <n v="1895"/>
    <x v="307"/>
    <x v="10"/>
    <n v="12"/>
    <s v="Хлеб"/>
    <n v="300.3181818181818"/>
    <n v="0.2619948539427879"/>
    <s v="Хлебный Дом"/>
    <n v="281.7333333333333"/>
    <d v="2022-10-08T00:00:00"/>
    <x v="346"/>
  </r>
  <r>
    <n v="479"/>
    <n v="494"/>
    <n v="216"/>
    <n v="3"/>
    <n v="3240"/>
    <x v="118"/>
    <x v="17"/>
    <n v="9"/>
    <s v="Сыр"/>
    <n v="262.6349206349207"/>
    <n v="-0.1775655747612717"/>
    <s v="Сырная долина"/>
    <n v="271"/>
    <d v="2022-12-05T00:00:00"/>
    <x v="347"/>
  </r>
  <r>
    <n v="480"/>
    <n v="458"/>
    <n v="469"/>
    <n v="4"/>
    <n v="9380"/>
    <x v="158"/>
    <x v="12"/>
    <n v="51"/>
    <s v="Макароны"/>
    <n v="265.4767441860465"/>
    <n v="0.7666330865927904"/>
    <s v="Борилла"/>
    <n v="236.2758620689655"/>
    <d v="2022-02-13T00:00:00"/>
    <x v="348"/>
  </r>
  <r>
    <n v="481"/>
    <n v="193"/>
    <n v="94"/>
    <n v="3"/>
    <n v="1410"/>
    <x v="136"/>
    <x v="2"/>
    <n v="370"/>
    <s v="Соль"/>
    <n v="264.8679245283019"/>
    <n v="-0.6451061404758514"/>
    <s v="Салта"/>
    <n v="273.7"/>
    <d v="2022-06-14T00:00:00"/>
    <x v="246"/>
  </r>
  <r>
    <n v="482"/>
    <n v="450"/>
    <n v="494"/>
    <n v="4"/>
    <n v="9880"/>
    <x v="78"/>
    <x v="15"/>
    <n v="17"/>
    <s v="Хлеб"/>
    <n v="300.3181818181818"/>
    <n v="0.6449220523686998"/>
    <s v="Хлебный Дом"/>
    <n v="281.7333333333333"/>
    <d v="2022-11-12T00:00:00"/>
    <x v="349"/>
  </r>
  <r>
    <n v="483"/>
    <n v="334"/>
    <n v="309"/>
    <n v="5"/>
    <n v="7725"/>
    <x v="308"/>
    <x v="7"/>
    <n v="39"/>
    <s v="Молоко"/>
    <n v="294.952380952381"/>
    <n v="0.04762673555053265"/>
    <s v="Домик в деревне"/>
    <n v="274.7777777777778"/>
    <d v="2022-04-02T00:00:00"/>
    <x v="248"/>
  </r>
  <r>
    <n v="484"/>
    <n v="115"/>
    <n v="118"/>
    <n v="1"/>
    <n v="590"/>
    <x v="7"/>
    <x v="1"/>
    <n v="481"/>
    <s v="Сыр"/>
    <n v="262.6349206349207"/>
    <n v="-0.5507071195455095"/>
    <s v="President"/>
    <n v="238.7222222222222"/>
    <d v="2022-07-14T00:00:00"/>
    <x v="350"/>
  </r>
  <r>
    <n v="485"/>
    <n v="163"/>
    <n v="344"/>
    <n v="1"/>
    <n v="1720"/>
    <x v="307"/>
    <x v="2"/>
    <n v="363"/>
    <s v="Соль"/>
    <n v="264.8679245283019"/>
    <n v="0.298760507194757"/>
    <s v="Экстра"/>
    <n v="320.8461538461539"/>
    <d v="2022-04-24T00:00:00"/>
    <x v="332"/>
  </r>
  <r>
    <n v="486"/>
    <n v="321"/>
    <n v="322"/>
    <n v="3"/>
    <n v="4830"/>
    <x v="309"/>
    <x v="6"/>
    <n v="328"/>
    <s v="Мясо"/>
    <n v="271.7454545454545"/>
    <n v="0.1849324233908738"/>
    <s v="Сава"/>
    <n v="212.8125"/>
    <d v="2022-01-07T00:00:00"/>
    <x v="351"/>
  </r>
  <r>
    <n v="487"/>
    <n v="129"/>
    <n v="328"/>
    <n v="4"/>
    <n v="6560"/>
    <x v="310"/>
    <x v="3"/>
    <n v="127"/>
    <s v="Мясо"/>
    <n v="271.7454545454545"/>
    <n v="0.2070119095410143"/>
    <s v="Агрокомплекс"/>
    <n v="311.2"/>
    <d v="2022-12-19T00:00:00"/>
    <x v="24"/>
  </r>
  <r>
    <n v="488"/>
    <n v="12"/>
    <n v="357"/>
    <n v="1"/>
    <n v="1785"/>
    <x v="150"/>
    <x v="2"/>
    <n v="221"/>
    <s v="Макароны"/>
    <n v="265.4767441860465"/>
    <n v="0.3447505584512285"/>
    <s v="Макфа"/>
    <n v="329.2727272727273"/>
    <d v="2022-09-16T00:00:00"/>
    <x v="352"/>
  </r>
  <r>
    <n v="489"/>
    <n v="104"/>
    <n v="276"/>
    <n v="2"/>
    <n v="2760"/>
    <x v="126"/>
    <x v="6"/>
    <n v="134"/>
    <s v="Йогурт"/>
    <n v="263.2542372881356"/>
    <n v="0.04841617306206536"/>
    <s v="Ростагроэкспорт"/>
    <n v="257.7826086956522"/>
    <d v="2022-07-11T00:00:00"/>
    <x v="3"/>
  </r>
  <r>
    <n v="490"/>
    <n v="61"/>
    <n v="170"/>
    <n v="2"/>
    <n v="1700"/>
    <x v="257"/>
    <x v="3"/>
    <n v="374"/>
    <s v="Йогурт"/>
    <n v="263.2542372881356"/>
    <n v="-0.3542364151429307"/>
    <s v="Эрманн"/>
    <n v="248.5"/>
    <d v="2022-01-21T00:00:00"/>
    <x v="353"/>
  </r>
  <r>
    <n v="491"/>
    <n v="202"/>
    <n v="89"/>
    <n v="1"/>
    <n v="445"/>
    <x v="311"/>
    <x v="0"/>
    <n v="441"/>
    <s v="Овощи"/>
    <n v="250.4878048780488"/>
    <n v="-0.6446932814021422"/>
    <s v="Овощной ряд"/>
    <n v="303.8235294117647"/>
    <d v="2022-11-02T00:00:00"/>
    <x v="354"/>
  </r>
  <r>
    <n v="492"/>
    <n v="464"/>
    <n v="134"/>
    <n v="1"/>
    <n v="670"/>
    <x v="312"/>
    <x v="0"/>
    <n v="220"/>
    <s v="Сыр"/>
    <n v="262.6349206349207"/>
    <n v="-0.4897860510093074"/>
    <s v="Сырная долина"/>
    <n v="271"/>
    <d v="2022-01-09T00:00:00"/>
    <x v="355"/>
  </r>
  <r>
    <n v="493"/>
    <n v="335"/>
    <n v="436"/>
    <n v="1"/>
    <n v="2180"/>
    <x v="313"/>
    <x v="6"/>
    <n v="235"/>
    <s v="Хлеб"/>
    <n v="300.3181818181818"/>
    <n v="0.4517935522930225"/>
    <s v="Каравай"/>
    <n v="331.1666666666667"/>
    <d v="2022-03-15T00:00:00"/>
    <x v="305"/>
  </r>
  <r>
    <n v="494"/>
    <n v="15"/>
    <n v="318"/>
    <n v="5"/>
    <n v="7950"/>
    <x v="269"/>
    <x v="18"/>
    <n v="323"/>
    <s v="Сахар"/>
    <n v="252.7627118644068"/>
    <n v="0.2580969623818146"/>
    <s v="Агросахар"/>
    <n v="215.8571428571429"/>
    <d v="2022-09-17T00:00:00"/>
    <x v="356"/>
  </r>
  <r>
    <n v="495"/>
    <n v="441"/>
    <n v="183"/>
    <n v="1"/>
    <n v="915"/>
    <x v="90"/>
    <x v="6"/>
    <n v="296"/>
    <s v="Чай"/>
    <n v="271.1818181818182"/>
    <n v="-0.3251759973181361"/>
    <s v="Lipton"/>
    <n v="260.1578947368421"/>
    <d v="2022-07-16T00:00:00"/>
    <x v="271"/>
  </r>
  <r>
    <n v="496"/>
    <n v="149"/>
    <n v="448"/>
    <n v="2"/>
    <n v="4480"/>
    <x v="129"/>
    <x v="8"/>
    <n v="206"/>
    <s v="Конфеты"/>
    <n v="267.8548387096774"/>
    <n v="0.6725477208406092"/>
    <s v="Бабаевский"/>
    <n v="250.2592592592593"/>
    <d v="2022-01-07T00:00:00"/>
    <x v="262"/>
  </r>
  <r>
    <n v="497"/>
    <n v="490"/>
    <n v="58"/>
    <n v="4"/>
    <n v="1160"/>
    <x v="16"/>
    <x v="18"/>
    <n v="255"/>
    <s v="Сыр"/>
    <n v="262.6349206349207"/>
    <n v="-0.7791611265562675"/>
    <s v="Сырная долина"/>
    <n v="271"/>
    <d v="2022-08-20T00:00:00"/>
    <x v="59"/>
  </r>
  <r>
    <n v="498"/>
    <n v="90"/>
    <n v="162"/>
    <n v="3"/>
    <n v="2430"/>
    <x v="267"/>
    <x v="6"/>
    <n v="88"/>
    <s v="Кофе"/>
    <n v="249.0238095238095"/>
    <n v="-0.3494597953915288"/>
    <s v="Nescafe"/>
    <n v="256.9"/>
    <d v="2022-03-10T00:00:00"/>
    <x v="292"/>
  </r>
  <r>
    <n v="499"/>
    <n v="396"/>
    <n v="482"/>
    <n v="2"/>
    <n v="4820"/>
    <x v="306"/>
    <x v="12"/>
    <n v="362"/>
    <s v="Молоко"/>
    <n v="294.952380952381"/>
    <n v="0.6341620923474329"/>
    <s v="Домик в деревне"/>
    <n v="274.7777777777778"/>
    <d v="2022-12-21T00:00:00"/>
    <x v="357"/>
  </r>
  <r>
    <n v="500"/>
    <n v="323"/>
    <n v="64"/>
    <n v="4"/>
    <n v="1280"/>
    <x v="6"/>
    <x v="1"/>
    <n v="265"/>
    <s v="Рыба"/>
    <n v="258.5128205128205"/>
    <n v="-0.7524300733981353"/>
    <s v="Меридиан"/>
    <n v="260.6470588235294"/>
    <d v="2022-07-14T00:00:00"/>
    <x v="219"/>
  </r>
  <r>
    <n v="501"/>
    <n v="451"/>
    <n v="187"/>
    <n v="4"/>
    <n v="3740"/>
    <x v="264"/>
    <x v="11"/>
    <n v="164"/>
    <s v="Рис"/>
    <n v="258.375"/>
    <n v="-0.2762457668118046"/>
    <s v="Белый Злат"/>
    <n v="269.7058823529412"/>
    <d v="2022-04-27T00:00:00"/>
    <x v="9"/>
  </r>
  <r>
    <n v="502"/>
    <n v="348"/>
    <n v="461"/>
    <n v="3"/>
    <n v="6915"/>
    <x v="314"/>
    <x v="10"/>
    <n v="364"/>
    <s v="Чипсы"/>
    <n v="273.7254901960785"/>
    <n v="0.6841690544412606"/>
    <s v="Estrella"/>
    <n v="266.2727272727273"/>
    <d v="2022-11-18T00:00:00"/>
    <x v="166"/>
  </r>
  <r>
    <n v="503"/>
    <n v="111"/>
    <n v="321"/>
    <n v="5"/>
    <n v="8025"/>
    <x v="315"/>
    <x v="9"/>
    <n v="19"/>
    <s v="Сахар"/>
    <n v="252.7627118644068"/>
    <n v="0.2699658016495674"/>
    <s v="Сладов"/>
    <n v="240.2666666666667"/>
    <d v="2022-12-07T00:00:00"/>
    <x v="334"/>
  </r>
  <r>
    <n v="504"/>
    <n v="234"/>
    <n v="244"/>
    <n v="3"/>
    <n v="3660"/>
    <x v="138"/>
    <x v="12"/>
    <n v="453"/>
    <s v="Чай"/>
    <n v="271.1818181818182"/>
    <n v="-0.1002346630908482"/>
    <s v="Greenfield"/>
    <n v="291.4545454545454"/>
    <d v="2022-03-15T00:00:00"/>
    <x v="196"/>
  </r>
  <r>
    <n v="505"/>
    <n v="336"/>
    <n v="416"/>
    <n v="2"/>
    <n v="4160"/>
    <x v="77"/>
    <x v="4"/>
    <n v="335"/>
    <s v="Чипсы"/>
    <n v="273.7254901960785"/>
    <n v="0.5197707736389683"/>
    <s v="Estrella"/>
    <n v="266.2727272727273"/>
    <d v="2022-02-27T00:00:00"/>
    <x v="338"/>
  </r>
  <r>
    <n v="506"/>
    <n v="441"/>
    <n v="293"/>
    <n v="3"/>
    <n v="4395"/>
    <x v="260"/>
    <x v="16"/>
    <n v="136"/>
    <s v="Чай"/>
    <n v="271.1818181818182"/>
    <n v="0.0804559168622192"/>
    <s v="Lipton"/>
    <n v="260.1578947368421"/>
    <d v="2022-10-26T00:00:00"/>
    <x v="191"/>
  </r>
  <r>
    <n v="507"/>
    <n v="481"/>
    <n v="63"/>
    <n v="1"/>
    <n v="315"/>
    <x v="316"/>
    <x v="4"/>
    <n v="388"/>
    <s v="Чипсы"/>
    <n v="273.7254901960785"/>
    <n v="-0.7698424068767908"/>
    <s v="Pringles"/>
    <n v="280.2380952380952"/>
    <d v="2022-01-20T00:00:00"/>
    <x v="358"/>
  </r>
  <r>
    <n v="508"/>
    <n v="403"/>
    <n v="240"/>
    <n v="1"/>
    <n v="1200"/>
    <x v="317"/>
    <x v="2"/>
    <n v="341"/>
    <s v="Чай"/>
    <n v="271.1818181818182"/>
    <n v="-0.1149849145155883"/>
    <s v="Ахмад"/>
    <n v="243.3"/>
    <d v="2022-06-12T00:00:00"/>
    <x v="359"/>
  </r>
  <r>
    <n v="509"/>
    <n v="137"/>
    <n v="432"/>
    <n v="5"/>
    <n v="10800"/>
    <x v="315"/>
    <x v="14"/>
    <n v="185"/>
    <s v="Фрукты"/>
    <n v="274.1627906976744"/>
    <n v="0.5757061667656289"/>
    <s v="Экзотик"/>
    <n v="253.6875"/>
    <d v="2022-05-02T00:00:00"/>
    <x v="360"/>
  </r>
  <r>
    <n v="510"/>
    <n v="246"/>
    <n v="196"/>
    <n v="5"/>
    <n v="4900"/>
    <x v="233"/>
    <x v="7"/>
    <n v="437"/>
    <s v="Сыр"/>
    <n v="262.6349206349207"/>
    <n v="-0.2537169104315243"/>
    <s v="President"/>
    <n v="238.7222222222222"/>
    <d v="2022-01-15T00:00:00"/>
    <x v="50"/>
  </r>
  <r>
    <n v="511"/>
    <n v="4"/>
    <n v="493"/>
    <n v="4"/>
    <n v="9860"/>
    <x v="318"/>
    <x v="8"/>
    <n v="263"/>
    <s v="Рис"/>
    <n v="258.375"/>
    <n v="0.9080793420416062"/>
    <s v="Белый Злат"/>
    <n v="269.7058823529412"/>
    <d v="2022-02-20T00:00:00"/>
    <x v="361"/>
  </r>
  <r>
    <n v="512"/>
    <n v="484"/>
    <n v="436"/>
    <n v="2"/>
    <n v="4360"/>
    <x v="204"/>
    <x v="7"/>
    <n v="358"/>
    <s v="Печенье"/>
    <n v="283.468085106383"/>
    <n v="0.5380920213165201"/>
    <s v="КДВ"/>
    <n v="323.0769230769231"/>
    <d v="2022-07-29T00:00:00"/>
    <x v="362"/>
  </r>
  <r>
    <n v="513"/>
    <n v="60"/>
    <n v="412"/>
    <n v="5"/>
    <n v="10300"/>
    <x v="71"/>
    <x v="9"/>
    <n v="377"/>
    <s v="Кофе"/>
    <n v="249.0238095238095"/>
    <n v="0.6544602734487046"/>
    <s v="Jacobs"/>
    <n v="276.2105263157895"/>
    <d v="2022-08-21T00:00:00"/>
    <x v="119"/>
  </r>
  <r>
    <n v="514"/>
    <n v="477"/>
    <n v="117"/>
    <n v="3"/>
    <n v="1755"/>
    <x v="319"/>
    <x v="15"/>
    <n v="450"/>
    <s v="Макароны"/>
    <n v="265.4767441860465"/>
    <n v="-0.559283430423547"/>
    <s v="Борилла"/>
    <n v="236.2758620689655"/>
    <d v="2022-02-27T00:00:00"/>
    <x v="122"/>
  </r>
  <r>
    <n v="515"/>
    <n v="174"/>
    <n v="301"/>
    <n v="4"/>
    <n v="6020"/>
    <x v="320"/>
    <x v="6"/>
    <n v="210"/>
    <s v="Чай"/>
    <n v="271.1818181818182"/>
    <n v="0.1099564197116996"/>
    <s v="Ахмад"/>
    <n v="243.3"/>
    <d v="2022-02-10T00:00:00"/>
    <x v="363"/>
  </r>
  <r>
    <n v="516"/>
    <n v="240"/>
    <n v="156"/>
    <n v="4"/>
    <n v="3120"/>
    <x v="321"/>
    <x v="15"/>
    <n v="67"/>
    <s v="Макароны"/>
    <n v="265.4767441860465"/>
    <n v="-0.4123779072313959"/>
    <s v="Борилла"/>
    <n v="236.2758620689655"/>
    <d v="2022-06-19T00:00:00"/>
    <x v="364"/>
  </r>
  <r>
    <n v="517"/>
    <n v="299"/>
    <n v="141"/>
    <n v="4"/>
    <n v="2820"/>
    <x v="322"/>
    <x v="10"/>
    <n v="125"/>
    <s v="Чай"/>
    <n v="271.1818181818182"/>
    <n v="-0.4800536372779082"/>
    <s v="Lipton"/>
    <n v="260.1578947368421"/>
    <d v="2022-05-20T00:00:00"/>
    <x v="365"/>
  </r>
  <r>
    <n v="518"/>
    <n v="481"/>
    <n v="463"/>
    <n v="2"/>
    <n v="4630"/>
    <x v="97"/>
    <x v="14"/>
    <n v="213"/>
    <s v="Чипсы"/>
    <n v="273.7254901960785"/>
    <n v="0.6914756446991404"/>
    <s v="Pringles"/>
    <n v="280.2380952380952"/>
    <d v="2022-06-21T00:00:00"/>
    <x v="235"/>
  </r>
  <r>
    <n v="519"/>
    <n v="213"/>
    <n v="432"/>
    <n v="3"/>
    <n v="6480"/>
    <x v="41"/>
    <x v="13"/>
    <n v="254"/>
    <s v="Сахар"/>
    <n v="252.7627118644068"/>
    <n v="0.7091128545564274"/>
    <s v="Продимекс"/>
    <n v="240.5"/>
    <d v="2022-10-28T00:00:00"/>
    <x v="254"/>
  </r>
  <r>
    <n v="520"/>
    <n v="484"/>
    <n v="238"/>
    <n v="2"/>
    <n v="2380"/>
    <x v="323"/>
    <x v="6"/>
    <n v="252"/>
    <s v="Печенье"/>
    <n v="283.468085106383"/>
    <n v="-0.1603993094648353"/>
    <s v="КДВ"/>
    <n v="323.0769230769231"/>
    <d v="2022-03-23T00:00:00"/>
    <x v="28"/>
  </r>
  <r>
    <n v="521"/>
    <n v="479"/>
    <n v="131"/>
    <n v="5"/>
    <n v="3275"/>
    <x v="324"/>
    <x v="4"/>
    <n v="164"/>
    <s v="Овощи"/>
    <n v="250.4878048780488"/>
    <n v="-0.4770204479065239"/>
    <s v="Гавриш"/>
    <n v="247.6666666666667"/>
    <d v="2022-04-27T00:00:00"/>
    <x v="366"/>
  </r>
  <r>
    <n v="522"/>
    <n v="159"/>
    <n v="225"/>
    <n v="1"/>
    <n v="1125"/>
    <x v="325"/>
    <x v="13"/>
    <n v="258"/>
    <s v="Крупа"/>
    <n v="255.1162790697674"/>
    <n v="-0.118049225159526"/>
    <s v="Националь"/>
    <n v="274.2857142857143"/>
    <d v="2022-06-05T00:00:00"/>
    <x v="367"/>
  </r>
  <r>
    <n v="523"/>
    <n v="110"/>
    <n v="279"/>
    <n v="1"/>
    <n v="1395"/>
    <x v="326"/>
    <x v="10"/>
    <n v="290"/>
    <s v="Макароны"/>
    <n v="265.4767441860465"/>
    <n v="0.05093951206692648"/>
    <s v="Паста Зара"/>
    <n v="276.6756756756757"/>
    <d v="2022-08-04T00:00:00"/>
    <x v="225"/>
  </r>
  <r>
    <n v="524"/>
    <n v="224"/>
    <n v="161"/>
    <n v="2"/>
    <n v="1610"/>
    <x v="327"/>
    <x v="10"/>
    <n v="336"/>
    <s v="Чипсы"/>
    <n v="273.7254901960785"/>
    <n v="-0.4118194842406877"/>
    <s v="Pringles"/>
    <n v="280.2380952380952"/>
    <d v="2022-10-22T00:00:00"/>
    <x v="188"/>
  </r>
  <r>
    <n v="525"/>
    <n v="126"/>
    <n v="267"/>
    <n v="1"/>
    <n v="1335"/>
    <x v="63"/>
    <x v="16"/>
    <n v="437"/>
    <s v="Сахар"/>
    <n v="252.7627118644068"/>
    <n v="0.05632669483001407"/>
    <s v="Русский сахар"/>
    <n v="293.4117647058824"/>
    <d v="2022-01-15T00:00:00"/>
    <x v="368"/>
  </r>
  <r>
    <n v="526"/>
    <n v="344"/>
    <n v="110"/>
    <n v="4"/>
    <n v="2200"/>
    <x v="328"/>
    <x v="17"/>
    <n v="294"/>
    <s v="Сок"/>
    <n v="268.6034482758621"/>
    <n v="-0.5904743565055524"/>
    <s v="Сады Придонья"/>
    <n v="254.1818181818182"/>
    <d v="2022-11-14T00:00:00"/>
    <x v="369"/>
  </r>
  <r>
    <n v="527"/>
    <n v="447"/>
    <n v="316"/>
    <n v="1"/>
    <n v="1580"/>
    <x v="329"/>
    <x v="9"/>
    <n v="297"/>
    <s v="Йогурт"/>
    <n v="263.2542372881356"/>
    <n v="0.2003605459696112"/>
    <s v="Эрманн"/>
    <n v="248.5"/>
    <d v="2022-04-15T00:00:00"/>
    <x v="205"/>
  </r>
  <r>
    <n v="528"/>
    <n v="450"/>
    <n v="228"/>
    <n v="4"/>
    <n v="4560"/>
    <x v="164"/>
    <x v="7"/>
    <n v="27"/>
    <s v="Хлеб"/>
    <n v="300.3181818181818"/>
    <n v="-0.2408052065990616"/>
    <s v="Хлебный Дом"/>
    <n v="281.7333333333333"/>
    <d v="2022-01-25T00:00:00"/>
    <x v="370"/>
  </r>
  <r>
    <n v="529"/>
    <n v="60"/>
    <n v="100"/>
    <n v="1"/>
    <n v="500"/>
    <x v="330"/>
    <x v="19"/>
    <n v="102"/>
    <s v="Кофе"/>
    <n v="249.0238095238095"/>
    <n v="-0.5984319724639067"/>
    <s v="Jacobs"/>
    <n v="276.2105263157895"/>
    <d v="2022-06-11T00:00:00"/>
    <x v="371"/>
  </r>
  <r>
    <n v="530"/>
    <n v="42"/>
    <n v="332"/>
    <n v="2"/>
    <n v="3320"/>
    <x v="316"/>
    <x v="0"/>
    <n v="323"/>
    <s v="Рис"/>
    <n v="258.375"/>
    <n v="0.2849540396710208"/>
    <s v="Мистраль"/>
    <n v="181.5714285714286"/>
    <d v="2022-09-17T00:00:00"/>
    <x v="372"/>
  </r>
  <r>
    <n v="531"/>
    <n v="267"/>
    <n v="65"/>
    <n v="2"/>
    <n v="650"/>
    <x v="213"/>
    <x v="17"/>
    <n v="53"/>
    <s v="Овощи"/>
    <n v="250.4878048780488"/>
    <n v="-0.740506329113924"/>
    <s v="Семко"/>
    <n v="208"/>
    <d v="2022-02-01T00:00:00"/>
    <x v="352"/>
  </r>
  <r>
    <n v="532"/>
    <n v="161"/>
    <n v="489"/>
    <n v="5"/>
    <n v="12225"/>
    <x v="39"/>
    <x v="5"/>
    <n v="143"/>
    <s v="Молоко"/>
    <n v="294.952380952381"/>
    <n v="0.6578947368421053"/>
    <s v="Простоквашино"/>
    <n v="318.8181818181818"/>
    <d v="2022-02-09T00:00:00"/>
    <x v="84"/>
  </r>
  <r>
    <n v="533"/>
    <n v="83"/>
    <n v="315"/>
    <n v="2"/>
    <n v="3150"/>
    <x v="150"/>
    <x v="8"/>
    <n v="135"/>
    <s v="Сок"/>
    <n v="268.6034482758621"/>
    <n v="0.1727325245522817"/>
    <s v="Сады Придонья"/>
    <n v="254.1818181818182"/>
    <d v="2022-02-10T00:00:00"/>
    <x v="373"/>
  </r>
  <r>
    <n v="534"/>
    <n v="315"/>
    <n v="348"/>
    <n v="2"/>
    <n v="3480"/>
    <x v="331"/>
    <x v="4"/>
    <n v="402"/>
    <s v="Йогурт"/>
    <n v="263.2542372881356"/>
    <n v="0.3219160442956477"/>
    <s v="Чудо"/>
    <n v="287.1"/>
    <d v="2022-06-30T00:00:00"/>
    <x v="374"/>
  </r>
  <r>
    <n v="535"/>
    <n v="121"/>
    <n v="77"/>
    <n v="1"/>
    <n v="385"/>
    <x v="332"/>
    <x v="3"/>
    <n v="279"/>
    <s v="Чипсы"/>
    <n v="273.7254901960785"/>
    <n v="-0.7186962750716333"/>
    <s v="Pringles"/>
    <n v="280.2380952380952"/>
    <d v="2022-08-13T00:00:00"/>
    <x v="268"/>
  </r>
  <r>
    <n v="536"/>
    <n v="371"/>
    <n v="62"/>
    <n v="5"/>
    <n v="1550"/>
    <x v="333"/>
    <x v="2"/>
    <n v="385"/>
    <s v="Сахар"/>
    <n v="252.7627118644068"/>
    <n v="-0.7547106551331053"/>
    <s v="Русский сахар"/>
    <n v="293.4117647058824"/>
    <d v="2022-07-11T00:00:00"/>
    <x v="292"/>
  </r>
  <r>
    <n v="537"/>
    <n v="169"/>
    <n v="429"/>
    <n v="2"/>
    <n v="4290"/>
    <x v="148"/>
    <x v="18"/>
    <n v="326"/>
    <s v="Фрукты"/>
    <n v="274.1627906976744"/>
    <n v="0.5647637628297564"/>
    <s v="Фруктовый Рай"/>
    <n v="258.3076923076923"/>
    <d v="2022-04-04T00:00:00"/>
    <x v="362"/>
  </r>
  <r>
    <n v="538"/>
    <n v="433"/>
    <n v="115"/>
    <n v="4"/>
    <n v="2300"/>
    <x v="334"/>
    <x v="17"/>
    <n v="138"/>
    <s v="Рыба"/>
    <n v="258.5128205128205"/>
    <n v="-0.5551477881372744"/>
    <s v="Меридиан"/>
    <n v="260.6470588235294"/>
    <d v="2022-06-11T00:00:00"/>
    <x v="372"/>
  </r>
  <r>
    <n v="539"/>
    <n v="43"/>
    <n v="158"/>
    <n v="5"/>
    <n v="3950"/>
    <x v="330"/>
    <x v="8"/>
    <n v="271"/>
    <s v="Печенье"/>
    <n v="283.468085106383"/>
    <n v="-0.4426180289724537"/>
    <s v="КДВ"/>
    <n v="323.0769230769231"/>
    <d v="2022-11-27T00:00:00"/>
    <x v="327"/>
  </r>
  <r>
    <n v="540"/>
    <n v="453"/>
    <n v="318"/>
    <n v="4"/>
    <n v="6360"/>
    <x v="335"/>
    <x v="8"/>
    <n v="408"/>
    <s v="Макароны"/>
    <n v="265.4767441860465"/>
    <n v="0.1978450352590775"/>
    <s v="Макфа"/>
    <n v="329.2727272727273"/>
    <d v="2022-10-23T00:00:00"/>
    <x v="375"/>
  </r>
  <r>
    <n v="541"/>
    <n v="403"/>
    <n v="184"/>
    <n v="5"/>
    <n v="4600"/>
    <x v="336"/>
    <x v="3"/>
    <n v="444"/>
    <s v="Чай"/>
    <n v="271.1818181818182"/>
    <n v="-0.3214884344619511"/>
    <s v="Ахмад"/>
    <n v="243.3"/>
    <d v="2022-05-07T00:00:00"/>
    <x v="376"/>
  </r>
  <r>
    <n v="542"/>
    <n v="248"/>
    <n v="497"/>
    <n v="2"/>
    <n v="4970"/>
    <x v="137"/>
    <x v="9"/>
    <n v="116"/>
    <s v="Конфеты"/>
    <n v="267.8548387096774"/>
    <n v="0.8554826278075509"/>
    <s v="Красный Октябрь"/>
    <n v="273.625"/>
    <d v="2022-03-23T00:00:00"/>
    <x v="11"/>
  </r>
  <r>
    <n v="543"/>
    <n v="492"/>
    <n v="469"/>
    <n v="4"/>
    <n v="9380"/>
    <x v="337"/>
    <x v="2"/>
    <n v="38"/>
    <s v="Рыба"/>
    <n v="258.5128205128205"/>
    <n v="0.8142233683792899"/>
    <s v="Русское море"/>
    <n v="292.6666666666667"/>
    <d v="2022-09-15T00:00:00"/>
    <x v="377"/>
  </r>
  <r>
    <n v="544"/>
    <n v="428"/>
    <n v="263"/>
    <n v="4"/>
    <n v="5260"/>
    <x v="258"/>
    <x v="14"/>
    <n v="136"/>
    <s v="Конфеты"/>
    <n v="267.8548387096774"/>
    <n v="-0.01812488709580307"/>
    <s v="Бабаевский"/>
    <n v="250.2592592592593"/>
    <d v="2022-10-26T00:00:00"/>
    <x v="275"/>
  </r>
  <r>
    <n v="545"/>
    <n v="91"/>
    <n v="335"/>
    <n v="2"/>
    <n v="3350"/>
    <x v="338"/>
    <x v="15"/>
    <n v="310"/>
    <s v="Сыр"/>
    <n v="262.6349206349207"/>
    <n v="0.2755348724767315"/>
    <s v="Сырная долина"/>
    <n v="271"/>
    <d v="2022-09-03T00:00:00"/>
    <x v="330"/>
  </r>
  <r>
    <n v="546"/>
    <n v="122"/>
    <n v="309"/>
    <n v="3"/>
    <n v="4635"/>
    <x v="339"/>
    <x v="11"/>
    <n v="263"/>
    <s v="Фрукты"/>
    <n v="274.1627906976744"/>
    <n v="0.1270676053948596"/>
    <s v="Фрукты-Ягоды"/>
    <n v="280.6666666666667"/>
    <d v="2022-02-20T00:00:00"/>
    <x v="166"/>
  </r>
  <r>
    <n v="547"/>
    <n v="444"/>
    <n v="59"/>
    <n v="2"/>
    <n v="590"/>
    <x v="340"/>
    <x v="19"/>
    <n v="381"/>
    <s v="Йогурт"/>
    <n v="263.2542372881356"/>
    <n v="-0.7758820499613701"/>
    <s v="Эрманн"/>
    <n v="248.5"/>
    <d v="2022-06-02T00:00:00"/>
    <x v="352"/>
  </r>
  <r>
    <n v="548"/>
    <n v="334"/>
    <n v="459"/>
    <n v="5"/>
    <n v="11475"/>
    <x v="341"/>
    <x v="0"/>
    <n v="167"/>
    <s v="Молоко"/>
    <n v="294.952380952381"/>
    <n v="0.5561834032935098"/>
    <s v="Домик в деревне"/>
    <n v="274.7777777777778"/>
    <d v="2022-01-02T00:00:00"/>
    <x v="199"/>
  </r>
  <r>
    <n v="549"/>
    <n v="431"/>
    <n v="149"/>
    <n v="5"/>
    <n v="3725"/>
    <x v="305"/>
    <x v="15"/>
    <n v="12"/>
    <s v="Овощи"/>
    <n v="250.4878048780488"/>
    <n v="-0.4051606621226874"/>
    <s v="Гавриш"/>
    <n v="247.6666666666667"/>
    <d v="2022-10-08T00:00:00"/>
    <x v="378"/>
  </r>
  <r>
    <n v="550"/>
    <n v="62"/>
    <n v="88"/>
    <n v="1"/>
    <n v="440"/>
    <x v="342"/>
    <x v="6"/>
    <n v="44"/>
    <s v="Рыба"/>
    <n v="258.5128205128205"/>
    <n v="-0.659591350922436"/>
    <s v="Балтийский берег"/>
    <n v="289.8888888888889"/>
    <d v="2022-05-20T00:00:00"/>
    <x v="147"/>
  </r>
  <r>
    <n v="551"/>
    <n v="458"/>
    <n v="79"/>
    <n v="2"/>
    <n v="790"/>
    <x v="343"/>
    <x v="14"/>
    <n v="133"/>
    <s v="Макароны"/>
    <n v="265.4767441860465"/>
    <n v="-0.7024221453287197"/>
    <s v="Борилла"/>
    <n v="236.2758620689655"/>
    <d v="2022-01-27T00:00:00"/>
    <x v="379"/>
  </r>
  <r>
    <n v="552"/>
    <n v="119"/>
    <n v="369"/>
    <n v="2"/>
    <n v="3690"/>
    <x v="175"/>
    <x v="12"/>
    <n v="21"/>
    <s v="Печенье"/>
    <n v="283.468085106383"/>
    <n v="0.3017338437288899"/>
    <s v="КДВ"/>
    <n v="323.0769230769231"/>
    <d v="2022-11-16T00:00:00"/>
    <x v="380"/>
  </r>
  <r>
    <n v="553"/>
    <n v="388"/>
    <n v="107"/>
    <n v="1"/>
    <n v="535"/>
    <x v="344"/>
    <x v="4"/>
    <n v="179"/>
    <s v="Рыба"/>
    <n v="258.5128205128205"/>
    <n v="-0.5860940289625074"/>
    <s v="Меридиан"/>
    <n v="260.6470588235294"/>
    <d v="2022-09-29T00:00:00"/>
    <x v="155"/>
  </r>
  <r>
    <n v="554"/>
    <n v="303"/>
    <n v="258"/>
    <n v="4"/>
    <n v="5160"/>
    <x v="185"/>
    <x v="10"/>
    <n v="300"/>
    <s v="Фрукты"/>
    <n v="274.1627906976744"/>
    <n v="-0.0589532615149716"/>
    <s v="Фруктовый Рай"/>
    <n v="258.3076923076923"/>
    <d v="2022-09-20T00:00:00"/>
    <x v="381"/>
  </r>
  <r>
    <n v="555"/>
    <n v="160"/>
    <n v="400"/>
    <n v="3"/>
    <n v="6000"/>
    <x v="345"/>
    <x v="19"/>
    <n v="134"/>
    <s v="Крупа"/>
    <n v="255.1162790697674"/>
    <n v="0.5679124886052871"/>
    <s v="Мистраль"/>
    <n v="250.3076923076923"/>
    <d v="2022-07-11T00:00:00"/>
    <x v="382"/>
  </r>
  <r>
    <n v="556"/>
    <n v="66"/>
    <n v="230"/>
    <n v="2"/>
    <n v="2300"/>
    <x v="289"/>
    <x v="13"/>
    <n v="391"/>
    <s v="Кофе"/>
    <n v="249.0238095238095"/>
    <n v="-0.07639353666698534"/>
    <s v="Черная Карта"/>
    <n v="222.2"/>
    <d v="2022-04-24T00:00:00"/>
    <x v="157"/>
  </r>
  <r>
    <n v="557"/>
    <n v="125"/>
    <n v="187"/>
    <n v="5"/>
    <n v="4675"/>
    <x v="22"/>
    <x v="15"/>
    <n v="54"/>
    <s v="Рис"/>
    <n v="258.375"/>
    <n v="-0.2762457668118046"/>
    <s v="Националь"/>
    <n v="187"/>
    <d v="2022-10-13T00:00:00"/>
    <x v="211"/>
  </r>
  <r>
    <n v="558"/>
    <n v="280"/>
    <n v="234"/>
    <n v="2"/>
    <n v="2340"/>
    <x v="346"/>
    <x v="4"/>
    <n v="19"/>
    <s v="Сыр"/>
    <n v="262.6349206349207"/>
    <n v="-0.1090293726580444"/>
    <s v="President"/>
    <n v="238.7222222222222"/>
    <d v="2022-12-07T00:00:00"/>
    <x v="176"/>
  </r>
  <r>
    <n v="559"/>
    <n v="309"/>
    <n v="368"/>
    <n v="3"/>
    <n v="5520"/>
    <x v="111"/>
    <x v="7"/>
    <n v="340"/>
    <s v="Конфеты"/>
    <n v="267.8548387096774"/>
    <n v="0.3738784849762147"/>
    <s v="Рот Фронт"/>
    <n v="288.2380952380952"/>
    <d v="2022-12-01T00:00:00"/>
    <x v="383"/>
  </r>
  <r>
    <n v="560"/>
    <n v="317"/>
    <n v="267"/>
    <n v="3"/>
    <n v="4005"/>
    <x v="193"/>
    <x v="18"/>
    <n v="71"/>
    <s v="Сок"/>
    <n v="268.6034482758621"/>
    <n v="-0.005969574427113544"/>
    <s v="Фруктовый сад"/>
    <n v="281.96875"/>
    <d v="2022-07-20T00:00:00"/>
    <x v="362"/>
  </r>
  <r>
    <n v="561"/>
    <n v="260"/>
    <n v="370"/>
    <n v="5"/>
    <n v="9250"/>
    <x v="347"/>
    <x v="10"/>
    <n v="102"/>
    <s v="Соль"/>
    <n v="264.8679245283019"/>
    <n v="0.3969226385525002"/>
    <s v="Экстра"/>
    <n v="320.8461538461539"/>
    <d v="2022-06-11T00:00:00"/>
    <x v="384"/>
  </r>
  <r>
    <n v="562"/>
    <n v="448"/>
    <n v="170"/>
    <n v="1"/>
    <n v="850"/>
    <x v="263"/>
    <x v="18"/>
    <n v="43"/>
    <s v="Йогурт"/>
    <n v="263.2542372881356"/>
    <n v="-0.3542364151429307"/>
    <s v="Ростагроэкспорт"/>
    <n v="257.7826086956522"/>
    <d v="2022-12-17T00:00:00"/>
    <x v="43"/>
  </r>
  <r>
    <n v="563"/>
    <n v="158"/>
    <n v="71"/>
    <n v="2"/>
    <n v="710"/>
    <x v="137"/>
    <x v="5"/>
    <n v="29"/>
    <s v="Сахар"/>
    <n v="252.7627118644068"/>
    <n v="-0.7191041373298465"/>
    <s v="Сладов"/>
    <n v="240.2666666666667"/>
    <d v="2022-05-23T00:00:00"/>
    <x v="385"/>
  </r>
  <r>
    <n v="564"/>
    <n v="274"/>
    <n v="472"/>
    <n v="3"/>
    <n v="7080"/>
    <x v="306"/>
    <x v="1"/>
    <n v="272"/>
    <s v="Молоко"/>
    <n v="294.952380952381"/>
    <n v="0.6002583144979012"/>
    <s v="Простоквашино"/>
    <n v="318.8181818181818"/>
    <d v="2022-04-17T00:00:00"/>
    <x v="55"/>
  </r>
  <r>
    <n v="565"/>
    <n v="471"/>
    <n v="294"/>
    <n v="2"/>
    <n v="2940"/>
    <x v="348"/>
    <x v="3"/>
    <n v="370"/>
    <s v="Овощи"/>
    <n v="250.4878048780488"/>
    <n v="0.1737098344693282"/>
    <s v="Зеленая грядка"/>
    <n v="159.2"/>
    <d v="2022-06-14T00:00:00"/>
    <x v="386"/>
  </r>
  <r>
    <n v="566"/>
    <n v="398"/>
    <n v="65"/>
    <n v="4"/>
    <n v="1300"/>
    <x v="349"/>
    <x v="7"/>
    <n v="165"/>
    <s v="Сок"/>
    <n v="268.6034482758621"/>
    <n v="-0.7580075742987356"/>
    <s v="Фруктовый сад"/>
    <n v="281.96875"/>
    <d v="2022-02-07T00:00:00"/>
    <x v="27"/>
  </r>
  <r>
    <n v="567"/>
    <n v="395"/>
    <n v="454"/>
    <n v="5"/>
    <n v="11350"/>
    <x v="350"/>
    <x v="4"/>
    <n v="147"/>
    <s v="Соль"/>
    <n v="264.8679245283019"/>
    <n v="0.7140618321698247"/>
    <s v="Славянская"/>
    <n v="236.9166666666667"/>
    <d v="2022-09-23T00:00:00"/>
    <x v="387"/>
  </r>
  <r>
    <n v="568"/>
    <n v="424"/>
    <n v="472"/>
    <n v="3"/>
    <n v="7080"/>
    <x v="56"/>
    <x v="14"/>
    <n v="181"/>
    <s v="Печенье"/>
    <n v="283.468085106383"/>
    <n v="0.6650904450949484"/>
    <s v="КДВ"/>
    <n v="323.0769230769231"/>
    <d v="2022-01-07T00:00:00"/>
    <x v="388"/>
  </r>
  <r>
    <n v="569"/>
    <n v="474"/>
    <n v="261"/>
    <n v="2"/>
    <n v="2610"/>
    <x v="320"/>
    <x v="19"/>
    <n v="88"/>
    <s v="Молоко"/>
    <n v="294.952380952381"/>
    <n v="-0.1151113981272199"/>
    <s v="Простоквашино"/>
    <n v="318.8181818181818"/>
    <d v="2022-03-10T00:00:00"/>
    <x v="309"/>
  </r>
  <r>
    <n v="570"/>
    <n v="346"/>
    <n v="390"/>
    <n v="5"/>
    <n v="9750"/>
    <x v="351"/>
    <x v="12"/>
    <n v="10"/>
    <s v="Чай"/>
    <n v="271.1818181818182"/>
    <n v="0.4381495139121689"/>
    <s v="Greenfield"/>
    <n v="291.4545454545454"/>
    <d v="2022-11-16T00:00:00"/>
    <x v="2"/>
  </r>
  <r>
    <n v="571"/>
    <n v="132"/>
    <n v="497"/>
    <n v="4"/>
    <n v="9940"/>
    <x v="195"/>
    <x v="19"/>
    <n v="364"/>
    <s v="Рыба"/>
    <n v="258.5128205128205"/>
    <n v="0.9225352112676057"/>
    <s v="Меридиан"/>
    <n v="260.6470588235294"/>
    <d v="2022-11-18T00:00:00"/>
    <x v="389"/>
  </r>
  <r>
    <n v="572"/>
    <n v="17"/>
    <n v="363"/>
    <n v="4"/>
    <n v="7260"/>
    <x v="352"/>
    <x v="12"/>
    <n v="277"/>
    <s v="Кофе"/>
    <n v="249.0238095238095"/>
    <n v="0.4576919399560189"/>
    <s v="Jacobs"/>
    <n v="276.2105263157895"/>
    <d v="2022-07-08T00:00:00"/>
    <x v="390"/>
  </r>
  <r>
    <n v="573"/>
    <n v="63"/>
    <n v="251"/>
    <n v="1"/>
    <n v="1255"/>
    <x v="242"/>
    <x v="11"/>
    <n v="214"/>
    <s v="Рыба"/>
    <n v="258.5128205128205"/>
    <n v="-0.02906169410831183"/>
    <s v="Балтийский берег"/>
    <n v="289.8888888888889"/>
    <d v="2022-02-09T00:00:00"/>
    <x v="47"/>
  </r>
  <r>
    <n v="574"/>
    <n v="89"/>
    <n v="492"/>
    <n v="2"/>
    <n v="4920"/>
    <x v="296"/>
    <x v="9"/>
    <n v="402"/>
    <s v="Конфеты"/>
    <n v="267.8548387096774"/>
    <n v="0.8368158005660262"/>
    <s v="Рот Фронт"/>
    <n v="288.2380952380952"/>
    <d v="2022-06-30T00:00:00"/>
    <x v="105"/>
  </r>
  <r>
    <n v="575"/>
    <n v="260"/>
    <n v="449"/>
    <n v="1"/>
    <n v="2245"/>
    <x v="115"/>
    <x v="16"/>
    <n v="490"/>
    <s v="Соль"/>
    <n v="264.8679245283019"/>
    <n v="0.6951844992164125"/>
    <s v="Экстра"/>
    <n v="320.8461538461539"/>
    <d v="2022-02-11T00:00:00"/>
    <x v="90"/>
  </r>
  <r>
    <n v="576"/>
    <n v="27"/>
    <n v="193"/>
    <n v="1"/>
    <n v="965"/>
    <x v="353"/>
    <x v="7"/>
    <n v="151"/>
    <s v="Макароны"/>
    <n v="265.4767441860465"/>
    <n v="-0.2730060006132013"/>
    <s v="Паста Зара"/>
    <n v="276.6756756756757"/>
    <d v="2022-12-28T00:00:00"/>
    <x v="236"/>
  </r>
  <r>
    <n v="577"/>
    <n v="221"/>
    <n v="406"/>
    <n v="3"/>
    <n v="6090"/>
    <x v="354"/>
    <x v="19"/>
    <n v="409"/>
    <s v="Чипсы"/>
    <n v="273.7254901960785"/>
    <n v="0.4832378223495701"/>
    <s v="Pringles"/>
    <n v="280.2380952380952"/>
    <d v="2022-11-04T00:00:00"/>
    <x v="208"/>
  </r>
  <r>
    <n v="578"/>
    <n v="127"/>
    <n v="384"/>
    <n v="2"/>
    <n v="3840"/>
    <x v="168"/>
    <x v="11"/>
    <n v="348"/>
    <s v="Овощи"/>
    <n v="250.4878048780488"/>
    <n v="0.5330087633885101"/>
    <s v="Семко"/>
    <n v="208"/>
    <d v="2022-01-08T00:00:00"/>
    <x v="390"/>
  </r>
  <r>
    <n v="579"/>
    <n v="464"/>
    <n v="356"/>
    <n v="4"/>
    <n v="7120"/>
    <x v="173"/>
    <x v="11"/>
    <n v="255"/>
    <s v="Сыр"/>
    <n v="262.6349206349207"/>
    <n v="0.3554937749304967"/>
    <s v="Сырная долина"/>
    <n v="271"/>
    <d v="2022-08-20T00:00:00"/>
    <x v="391"/>
  </r>
  <r>
    <n v="580"/>
    <n v="426"/>
    <n v="438"/>
    <n v="1"/>
    <n v="2190"/>
    <x v="261"/>
    <x v="2"/>
    <n v="27"/>
    <s v="Печенье"/>
    <n v="283.468085106383"/>
    <n v="0.5451474893042108"/>
    <s v="Посиделкино"/>
    <n v="321.6363636363636"/>
    <d v="2022-01-25T00:00:00"/>
    <x v="346"/>
  </r>
  <r>
    <n v="581"/>
    <n v="224"/>
    <n v="232"/>
    <n v="5"/>
    <n v="5800"/>
    <x v="274"/>
    <x v="19"/>
    <n v="219"/>
    <s v="Чипсы"/>
    <n v="273.7254901960785"/>
    <n v="-0.15243553008596"/>
    <s v="Pringles"/>
    <n v="280.2380952380952"/>
    <d v="2022-01-24T00:00:00"/>
    <x v="96"/>
  </r>
  <r>
    <n v="582"/>
    <n v="198"/>
    <n v="383"/>
    <n v="2"/>
    <n v="3830"/>
    <x v="355"/>
    <x v="5"/>
    <n v="272"/>
    <s v="Мясо"/>
    <n v="271.7454545454545"/>
    <n v="0.4094071992506356"/>
    <s v="Мираторг"/>
    <n v="316.5833333333333"/>
    <d v="2022-04-17T00:00:00"/>
    <x v="392"/>
  </r>
  <r>
    <n v="583"/>
    <n v="233"/>
    <n v="419"/>
    <n v="5"/>
    <n v="10475"/>
    <x v="310"/>
    <x v="17"/>
    <n v="388"/>
    <s v="Йогурт"/>
    <n v="263.2542372881356"/>
    <n v="0.5916173062065413"/>
    <s v="Ростагроэкспорт"/>
    <n v="257.7826086956522"/>
    <d v="2022-01-20T00:00:00"/>
    <x v="285"/>
  </r>
  <r>
    <n v="584"/>
    <n v="355"/>
    <n v="210"/>
    <n v="1"/>
    <n v="1050"/>
    <x v="302"/>
    <x v="6"/>
    <n v="446"/>
    <s v="Кофе"/>
    <n v="249.0238095238095"/>
    <n v="-0.156707142174204"/>
    <s v="Jacobs"/>
    <n v="276.2105263157895"/>
    <d v="2022-04-20T00:00:00"/>
    <x v="217"/>
  </r>
  <r>
    <n v="585"/>
    <n v="118"/>
    <n v="214"/>
    <n v="2"/>
    <n v="2140"/>
    <x v="18"/>
    <x v="6"/>
    <n v="138"/>
    <s v="Сахар"/>
    <n v="252.7627118644068"/>
    <n v="-0.1533561322336217"/>
    <s v="Продимекс"/>
    <n v="240.5"/>
    <d v="2022-06-11T00:00:00"/>
    <x v="187"/>
  </r>
  <r>
    <n v="586"/>
    <n v="414"/>
    <n v="115"/>
    <n v="2"/>
    <n v="1150"/>
    <x v="309"/>
    <x v="4"/>
    <n v="402"/>
    <s v="Фрукты"/>
    <n v="274.1627906976744"/>
    <n v="-0.5805411824582238"/>
    <s v="Экзотик"/>
    <n v="253.6875"/>
    <d v="2022-06-30T00:00:00"/>
    <x v="99"/>
  </r>
  <r>
    <n v="587"/>
    <n v="405"/>
    <n v="340"/>
    <n v="1"/>
    <n v="1700"/>
    <x v="302"/>
    <x v="3"/>
    <n v="351"/>
    <s v="Хлеб"/>
    <n v="300.3181818181818"/>
    <n v="0.1321325866505223"/>
    <s v="Каравай"/>
    <n v="331.1666666666667"/>
    <d v="2022-10-29T00:00:00"/>
    <x v="248"/>
  </r>
  <r>
    <n v="588"/>
    <n v="313"/>
    <n v="392"/>
    <n v="5"/>
    <n v="9800"/>
    <x v="73"/>
    <x v="0"/>
    <n v="40"/>
    <s v="Конфеты"/>
    <n v="267.8548387096774"/>
    <n v="0.4634792557355332"/>
    <s v="Бабаевский"/>
    <n v="250.2592592592593"/>
    <d v="2022-10-21T00:00:00"/>
    <x v="393"/>
  </r>
  <r>
    <n v="589"/>
    <n v="113"/>
    <n v="378"/>
    <n v="1"/>
    <n v="1890"/>
    <x v="104"/>
    <x v="2"/>
    <n v="19"/>
    <s v="Сок"/>
    <n v="268.6034482758621"/>
    <n v="0.4072790294627382"/>
    <s v="Добрый"/>
    <n v="242.8181818181818"/>
    <d v="2022-12-07T00:00:00"/>
    <x v="394"/>
  </r>
  <r>
    <n v="590"/>
    <n v="474"/>
    <n v="204"/>
    <n v="2"/>
    <n v="2040"/>
    <x v="6"/>
    <x v="15"/>
    <n v="153"/>
    <s v="Молоко"/>
    <n v="294.952380952381"/>
    <n v="-0.3083629318695512"/>
    <s v="Простоквашино"/>
    <n v="318.8181818181818"/>
    <d v="2022-08-29T00:00:00"/>
    <x v="87"/>
  </r>
  <r>
    <n v="591"/>
    <n v="361"/>
    <n v="69"/>
    <n v="1"/>
    <n v="345"/>
    <x v="304"/>
    <x v="19"/>
    <n v="355"/>
    <s v="Мясо"/>
    <n v="271.7454545454545"/>
    <n v="-0.7460859092733843"/>
    <s v="Сава"/>
    <n v="212.8125"/>
    <d v="2022-03-11T00:00:00"/>
    <x v="24"/>
  </r>
  <r>
    <n v="592"/>
    <n v="291"/>
    <n v="455"/>
    <n v="5"/>
    <n v="11375"/>
    <x v="213"/>
    <x v="10"/>
    <n v="245"/>
    <s v="Рыба"/>
    <n v="258.5128205128205"/>
    <n v="0.7600674469351321"/>
    <s v="Балтийский берег"/>
    <n v="289.8888888888889"/>
    <d v="2022-05-14T00:00:00"/>
    <x v="395"/>
  </r>
  <r>
    <n v="593"/>
    <n v="360"/>
    <n v="137"/>
    <n v="2"/>
    <n v="1370"/>
    <x v="356"/>
    <x v="14"/>
    <n v="80"/>
    <s v="Соль"/>
    <n v="264.8679245283019"/>
    <n v="-0.4827610770765066"/>
    <s v="Славянская"/>
    <n v="236.9166666666667"/>
    <d v="2022-03-03T00:00:00"/>
    <x v="396"/>
  </r>
  <r>
    <n v="594"/>
    <n v="182"/>
    <n v="152"/>
    <n v="3"/>
    <n v="2280"/>
    <x v="357"/>
    <x v="14"/>
    <n v="466"/>
    <s v="Соль"/>
    <n v="264.8679245283019"/>
    <n v="-0.4261290782162701"/>
    <s v="Экстра"/>
    <n v="320.8461538461539"/>
    <d v="2022-07-30T00:00:00"/>
    <x v="397"/>
  </r>
  <r>
    <n v="595"/>
    <n v="490"/>
    <n v="170"/>
    <n v="5"/>
    <n v="4250"/>
    <x v="18"/>
    <x v="9"/>
    <n v="317"/>
    <s v="Сыр"/>
    <n v="262.6349206349207"/>
    <n v="-0.3527136468028527"/>
    <s v="Сырная долина"/>
    <n v="271"/>
    <d v="2022-07-28T00:00:00"/>
    <x v="137"/>
  </r>
  <r>
    <n v="596"/>
    <n v="215"/>
    <n v="496"/>
    <n v="2"/>
    <n v="4960"/>
    <x v="358"/>
    <x v="4"/>
    <n v="342"/>
    <s v="Сок"/>
    <n v="268.6034482758621"/>
    <n v="0.8465883561204184"/>
    <s v="Фруктовый сад"/>
    <n v="281.96875"/>
    <d v="2022-01-09T00:00:00"/>
    <x v="398"/>
  </r>
  <r>
    <n v="597"/>
    <n v="137"/>
    <n v="411"/>
    <n v="1"/>
    <n v="2055"/>
    <x v="231"/>
    <x v="19"/>
    <n v="130"/>
    <s v="Фрукты"/>
    <n v="274.1627906976744"/>
    <n v="0.4991093392145218"/>
    <s v="Экзотик"/>
    <n v="253.6875"/>
    <d v="2022-10-29T00:00:00"/>
    <x v="399"/>
  </r>
  <r>
    <n v="598"/>
    <n v="75"/>
    <n v="240"/>
    <n v="4"/>
    <n v="4800"/>
    <x v="359"/>
    <x v="14"/>
    <n v="53"/>
    <s v="Печенье"/>
    <n v="283.468085106383"/>
    <n v="-0.1533438414771449"/>
    <s v="Белогорье"/>
    <n v="249.5"/>
    <d v="2022-02-01T00:00:00"/>
    <x v="400"/>
  </r>
  <r>
    <n v="599"/>
    <n v="359"/>
    <n v="302"/>
    <n v="4"/>
    <n v="6040"/>
    <x v="183"/>
    <x v="14"/>
    <n v="122"/>
    <s v="Мясо"/>
    <n v="271.7454545454545"/>
    <n v="0.1113341362237388"/>
    <s v="Мираторг"/>
    <n v="316.5833333333333"/>
    <d v="2022-05-02T00:00:00"/>
    <x v="401"/>
  </r>
  <r>
    <n v="600"/>
    <n v="364"/>
    <n v="138"/>
    <n v="4"/>
    <n v="2760"/>
    <x v="294"/>
    <x v="14"/>
    <n v="199"/>
    <s v="Сахар"/>
    <n v="252.7627118644068"/>
    <n v="-0.4540333936833635"/>
    <s v="Русский сахар"/>
    <n v="293.4117647058824"/>
    <d v="2022-06-03T00:00:00"/>
    <x v="227"/>
  </r>
  <r>
    <n v="601"/>
    <n v="197"/>
    <n v="309"/>
    <n v="4"/>
    <n v="6180"/>
    <x v="155"/>
    <x v="7"/>
    <n v="52"/>
    <s v="Печенье"/>
    <n v="283.468085106383"/>
    <n v="0.090069804098176"/>
    <s v="Юбилейное"/>
    <n v="232.4444444444445"/>
    <d v="2022-12-22T00:00:00"/>
    <x v="124"/>
  </r>
  <r>
    <n v="602"/>
    <n v="157"/>
    <n v="473"/>
    <n v="5"/>
    <n v="11825"/>
    <x v="139"/>
    <x v="14"/>
    <n v="477"/>
    <s v="Сыр"/>
    <n v="262.6349206349207"/>
    <n v="0.8009790886014745"/>
    <s v="President"/>
    <n v="238.7222222222222"/>
    <d v="2022-06-26T00:00:00"/>
    <x v="185"/>
  </r>
  <r>
    <n v="603"/>
    <n v="105"/>
    <n v="187"/>
    <n v="1"/>
    <n v="935"/>
    <x v="123"/>
    <x v="11"/>
    <n v="24"/>
    <s v="Фрукты"/>
    <n v="274.1627906976744"/>
    <n v="-0.3179234879972856"/>
    <s v="Фрукты-Ягоды"/>
    <n v="280.6666666666667"/>
    <d v="2022-02-17T00:00:00"/>
    <x v="378"/>
  </r>
  <r>
    <n v="604"/>
    <n v="479"/>
    <n v="314"/>
    <n v="3"/>
    <n v="4710"/>
    <x v="360"/>
    <x v="8"/>
    <n v="293"/>
    <s v="Овощи"/>
    <n v="250.4878048780488"/>
    <n v="0.253554040895813"/>
    <s v="Гавриш"/>
    <n v="247.6666666666667"/>
    <d v="2022-01-12T00:00:00"/>
    <x v="402"/>
  </r>
  <r>
    <n v="605"/>
    <n v="285"/>
    <n v="122"/>
    <n v="5"/>
    <n v="3050"/>
    <x v="107"/>
    <x v="9"/>
    <n v="447"/>
    <s v="Макароны"/>
    <n v="265.4767441860465"/>
    <n v="-0.5404493889886558"/>
    <s v="Паста Зара"/>
    <n v="276.6756756756757"/>
    <d v="2022-12-03T00:00:00"/>
    <x v="403"/>
  </r>
  <r>
    <n v="606"/>
    <n v="93"/>
    <n v="184"/>
    <n v="2"/>
    <n v="1840"/>
    <x v="0"/>
    <x v="11"/>
    <n v="163"/>
    <s v="Чай"/>
    <n v="271.1818181818182"/>
    <n v="-0.3214884344619511"/>
    <s v="Greenfield"/>
    <n v="291.4545454545454"/>
    <d v="2022-01-10T00:00:00"/>
    <x v="138"/>
  </r>
  <r>
    <n v="607"/>
    <n v="199"/>
    <n v="172"/>
    <n v="3"/>
    <n v="2580"/>
    <x v="361"/>
    <x v="14"/>
    <n v="421"/>
    <s v="Макароны"/>
    <n v="265.4767441860465"/>
    <n v="-0.3521089746397442"/>
    <s v="Борилла"/>
    <n v="236.2758620689655"/>
    <d v="2022-02-28T00:00:00"/>
    <x v="326"/>
  </r>
  <r>
    <n v="608"/>
    <n v="122"/>
    <n v="482"/>
    <n v="4"/>
    <n v="9640"/>
    <x v="123"/>
    <x v="15"/>
    <n v="320"/>
    <s v="Фрукты"/>
    <n v="274.1627906976744"/>
    <n v="0.758079565696836"/>
    <s v="Фрукты-Ягоды"/>
    <n v="280.6666666666667"/>
    <d v="2022-11-04T00:00:00"/>
    <x v="404"/>
  </r>
  <r>
    <n v="609"/>
    <n v="415"/>
    <n v="350"/>
    <n v="1"/>
    <n v="1750"/>
    <x v="362"/>
    <x v="0"/>
    <n v="199"/>
    <s v="Чипсы"/>
    <n v="273.7254901960785"/>
    <n v="0.2786532951289398"/>
    <s v="Pringles"/>
    <n v="280.2380952380952"/>
    <d v="2022-06-03T00:00:00"/>
    <x v="405"/>
  </r>
  <r>
    <n v="610"/>
    <n v="315"/>
    <n v="232"/>
    <n v="1"/>
    <n v="1160"/>
    <x v="363"/>
    <x v="5"/>
    <n v="247"/>
    <s v="Йогурт"/>
    <n v="263.2542372881356"/>
    <n v="-0.1187226371362349"/>
    <s v="Чудо"/>
    <n v="287.1"/>
    <d v="2022-07-20T00:00:00"/>
    <x v="406"/>
  </r>
  <r>
    <n v="611"/>
    <n v="25"/>
    <n v="222"/>
    <n v="1"/>
    <n v="1110"/>
    <x v="58"/>
    <x v="3"/>
    <n v="364"/>
    <s v="Чипсы"/>
    <n v="273.7254901960785"/>
    <n v="-0.1889684813753583"/>
    <s v="Русская картошка"/>
    <n v="241.8333333333333"/>
    <d v="2022-11-18T00:00:00"/>
    <x v="36"/>
  </r>
  <r>
    <n v="612"/>
    <n v="207"/>
    <n v="152"/>
    <n v="3"/>
    <n v="2280"/>
    <x v="236"/>
    <x v="3"/>
    <n v="173"/>
    <s v="Сахар"/>
    <n v="252.7627118644068"/>
    <n v="-0.3986454771005163"/>
    <s v="Агросахар"/>
    <n v="215.8571428571429"/>
    <d v="2022-04-22T00:00:00"/>
    <x v="352"/>
  </r>
  <r>
    <n v="613"/>
    <n v="180"/>
    <n v="284"/>
    <n v="1"/>
    <n v="1420"/>
    <x v="33"/>
    <x v="1"/>
    <n v="485"/>
    <s v="Чипсы"/>
    <n v="273.7254901960785"/>
    <n v="0.03753581661891103"/>
    <s v="Русская картошка"/>
    <n v="241.8333333333333"/>
    <d v="2022-06-11T00:00:00"/>
    <x v="407"/>
  </r>
  <r>
    <n v="614"/>
    <n v="117"/>
    <n v="208"/>
    <n v="3"/>
    <n v="3120"/>
    <x v="330"/>
    <x v="0"/>
    <n v="401"/>
    <s v="Макароны"/>
    <n v="265.4767441860465"/>
    <n v="-0.2165038763085279"/>
    <s v="Роллтон"/>
    <n v="235.5555555555555"/>
    <d v="2022-10-22T00:00:00"/>
    <x v="227"/>
  </r>
  <r>
    <n v="615"/>
    <n v="211"/>
    <n v="338"/>
    <n v="4"/>
    <n v="6760"/>
    <x v="249"/>
    <x v="3"/>
    <n v="379"/>
    <s v="Овощи"/>
    <n v="250.4878048780488"/>
    <n v="0.3493670886075948"/>
    <s v="Овощной ряд"/>
    <n v="303.8235294117647"/>
    <d v="2022-01-20T00:00:00"/>
    <x v="408"/>
  </r>
  <r>
    <n v="616"/>
    <n v="26"/>
    <n v="143"/>
    <n v="2"/>
    <n v="1430"/>
    <x v="330"/>
    <x v="14"/>
    <n v="183"/>
    <s v="Мясо"/>
    <n v="271.7454545454545"/>
    <n v="-0.4737722467549846"/>
    <s v="Сава"/>
    <n v="212.8125"/>
    <d v="2022-12-05T00:00:00"/>
    <x v="409"/>
  </r>
  <r>
    <n v="617"/>
    <n v="22"/>
    <n v="217"/>
    <n v="3"/>
    <n v="3255"/>
    <x v="309"/>
    <x v="12"/>
    <n v="37"/>
    <s v="Конфеты"/>
    <n v="267.8548387096774"/>
    <n v="-0.1898596977178298"/>
    <s v="Бабаевский"/>
    <n v="250.2592592592593"/>
    <d v="2022-06-16T00:00:00"/>
    <x v="410"/>
  </r>
  <r>
    <n v="618"/>
    <n v="150"/>
    <n v="347"/>
    <n v="3"/>
    <n v="5205"/>
    <x v="364"/>
    <x v="2"/>
    <n v="201"/>
    <s v="Рыба"/>
    <n v="258.5128205128205"/>
    <n v="0.3422931957944852"/>
    <s v="Меридиан"/>
    <n v="260.6470588235294"/>
    <d v="2022-10-09T00:00:00"/>
    <x v="119"/>
  </r>
  <r>
    <n v="619"/>
    <n v="268"/>
    <n v="55"/>
    <n v="2"/>
    <n v="550"/>
    <x v="302"/>
    <x v="11"/>
    <n v="424"/>
    <s v="Рис"/>
    <n v="258.375"/>
    <n v="-0.7871311078858249"/>
    <s v="Мистраль"/>
    <n v="181.5714285714286"/>
    <d v="2022-01-24T00:00:00"/>
    <x v="122"/>
  </r>
  <r>
    <n v="620"/>
    <n v="67"/>
    <n v="142"/>
    <n v="4"/>
    <n v="2840"/>
    <x v="294"/>
    <x v="0"/>
    <n v="69"/>
    <s v="Йогурт"/>
    <n v="263.2542372881356"/>
    <n v="-0.4605974761782127"/>
    <s v="Чудо"/>
    <n v="287.1"/>
    <d v="2022-01-26T00:00:00"/>
    <x v="411"/>
  </r>
  <r>
    <n v="621"/>
    <n v="453"/>
    <n v="459"/>
    <n v="1"/>
    <n v="2295"/>
    <x v="10"/>
    <x v="7"/>
    <n v="498"/>
    <s v="Макароны"/>
    <n v="265.4767441860465"/>
    <n v="0.7289650037230082"/>
    <s v="Макфа"/>
    <n v="329.2727272727273"/>
    <d v="2022-06-09T00:00:00"/>
    <x v="143"/>
  </r>
  <r>
    <n v="622"/>
    <n v="191"/>
    <n v="58"/>
    <n v="1"/>
    <n v="290"/>
    <x v="57"/>
    <x v="11"/>
    <n v="237"/>
    <s v="Колбаса"/>
    <n v="286.9230769230769"/>
    <n v="-0.7978552278820376"/>
    <s v="Окраина"/>
    <n v="273.5833333333333"/>
    <d v="2022-11-21T00:00:00"/>
    <x v="412"/>
  </r>
  <r>
    <n v="623"/>
    <n v="49"/>
    <n v="465"/>
    <n v="2"/>
    <n v="4650"/>
    <x v="365"/>
    <x v="2"/>
    <n v="365"/>
    <s v="Рис"/>
    <n v="258.375"/>
    <n v="0.7997097242380262"/>
    <s v="Агро-Альянс"/>
    <n v="317.8571428571428"/>
    <d v="2022-10-07T00:00:00"/>
    <x v="237"/>
  </r>
  <r>
    <n v="624"/>
    <n v="313"/>
    <n v="152"/>
    <n v="1"/>
    <n v="760"/>
    <x v="366"/>
    <x v="8"/>
    <n v="127"/>
    <s v="Конфеты"/>
    <n v="267.8548387096774"/>
    <n v="-0.4325284518576504"/>
    <s v="Бабаевский"/>
    <n v="250.2592592592593"/>
    <d v="2022-12-19T00:00:00"/>
    <x v="413"/>
  </r>
  <r>
    <n v="625"/>
    <n v="245"/>
    <n v="144"/>
    <n v="4"/>
    <n v="2880"/>
    <x v="292"/>
    <x v="15"/>
    <n v="314"/>
    <s v="Сахар"/>
    <n v="252.7627118644068"/>
    <n v="-0.4302957151478576"/>
    <s v="Продимекс"/>
    <n v="240.5"/>
    <d v="2022-12-04T00:00:00"/>
    <x v="259"/>
  </r>
  <r>
    <n v="626"/>
    <n v="194"/>
    <n v="478"/>
    <n v="3"/>
    <n v="7170"/>
    <x v="111"/>
    <x v="8"/>
    <n v="403"/>
    <s v="Соль"/>
    <n v="264.8679245283019"/>
    <n v="0.8046730303462031"/>
    <s v="Салта"/>
    <n v="273.7"/>
    <d v="2022-02-02T00:00:00"/>
    <x v="410"/>
  </r>
  <r>
    <n v="627"/>
    <n v="154"/>
    <n v="75"/>
    <n v="1"/>
    <n v="375"/>
    <x v="336"/>
    <x v="6"/>
    <n v="255"/>
    <s v="Овощи"/>
    <n v="250.4878048780488"/>
    <n v="-0.7005842259006816"/>
    <s v="Зеленая грядка"/>
    <n v="159.2"/>
    <d v="2022-08-20T00:00:00"/>
    <x v="145"/>
  </r>
  <r>
    <n v="628"/>
    <n v="462"/>
    <n v="147"/>
    <n v="5"/>
    <n v="3675"/>
    <x v="367"/>
    <x v="15"/>
    <n v="229"/>
    <s v="Рис"/>
    <n v="258.375"/>
    <n v="-0.4310595065312046"/>
    <s v="Белый Злат"/>
    <n v="269.7058823529412"/>
    <d v="2022-07-24T00:00:00"/>
    <x v="385"/>
  </r>
  <r>
    <n v="629"/>
    <n v="310"/>
    <n v="404"/>
    <n v="4"/>
    <n v="8080"/>
    <x v="173"/>
    <x v="3"/>
    <n v="179"/>
    <s v="Макароны"/>
    <n v="265.4767441860465"/>
    <n v="0.5217905479392055"/>
    <s v="Паста Зара"/>
    <n v="276.6756756756757"/>
    <d v="2022-09-29T00:00:00"/>
    <x v="414"/>
  </r>
  <r>
    <n v="630"/>
    <n v="422"/>
    <n v="361"/>
    <n v="1"/>
    <n v="1805"/>
    <x v="114"/>
    <x v="7"/>
    <n v="277"/>
    <s v="Кофе"/>
    <n v="249.0238095238095"/>
    <n v="0.4496605794052968"/>
    <s v="Nescafe"/>
    <n v="256.9"/>
    <d v="2022-07-08T00:00:00"/>
    <x v="6"/>
  </r>
  <r>
    <n v="631"/>
    <n v="453"/>
    <n v="404"/>
    <n v="5"/>
    <n v="10100"/>
    <x v="177"/>
    <x v="0"/>
    <n v="460"/>
    <s v="Макароны"/>
    <n v="265.4767441860465"/>
    <n v="0.5217905479392055"/>
    <s v="Макфа"/>
    <n v="329.2727272727273"/>
    <d v="2022-09-17T00:00:00"/>
    <x v="366"/>
  </r>
  <r>
    <n v="632"/>
    <n v="337"/>
    <n v="132"/>
    <n v="3"/>
    <n v="1980"/>
    <x v="308"/>
    <x v="18"/>
    <n v="434"/>
    <s v="Макароны"/>
    <n v="265.4767441860465"/>
    <n v="-0.5027813061188735"/>
    <s v="Паста Зара"/>
    <n v="276.6756756756757"/>
    <d v="2022-06-18T00:00:00"/>
    <x v="141"/>
  </r>
  <r>
    <n v="633"/>
    <n v="258"/>
    <n v="333"/>
    <n v="4"/>
    <n v="6660"/>
    <x v="180"/>
    <x v="3"/>
    <n v="62"/>
    <s v="Рыба"/>
    <n v="258.5128205128205"/>
    <n v="0.2881372743503274"/>
    <s v="Санта Бремор"/>
    <n v="216.4"/>
    <d v="2022-04-20T00:00:00"/>
    <x v="385"/>
  </r>
  <r>
    <n v="634"/>
    <n v="111"/>
    <n v="420"/>
    <n v="1"/>
    <n v="2100"/>
    <x v="368"/>
    <x v="1"/>
    <n v="13"/>
    <s v="Сахар"/>
    <n v="252.7627118644068"/>
    <n v="0.6616374974854153"/>
    <s v="Сладов"/>
    <n v="240.2666666666667"/>
    <d v="2022-06-12T00:00:00"/>
    <x v="350"/>
  </r>
  <r>
    <n v="635"/>
    <n v="4"/>
    <n v="151"/>
    <n v="4"/>
    <n v="3020"/>
    <x v="369"/>
    <x v="10"/>
    <n v="116"/>
    <s v="Рис"/>
    <n v="258.375"/>
    <n v="-0.4155781325592647"/>
    <s v="Белый Злат"/>
    <n v="269.7058823529412"/>
    <d v="2022-03-23T00:00:00"/>
    <x v="405"/>
  </r>
  <r>
    <n v="636"/>
    <n v="266"/>
    <n v="141"/>
    <n v="5"/>
    <n v="3525"/>
    <x v="25"/>
    <x v="3"/>
    <n v="50"/>
    <s v="Рыба"/>
    <n v="258.5128205128205"/>
    <n v="-0.4545725054552667"/>
    <s v="Меридиан"/>
    <n v="260.6470588235294"/>
    <d v="2022-01-15T00:00:00"/>
    <x v="89"/>
  </r>
  <r>
    <n v="637"/>
    <n v="143"/>
    <n v="339"/>
    <n v="1"/>
    <n v="1695"/>
    <x v="102"/>
    <x v="3"/>
    <n v="197"/>
    <s v="Сахар"/>
    <n v="252.7627118644068"/>
    <n v="0.3411788372560853"/>
    <s v="Агросахар"/>
    <n v="215.8571428571429"/>
    <d v="2022-08-12T00:00:00"/>
    <x v="415"/>
  </r>
  <r>
    <n v="638"/>
    <n v="475"/>
    <n v="206"/>
    <n v="3"/>
    <n v="3090"/>
    <x v="86"/>
    <x v="11"/>
    <n v="243"/>
    <s v="Хлеб"/>
    <n v="300.3181818181818"/>
    <n v="-0.3140608445588012"/>
    <s v="Русский Хлеб"/>
    <n v="316.6"/>
    <d v="2022-04-30T00:00:00"/>
    <x v="416"/>
  </r>
  <r>
    <n v="639"/>
    <n v="52"/>
    <n v="105"/>
    <n v="2"/>
    <n v="1050"/>
    <x v="250"/>
    <x v="0"/>
    <n v="275"/>
    <s v="Соль"/>
    <n v="264.8679245283019"/>
    <n v="-0.6035760079783445"/>
    <s v="Илецкая"/>
    <n v="238.1666666666667"/>
    <d v="2022-03-31T00:00:00"/>
    <x v="40"/>
  </r>
  <r>
    <n v="640"/>
    <n v="47"/>
    <n v="356"/>
    <n v="3"/>
    <n v="5340"/>
    <x v="370"/>
    <x v="7"/>
    <n v="45"/>
    <s v="Мясо"/>
    <n v="271.7454545454545"/>
    <n v="0.3100495115750033"/>
    <s v="Снежана"/>
    <n v="272.3529411764706"/>
    <d v="2022-04-11T00:00:00"/>
    <x v="64"/>
  </r>
  <r>
    <n v="641"/>
    <n v="122"/>
    <n v="240"/>
    <n v="1"/>
    <n v="1200"/>
    <x v="205"/>
    <x v="1"/>
    <n v="419"/>
    <s v="Фрукты"/>
    <n v="274.1627906976744"/>
    <n v="-0.1246076851302061"/>
    <s v="Фрукты-Ягоды"/>
    <n v="280.6666666666667"/>
    <d v="2022-11-04T00:00:00"/>
    <x v="417"/>
  </r>
  <r>
    <n v="642"/>
    <n v="422"/>
    <n v="290"/>
    <n v="5"/>
    <n v="7250"/>
    <x v="257"/>
    <x v="4"/>
    <n v="125"/>
    <s v="Кофе"/>
    <n v="249.0238095238095"/>
    <n v="0.1645472798546705"/>
    <s v="Nescafe"/>
    <n v="256.9"/>
    <d v="2022-05-20T00:00:00"/>
    <x v="418"/>
  </r>
  <r>
    <n v="643"/>
    <n v="479"/>
    <n v="405"/>
    <n v="4"/>
    <n v="8100"/>
    <x v="74"/>
    <x v="11"/>
    <n v="242"/>
    <s v="Овощи"/>
    <n v="250.4878048780488"/>
    <n v="0.6168451801363193"/>
    <s v="Гавриш"/>
    <n v="247.6666666666667"/>
    <d v="2022-07-05T00:00:00"/>
    <x v="400"/>
  </r>
  <r>
    <n v="644"/>
    <n v="99"/>
    <n v="281"/>
    <n v="5"/>
    <n v="7025"/>
    <x v="184"/>
    <x v="7"/>
    <n v="329"/>
    <s v="Овощи"/>
    <n v="250.4878048780488"/>
    <n v="0.121811100292113"/>
    <s v="Семко"/>
    <n v="208"/>
    <d v="2022-04-02T00:00:00"/>
    <x v="47"/>
  </r>
  <r>
    <n v="645"/>
    <n v="272"/>
    <n v="207"/>
    <n v="5"/>
    <n v="5175"/>
    <x v="289"/>
    <x v="19"/>
    <n v="42"/>
    <s v="Крупа"/>
    <n v="255.1162790697674"/>
    <n v="-0.1886052871467639"/>
    <s v="Ярмарка"/>
    <n v="252.0909090909091"/>
    <d v="2022-08-10T00:00:00"/>
    <x v="206"/>
  </r>
  <r>
    <n v="646"/>
    <n v="493"/>
    <n v="378"/>
    <n v="2"/>
    <n v="3780"/>
    <x v="371"/>
    <x v="14"/>
    <n v="229"/>
    <s v="Овощи"/>
    <n v="250.4878048780488"/>
    <n v="0.5090555014605647"/>
    <s v="Овощной ряд"/>
    <n v="303.8235294117647"/>
    <d v="2022-07-24T00:00:00"/>
    <x v="419"/>
  </r>
  <r>
    <n v="647"/>
    <n v="360"/>
    <n v="120"/>
    <n v="2"/>
    <n v="1200"/>
    <x v="111"/>
    <x v="19"/>
    <n v="306"/>
    <s v="Соль"/>
    <n v="264.8679245283019"/>
    <n v="-0.546944009118108"/>
    <s v="Славянская"/>
    <n v="236.9166666666667"/>
    <d v="2022-11-07T00:00:00"/>
    <x v="420"/>
  </r>
  <r>
    <n v="648"/>
    <n v="215"/>
    <n v="440"/>
    <n v="2"/>
    <n v="4400"/>
    <x v="34"/>
    <x v="10"/>
    <n v="292"/>
    <s v="Сок"/>
    <n v="268.6034482758621"/>
    <n v="0.6381025739777906"/>
    <s v="Фруктовый сад"/>
    <n v="281.96875"/>
    <d v="2022-02-16T00:00:00"/>
    <x v="135"/>
  </r>
  <r>
    <n v="649"/>
    <n v="292"/>
    <n v="327"/>
    <n v="5"/>
    <n v="8175"/>
    <x v="123"/>
    <x v="12"/>
    <n v="275"/>
    <s v="Колбаса"/>
    <n v="286.9230769230769"/>
    <n v="0.1396782841823057"/>
    <s v="Дымов"/>
    <n v="312.6666666666667"/>
    <d v="2022-03-31T00:00:00"/>
    <x v="421"/>
  </r>
  <r>
    <n v="650"/>
    <n v="307"/>
    <n v="407"/>
    <n v="1"/>
    <n v="2035"/>
    <x v="342"/>
    <x v="12"/>
    <n v="103"/>
    <s v="Сыр"/>
    <n v="262.6349206349207"/>
    <n v="0.5496796808896409"/>
    <s v="Карат"/>
    <n v="311.3333333333333"/>
    <d v="2022-08-14T00:00:00"/>
    <x v="43"/>
  </r>
  <r>
    <n v="651"/>
    <n v="473"/>
    <n v="343"/>
    <n v="5"/>
    <n v="8575"/>
    <x v="372"/>
    <x v="3"/>
    <n v="460"/>
    <s v="Хлеб"/>
    <n v="300.3181818181818"/>
    <n v="0.1421219918268504"/>
    <s v="Хлебный Дом"/>
    <n v="281.7333333333333"/>
    <d v="2022-09-17T00:00:00"/>
    <x v="333"/>
  </r>
  <r>
    <n v="652"/>
    <n v="112"/>
    <n v="237"/>
    <n v="3"/>
    <n v="3555"/>
    <x v="82"/>
    <x v="17"/>
    <n v="342"/>
    <s v="Молоко"/>
    <n v="294.952380952381"/>
    <n v="-0.1964804649660963"/>
    <s v="Беллакт"/>
    <n v="322.5454545454546"/>
    <d v="2022-01-09T00:00:00"/>
    <x v="422"/>
  </r>
  <r>
    <n v="653"/>
    <n v="131"/>
    <n v="116"/>
    <n v="5"/>
    <n v="2900"/>
    <x v="238"/>
    <x v="1"/>
    <n v="246"/>
    <s v="Сок"/>
    <n v="268.6034482758621"/>
    <n v="-0.568136594133128"/>
    <s v="Сады Придонья"/>
    <n v="254.1818181818182"/>
    <d v="2022-09-01T00:00:00"/>
    <x v="330"/>
  </r>
  <r>
    <n v="654"/>
    <n v="230"/>
    <n v="453"/>
    <n v="3"/>
    <n v="6795"/>
    <x v="371"/>
    <x v="19"/>
    <n v="175"/>
    <s v="Сок"/>
    <n v="268.6034482758621"/>
    <n v="0.6865010591180434"/>
    <s v="Фруктовый сад"/>
    <n v="281.96875"/>
    <d v="2022-01-04T00:00:00"/>
    <x v="423"/>
  </r>
  <r>
    <n v="655"/>
    <n v="39"/>
    <n v="375"/>
    <n v="2"/>
    <n v="3750"/>
    <x v="148"/>
    <x v="14"/>
    <n v="366"/>
    <s v="Сыр"/>
    <n v="262.6349206349207"/>
    <n v="0.4278375438172366"/>
    <s v="Сырная долина"/>
    <n v="271"/>
    <d v="2022-09-23T00:00:00"/>
    <x v="256"/>
  </r>
  <r>
    <n v="656"/>
    <n v="481"/>
    <n v="374"/>
    <n v="5"/>
    <n v="9350"/>
    <x v="26"/>
    <x v="14"/>
    <n v="254"/>
    <s v="Чипсы"/>
    <n v="273.7254901960785"/>
    <n v="0.3663323782234955"/>
    <s v="Pringles"/>
    <n v="280.2380952380952"/>
    <d v="2022-10-28T00:00:00"/>
    <x v="45"/>
  </r>
  <r>
    <n v="657"/>
    <n v="438"/>
    <n v="81"/>
    <n v="4"/>
    <n v="1620"/>
    <x v="79"/>
    <x v="16"/>
    <n v="79"/>
    <s v="Кофе"/>
    <n v="249.0238095238095"/>
    <n v="-0.6747298976957644"/>
    <s v="Nescafe"/>
    <n v="256.9"/>
    <d v="2022-06-04T00:00:00"/>
    <x v="424"/>
  </r>
  <r>
    <n v="658"/>
    <n v="316"/>
    <n v="428"/>
    <n v="3"/>
    <n v="6420"/>
    <x v="44"/>
    <x v="4"/>
    <n v="70"/>
    <s v="Макароны"/>
    <n v="265.4767441860465"/>
    <n v="0.612193946826683"/>
    <s v="Борилла"/>
    <n v="236.2758620689655"/>
    <d v="2022-01-30T00:00:00"/>
    <x v="425"/>
  </r>
  <r>
    <n v="659"/>
    <n v="174"/>
    <n v="456"/>
    <n v="3"/>
    <n v="6840"/>
    <x v="181"/>
    <x v="15"/>
    <n v="76"/>
    <s v="Чай"/>
    <n v="271.1818181818182"/>
    <n v="0.6815286624203822"/>
    <s v="Ахмад"/>
    <n v="243.3"/>
    <d v="2022-01-14T00:00:00"/>
    <x v="426"/>
  </r>
  <r>
    <n v="660"/>
    <n v="228"/>
    <n v="247"/>
    <n v="4"/>
    <n v="4940"/>
    <x v="373"/>
    <x v="11"/>
    <n v="147"/>
    <s v="Рис"/>
    <n v="258.375"/>
    <n v="-0.04402515723270439"/>
    <s v="Мистраль"/>
    <n v="181.5714285714286"/>
    <d v="2022-09-23T00:00:00"/>
    <x v="427"/>
  </r>
  <r>
    <n v="661"/>
    <n v="269"/>
    <n v="455"/>
    <n v="5"/>
    <n v="11375"/>
    <x v="42"/>
    <x v="3"/>
    <n v="345"/>
    <s v="Сахар"/>
    <n v="252.7627118644068"/>
    <n v="0.8001072889425334"/>
    <s v="Русский сахар"/>
    <n v="293.4117647058824"/>
    <d v="2022-05-24T00:00:00"/>
    <x v="157"/>
  </r>
  <r>
    <n v="662"/>
    <n v="461"/>
    <n v="388"/>
    <n v="4"/>
    <n v="7760"/>
    <x v="374"/>
    <x v="13"/>
    <n v="303"/>
    <s v="Фрукты"/>
    <n v="274.1627906976744"/>
    <n v="0.4152175757061667"/>
    <s v="Green Garden"/>
    <n v="369.2"/>
    <d v="2022-05-08T00:00:00"/>
    <x v="428"/>
  </r>
  <r>
    <n v="663"/>
    <n v="151"/>
    <n v="496"/>
    <n v="3"/>
    <n v="7440"/>
    <x v="345"/>
    <x v="14"/>
    <n v="436"/>
    <s v="Молоко"/>
    <n v="294.952380952381"/>
    <n v="0.6816273813367775"/>
    <s v="Беллакт"/>
    <n v="322.5454545454546"/>
    <d v="2022-05-02T00:00:00"/>
    <x v="375"/>
  </r>
  <r>
    <n v="664"/>
    <n v="386"/>
    <n v="295"/>
    <n v="3"/>
    <n v="4425"/>
    <x v="40"/>
    <x v="11"/>
    <n v="25"/>
    <s v="Крупа"/>
    <n v="255.1162790697674"/>
    <n v="0.1563354603463993"/>
    <s v="Увелка"/>
    <n v="251.9166666666667"/>
    <d v="2022-01-21T00:00:00"/>
    <x v="429"/>
  </r>
  <r>
    <n v="665"/>
    <n v="452"/>
    <n v="226"/>
    <n v="4"/>
    <n v="4520"/>
    <x v="135"/>
    <x v="19"/>
    <n v="33"/>
    <s v="Фрукты"/>
    <n v="274.1627906976744"/>
    <n v="-0.1756722368309441"/>
    <s v="Экзотик"/>
    <n v="253.6875"/>
    <d v="2022-06-18T00:00:00"/>
    <x v="59"/>
  </r>
  <r>
    <n v="666"/>
    <n v="37"/>
    <n v="411"/>
    <n v="5"/>
    <n v="10275"/>
    <x v="375"/>
    <x v="13"/>
    <n v="7"/>
    <s v="Соль"/>
    <n v="264.8679245283019"/>
    <n v="0.55171676877048"/>
    <s v="Илецкая"/>
    <n v="238.1666666666667"/>
    <d v="2022-11-28T00:00:00"/>
    <x v="430"/>
  </r>
  <r>
    <n v="667"/>
    <n v="27"/>
    <n v="301"/>
    <n v="1"/>
    <n v="1505"/>
    <x v="286"/>
    <x v="14"/>
    <n v="494"/>
    <s v="Макароны"/>
    <n v="265.4767441860465"/>
    <n v="0.1338092943804476"/>
    <s v="Паста Зара"/>
    <n v="276.6756756756757"/>
    <d v="2022-06-26T00:00:00"/>
    <x v="105"/>
  </r>
  <r>
    <n v="668"/>
    <n v="435"/>
    <n v="452"/>
    <n v="4"/>
    <n v="9040"/>
    <x v="83"/>
    <x v="5"/>
    <n v="420"/>
    <s v="Мясо"/>
    <n v="271.7454545454545"/>
    <n v="0.6633212899772514"/>
    <s v="Снежана"/>
    <n v="272.3529411764706"/>
    <d v="2022-05-17T00:00:00"/>
    <x v="334"/>
  </r>
  <r>
    <n v="669"/>
    <n v="101"/>
    <n v="293"/>
    <n v="1"/>
    <n v="1465"/>
    <x v="153"/>
    <x v="14"/>
    <n v="75"/>
    <s v="Чай"/>
    <n v="271.1818181818182"/>
    <n v="0.0804559168622192"/>
    <s v="Ахмад"/>
    <n v="243.3"/>
    <d v="2022-08-23T00:00:00"/>
    <x v="431"/>
  </r>
  <r>
    <n v="670"/>
    <n v="423"/>
    <n v="382"/>
    <n v="2"/>
    <n v="3820"/>
    <x v="141"/>
    <x v="8"/>
    <n v="83"/>
    <s v="Чипсы"/>
    <n v="273.7254901960785"/>
    <n v="0.3955587392550142"/>
    <s v="Pringles"/>
    <n v="280.2380952380952"/>
    <d v="2022-06-27T00:00:00"/>
    <x v="407"/>
  </r>
  <r>
    <n v="671"/>
    <n v="411"/>
    <n v="158"/>
    <n v="3"/>
    <n v="2370"/>
    <x v="124"/>
    <x v="8"/>
    <n v="109"/>
    <s v="Хлеб"/>
    <n v="300.3181818181818"/>
    <n v="-0.4738913273800515"/>
    <s v="Хлебный Дом"/>
    <n v="281.7333333333333"/>
    <d v="2022-06-20T00:00:00"/>
    <x v="242"/>
  </r>
  <r>
    <n v="672"/>
    <n v="381"/>
    <n v="296"/>
    <n v="4"/>
    <n v="5920"/>
    <x v="136"/>
    <x v="12"/>
    <n v="465"/>
    <s v="Рыба"/>
    <n v="258.5128205128205"/>
    <n v="0.1450109105336244"/>
    <s v="Русское море"/>
    <n v="292.6666666666667"/>
    <d v="2022-04-20T00:00:00"/>
    <x v="379"/>
  </r>
  <r>
    <n v="673"/>
    <n v="400"/>
    <n v="345"/>
    <n v="2"/>
    <n v="3450"/>
    <x v="376"/>
    <x v="14"/>
    <n v="18"/>
    <s v="Молоко"/>
    <n v="294.952380952381"/>
    <n v="0.1696803358088472"/>
    <s v="Беллакт"/>
    <n v="322.5454545454546"/>
    <d v="2022-01-17T00:00:00"/>
    <x v="432"/>
  </r>
  <r>
    <n v="674"/>
    <n v="389"/>
    <n v="155"/>
    <n v="4"/>
    <n v="3100"/>
    <x v="145"/>
    <x v="19"/>
    <n v="376"/>
    <s v="Чай"/>
    <n v="271.1818181818182"/>
    <n v="-0.4284277572913174"/>
    <s v="Ахмад"/>
    <n v="243.3"/>
    <d v="2022-06-18T00:00:00"/>
    <x v="154"/>
  </r>
  <r>
    <n v="675"/>
    <n v="227"/>
    <n v="300"/>
    <n v="4"/>
    <n v="6000"/>
    <x v="140"/>
    <x v="8"/>
    <n v="88"/>
    <s v="Макароны"/>
    <n v="265.4767441860465"/>
    <n v="0.1300424860934695"/>
    <s v="Макфа"/>
    <n v="329.2727272727273"/>
    <d v="2022-03-10T00:00:00"/>
    <x v="433"/>
  </r>
  <r>
    <n v="676"/>
    <n v="243"/>
    <n v="371"/>
    <n v="3"/>
    <n v="5565"/>
    <x v="138"/>
    <x v="1"/>
    <n v="352"/>
    <s v="Рис"/>
    <n v="258.375"/>
    <n v="0.4358974358974359"/>
    <s v="Белый Злат"/>
    <n v="269.7058823529412"/>
    <d v="2022-01-12T00:00:00"/>
    <x v="355"/>
  </r>
  <r>
    <n v="677"/>
    <n v="187"/>
    <n v="273"/>
    <n v="3"/>
    <n v="4095"/>
    <x v="15"/>
    <x v="16"/>
    <n v="452"/>
    <s v="Макароны"/>
    <n v="265.4767441860465"/>
    <n v="0.02833866234505722"/>
    <s v="Паста Зара"/>
    <n v="276.6756756756757"/>
    <d v="2022-07-27T00:00:00"/>
    <x v="434"/>
  </r>
  <r>
    <n v="678"/>
    <n v="441"/>
    <n v="147"/>
    <n v="3"/>
    <n v="2205"/>
    <x v="39"/>
    <x v="9"/>
    <n v="449"/>
    <s v="Чай"/>
    <n v="271.1818181818182"/>
    <n v="-0.4579282601407979"/>
    <s v="Lipton"/>
    <n v="260.1578947368421"/>
    <d v="2022-03-25T00:00:00"/>
    <x v="161"/>
  </r>
  <r>
    <n v="679"/>
    <n v="446"/>
    <n v="440"/>
    <n v="5"/>
    <n v="11000"/>
    <x v="11"/>
    <x v="16"/>
    <n v="197"/>
    <s v="Чипсы"/>
    <n v="273.7254901960785"/>
    <n v="0.6074498567335243"/>
    <s v="Lay's"/>
    <n v="320.5714285714286"/>
    <d v="2022-08-12T00:00:00"/>
    <x v="435"/>
  </r>
  <r>
    <n v="680"/>
    <n v="55"/>
    <n v="227"/>
    <n v="4"/>
    <n v="4540"/>
    <x v="109"/>
    <x v="0"/>
    <n v="70"/>
    <s v="Крупа"/>
    <n v="255.1162790697674"/>
    <n v="-0.1102096627164996"/>
    <s v="Националь"/>
    <n v="274.2857142857143"/>
    <d v="2022-01-30T00:00:00"/>
    <x v="96"/>
  </r>
  <r>
    <n v="681"/>
    <n v="27"/>
    <n v="415"/>
    <n v="4"/>
    <n v="8300"/>
    <x v="377"/>
    <x v="17"/>
    <n v="345"/>
    <s v="Макароны"/>
    <n v="265.4767441860465"/>
    <n v="0.5632254390959659"/>
    <s v="Паста Зара"/>
    <n v="276.6756756756757"/>
    <d v="2022-05-24T00:00:00"/>
    <x v="436"/>
  </r>
  <r>
    <n v="682"/>
    <n v="110"/>
    <n v="84"/>
    <n v="5"/>
    <n v="2100"/>
    <x v="119"/>
    <x v="5"/>
    <n v="225"/>
    <s v="Макароны"/>
    <n v="265.4767441860465"/>
    <n v="-0.6835881038938285"/>
    <s v="Паста Зара"/>
    <n v="276.6756756756757"/>
    <d v="2022-09-23T00:00:00"/>
    <x v="437"/>
  </r>
  <r>
    <n v="683"/>
    <n v="196"/>
    <n v="196"/>
    <n v="4"/>
    <n v="3920"/>
    <x v="378"/>
    <x v="13"/>
    <n v="8"/>
    <s v="Конфеты"/>
    <n v="267.8548387096774"/>
    <n v="-0.2682603721322334"/>
    <s v="Рот Фронт"/>
    <n v="288.2380952380952"/>
    <d v="2022-11-18T00:00:00"/>
    <x v="403"/>
  </r>
  <r>
    <n v="684"/>
    <n v="271"/>
    <n v="123"/>
    <n v="2"/>
    <n v="1230"/>
    <x v="252"/>
    <x v="3"/>
    <n v="11"/>
    <s v="Сыр"/>
    <n v="262.6349206349207"/>
    <n v="-0.5316692856279464"/>
    <s v="Сырная долина"/>
    <n v="271"/>
    <d v="2022-05-09T00:00:00"/>
    <x v="257"/>
  </r>
  <r>
    <n v="685"/>
    <n v="189"/>
    <n v="356"/>
    <n v="1"/>
    <n v="1780"/>
    <x v="137"/>
    <x v="16"/>
    <n v="388"/>
    <s v="Хлеб"/>
    <n v="300.3181818181818"/>
    <n v="0.1854094142576055"/>
    <s v="Дарница"/>
    <n v="264"/>
    <d v="2022-01-20T00:00:00"/>
    <x v="438"/>
  </r>
  <r>
    <n v="686"/>
    <n v="372"/>
    <n v="166"/>
    <n v="5"/>
    <n v="4150"/>
    <x v="379"/>
    <x v="15"/>
    <n v="40"/>
    <s v="Кофе"/>
    <n v="249.0238095238095"/>
    <n v="-0.333397074290085"/>
    <s v="Черная Карта"/>
    <n v="222.2"/>
    <d v="2022-10-21T00:00:00"/>
    <x v="210"/>
  </r>
  <r>
    <n v="687"/>
    <n v="205"/>
    <n v="156"/>
    <n v="4"/>
    <n v="3120"/>
    <x v="360"/>
    <x v="4"/>
    <n v="286"/>
    <s v="Макароны"/>
    <n v="265.4767441860465"/>
    <n v="-0.4123779072313959"/>
    <s v="Борилла"/>
    <n v="236.2758620689655"/>
    <d v="2022-01-02T00:00:00"/>
    <x v="439"/>
  </r>
  <r>
    <n v="688"/>
    <n v="187"/>
    <n v="496"/>
    <n v="4"/>
    <n v="9920"/>
    <x v="380"/>
    <x v="2"/>
    <n v="448"/>
    <s v="Макароны"/>
    <n v="265.4767441860465"/>
    <n v="0.8683369103412026"/>
    <s v="Паста Зара"/>
    <n v="276.6756756756757"/>
    <d v="2022-07-28T00:00:00"/>
    <x v="132"/>
  </r>
  <r>
    <n v="689"/>
    <n v="194"/>
    <n v="257"/>
    <n v="5"/>
    <n v="6425"/>
    <x v="381"/>
    <x v="1"/>
    <n v="291"/>
    <s v="Соль"/>
    <n v="264.8679245283019"/>
    <n v="-0.02970508619461465"/>
    <s v="Салта"/>
    <n v="273.7"/>
    <d v="2022-05-29T00:00:00"/>
    <x v="103"/>
  </r>
  <r>
    <n v="690"/>
    <n v="51"/>
    <n v="476"/>
    <n v="2"/>
    <n v="4760"/>
    <x v="382"/>
    <x v="18"/>
    <n v="480"/>
    <s v="Колбаса"/>
    <n v="286.9230769230769"/>
    <n v="0.658981233243968"/>
    <s v="Дымов"/>
    <n v="312.6666666666667"/>
    <d v="2022-01-07T00:00:00"/>
    <x v="440"/>
  </r>
  <r>
    <n v="691"/>
    <n v="80"/>
    <n v="232"/>
    <n v="2"/>
    <n v="2320"/>
    <x v="17"/>
    <x v="8"/>
    <n v="418"/>
    <s v="Конфеты"/>
    <n v="267.8548387096774"/>
    <n v="-0.1338592159932559"/>
    <s v="Красный Октябрь"/>
    <n v="273.625"/>
    <d v="2022-05-19T00:00:00"/>
    <x v="265"/>
  </r>
  <r>
    <n v="692"/>
    <n v="474"/>
    <n v="252"/>
    <n v="3"/>
    <n v="3780"/>
    <x v="293"/>
    <x v="5"/>
    <n v="470"/>
    <s v="Молоко"/>
    <n v="294.952380952381"/>
    <n v="-0.1456247981917985"/>
    <s v="Простоквашино"/>
    <n v="318.8181818181818"/>
    <d v="2022-05-09T00:00:00"/>
    <x v="331"/>
  </r>
  <r>
    <n v="693"/>
    <n v="215"/>
    <n v="485"/>
    <n v="4"/>
    <n v="9700"/>
    <x v="107"/>
    <x v="1"/>
    <n v="318"/>
    <s v="Сок"/>
    <n v="268.6034482758621"/>
    <n v="0.8056357917709736"/>
    <s v="Фруктовый сад"/>
    <n v="281.96875"/>
    <d v="2022-11-27T00:00:00"/>
    <x v="441"/>
  </r>
  <r>
    <n v="694"/>
    <n v="36"/>
    <n v="150"/>
    <n v="2"/>
    <n v="1500"/>
    <x v="211"/>
    <x v="12"/>
    <n v="283"/>
    <s v="Макароны"/>
    <n v="265.4767441860465"/>
    <n v="-0.4349787569532653"/>
    <s v="Роллтон"/>
    <n v="235.5555555555555"/>
    <d v="2022-11-24T00:00:00"/>
    <x v="442"/>
  </r>
  <r>
    <n v="695"/>
    <n v="400"/>
    <n v="474"/>
    <n v="4"/>
    <n v="9480"/>
    <x v="383"/>
    <x v="9"/>
    <n v="191"/>
    <s v="Молоко"/>
    <n v="294.952380952381"/>
    <n v="0.6070390700678074"/>
    <s v="Беллакт"/>
    <n v="322.5454545454546"/>
    <d v="2022-11-01T00:00:00"/>
    <x v="443"/>
  </r>
  <r>
    <n v="696"/>
    <n v="80"/>
    <n v="135"/>
    <n v="2"/>
    <n v="1350"/>
    <x v="384"/>
    <x v="9"/>
    <n v="123"/>
    <s v="Конфеты"/>
    <n v="267.8548387096774"/>
    <n v="-0.4959956644788343"/>
    <s v="Красный Октябрь"/>
    <n v="273.625"/>
    <d v="2022-02-08T00:00:00"/>
    <x v="343"/>
  </r>
  <r>
    <n v="697"/>
    <n v="413"/>
    <n v="178"/>
    <n v="5"/>
    <n v="4450"/>
    <x v="99"/>
    <x v="2"/>
    <n v="380"/>
    <s v="Кофе"/>
    <n v="249.0238095238095"/>
    <n v="-0.2852089109857538"/>
    <s v="Jacobs"/>
    <n v="276.2105263157895"/>
    <d v="2022-01-02T00:00:00"/>
    <x v="444"/>
  </r>
  <r>
    <n v="698"/>
    <n v="10"/>
    <n v="112"/>
    <n v="3"/>
    <n v="1680"/>
    <x v="252"/>
    <x v="2"/>
    <n v="442"/>
    <s v="Сок"/>
    <n v="268.6034482758621"/>
    <n v="-0.5830284357147442"/>
    <s v="Фруктовый сад"/>
    <n v="281.96875"/>
    <d v="2022-07-04T00:00:00"/>
    <x v="428"/>
  </r>
  <r>
    <n v="699"/>
    <n v="14"/>
    <n v="338"/>
    <n v="4"/>
    <n v="6760"/>
    <x v="385"/>
    <x v="5"/>
    <n v="218"/>
    <s v="Сок"/>
    <n v="268.6034482758621"/>
    <n v="0.2583606136465755"/>
    <s v="Rich"/>
    <n v="272.25"/>
    <d v="2022-06-09T00:00:00"/>
    <x v="131"/>
  </r>
  <r>
    <n v="700"/>
    <n v="423"/>
    <n v="277"/>
    <n v="5"/>
    <n v="6925"/>
    <x v="376"/>
    <x v="4"/>
    <n v="331"/>
    <s v="Чипсы"/>
    <n v="273.7254901960785"/>
    <n v="0.01196275071633224"/>
    <s v="Pringles"/>
    <n v="280.2380952380952"/>
    <d v="2022-09-09T00:00:00"/>
    <x v="445"/>
  </r>
  <r>
    <n v="701"/>
    <n v="138"/>
    <n v="427"/>
    <n v="5"/>
    <n v="10675"/>
    <x v="279"/>
    <x v="4"/>
    <n v="196"/>
    <s v="Сыр"/>
    <n v="262.6349206349207"/>
    <n v="0.6258310165598935"/>
    <s v="Сырная долина"/>
    <n v="271"/>
    <d v="2022-10-01T00:00:00"/>
    <x v="195"/>
  </r>
  <r>
    <n v="702"/>
    <n v="498"/>
    <n v="169"/>
    <n v="4"/>
    <n v="3380"/>
    <x v="37"/>
    <x v="17"/>
    <n v="36"/>
    <s v="Молоко"/>
    <n v="294.952380952381"/>
    <n v="-0.4270261543429125"/>
    <s v="Домик в деревне"/>
    <n v="274.7777777777778"/>
    <d v="2022-05-19T00:00:00"/>
    <x v="378"/>
  </r>
  <r>
    <n v="703"/>
    <n v="46"/>
    <n v="228"/>
    <n v="5"/>
    <n v="5700"/>
    <x v="386"/>
    <x v="3"/>
    <n v="272"/>
    <s v="Йогурт"/>
    <n v="263.2542372881356"/>
    <n v="-0.1339170744269894"/>
    <s v="Активиа"/>
    <n v="293.6666666666667"/>
    <d v="2022-04-17T00:00:00"/>
    <x v="446"/>
  </r>
  <r>
    <n v="704"/>
    <n v="1"/>
    <n v="322"/>
    <n v="2"/>
    <n v="3220"/>
    <x v="387"/>
    <x v="15"/>
    <n v="22"/>
    <s v="Крупа"/>
    <n v="255.1162790697674"/>
    <n v="0.2621695533272561"/>
    <s v="Ярмарка"/>
    <n v="252.0909090909091"/>
    <d v="2022-11-05T00:00:00"/>
    <x v="306"/>
  </r>
  <r>
    <n v="705"/>
    <n v="478"/>
    <n v="342"/>
    <n v="3"/>
    <n v="5130"/>
    <x v="214"/>
    <x v="6"/>
    <n v="360"/>
    <s v="Конфеты"/>
    <n v="267.8548387096774"/>
    <n v="0.2768109833202865"/>
    <s v="Рот Фронт"/>
    <n v="288.2380952380952"/>
    <d v="2022-06-16T00:00:00"/>
    <x v="237"/>
  </r>
  <r>
    <n v="706"/>
    <n v="444"/>
    <n v="315"/>
    <n v="4"/>
    <n v="6300"/>
    <x v="146"/>
    <x v="4"/>
    <n v="414"/>
    <s v="Йогурт"/>
    <n v="263.2542372881356"/>
    <n v="0.1965619366469225"/>
    <s v="Эрманн"/>
    <n v="248.5"/>
    <d v="2022-08-21T00:00:00"/>
    <x v="430"/>
  </r>
  <r>
    <n v="707"/>
    <n v="110"/>
    <n v="473"/>
    <n v="2"/>
    <n v="4730"/>
    <x v="273"/>
    <x v="17"/>
    <n v="152"/>
    <s v="Макароны"/>
    <n v="265.4767441860465"/>
    <n v="0.7817003197407033"/>
    <s v="Паста Зара"/>
    <n v="276.6756756756757"/>
    <d v="2022-08-18T00:00:00"/>
    <x v="160"/>
  </r>
  <r>
    <n v="708"/>
    <n v="191"/>
    <n v="248"/>
    <n v="2"/>
    <n v="2480"/>
    <x v="359"/>
    <x v="11"/>
    <n v="177"/>
    <s v="Колбаса"/>
    <n v="286.9230769230769"/>
    <n v="-0.1356568364611259"/>
    <s v="Окраина"/>
    <n v="273.5833333333333"/>
    <d v="2022-10-23T00:00:00"/>
    <x v="206"/>
  </r>
  <r>
    <n v="709"/>
    <n v="198"/>
    <n v="335"/>
    <n v="3"/>
    <n v="5025"/>
    <x v="75"/>
    <x v="10"/>
    <n v="111"/>
    <s v="Мясо"/>
    <n v="271.7454545454545"/>
    <n v="0.2327713100495115"/>
    <s v="Мираторг"/>
    <n v="316.5833333333333"/>
    <d v="2022-08-31T00:00:00"/>
    <x v="263"/>
  </r>
  <r>
    <n v="710"/>
    <n v="93"/>
    <n v="343"/>
    <n v="3"/>
    <n v="5145"/>
    <x v="71"/>
    <x v="18"/>
    <n v="281"/>
    <s v="Чай"/>
    <n v="271.1818181818182"/>
    <n v="0.2648340596714716"/>
    <s v="Greenfield"/>
    <n v="291.4545454545454"/>
    <d v="2022-05-30T00:00:00"/>
    <x v="247"/>
  </r>
  <r>
    <n v="711"/>
    <n v="385"/>
    <n v="309"/>
    <n v="1"/>
    <n v="1545"/>
    <x v="388"/>
    <x v="6"/>
    <n v="177"/>
    <s v="Макароны"/>
    <n v="265.4767441860465"/>
    <n v="0.1639437606762735"/>
    <s v="Макфа"/>
    <n v="329.2727272727273"/>
    <d v="2022-10-23T00:00:00"/>
    <x v="131"/>
  </r>
  <r>
    <n v="712"/>
    <n v="456"/>
    <n v="196"/>
    <n v="4"/>
    <n v="3920"/>
    <x v="201"/>
    <x v="4"/>
    <n v="446"/>
    <s v="Колбаса"/>
    <n v="286.9230769230769"/>
    <n v="-0.3168900804289544"/>
    <s v="Окраина"/>
    <n v="273.5833333333333"/>
    <d v="2022-04-20T00:00:00"/>
    <x v="187"/>
  </r>
  <r>
    <n v="713"/>
    <n v="147"/>
    <n v="258"/>
    <n v="5"/>
    <n v="6450"/>
    <x v="53"/>
    <x v="3"/>
    <n v="202"/>
    <s v="Конфеты"/>
    <n v="267.8548387096774"/>
    <n v="-0.03679171433732775"/>
    <s v="Бабаевский"/>
    <n v="250.2592592592593"/>
    <d v="2022-07-24T00:00:00"/>
    <x v="70"/>
  </r>
  <r>
    <n v="714"/>
    <n v="47"/>
    <n v="496"/>
    <n v="2"/>
    <n v="4960"/>
    <x v="41"/>
    <x v="2"/>
    <n v="140"/>
    <s v="Мясо"/>
    <n v="271.7454545454545"/>
    <n v="0.8252375217449484"/>
    <s v="Снежана"/>
    <n v="272.3529411764706"/>
    <d v="2022-03-07T00:00:00"/>
    <x v="19"/>
  </r>
  <r>
    <n v="715"/>
    <n v="369"/>
    <n v="202"/>
    <n v="5"/>
    <n v="5050"/>
    <x v="388"/>
    <x v="13"/>
    <n v="321"/>
    <s v="Молоко"/>
    <n v="294.952380952381"/>
    <n v="-0.3151436874394575"/>
    <s v="Домик в деревне"/>
    <n v="274.7777777777778"/>
    <d v="2022-07-14T00:00:00"/>
    <x v="447"/>
  </r>
  <r>
    <n v="716"/>
    <n v="296"/>
    <n v="155"/>
    <n v="1"/>
    <n v="775"/>
    <x v="6"/>
    <x v="18"/>
    <n v="188"/>
    <s v="Крупа"/>
    <n v="255.1162790697674"/>
    <n v="-0.3924339106654512"/>
    <s v="Мистраль"/>
    <n v="250.3076923076923"/>
    <d v="2022-08-28T00:00:00"/>
    <x v="33"/>
  </r>
  <r>
    <n v="717"/>
    <n v="448"/>
    <n v="72"/>
    <n v="5"/>
    <n v="1800"/>
    <x v="190"/>
    <x v="10"/>
    <n v="63"/>
    <s v="Йогурт"/>
    <n v="263.2542372881356"/>
    <n v="-0.7265001287664177"/>
    <s v="Ростагроэкспорт"/>
    <n v="257.7826086956522"/>
    <d v="2022-05-03T00:00:00"/>
    <x v="392"/>
  </r>
  <r>
    <n v="718"/>
    <n v="38"/>
    <n v="191"/>
    <n v="5"/>
    <n v="4775"/>
    <x v="383"/>
    <x v="14"/>
    <n v="25"/>
    <s v="Конфеты"/>
    <n v="267.8548387096774"/>
    <n v="-0.2869271993737581"/>
    <s v="Рот Фронт"/>
    <n v="288.2380952380952"/>
    <d v="2022-01-21T00:00:00"/>
    <x v="289"/>
  </r>
  <r>
    <n v="719"/>
    <n v="272"/>
    <n v="362"/>
    <n v="2"/>
    <n v="3620"/>
    <x v="115"/>
    <x v="18"/>
    <n v="409"/>
    <s v="Крупа"/>
    <n v="255.1162790697674"/>
    <n v="0.4189608021877849"/>
    <s v="Ярмарка"/>
    <n v="252.0909090909091"/>
    <d v="2022-11-04T00:00:00"/>
    <x v="448"/>
  </r>
  <r>
    <n v="720"/>
    <n v="426"/>
    <n v="394"/>
    <n v="5"/>
    <n v="9850"/>
    <x v="6"/>
    <x v="15"/>
    <n v="386"/>
    <s v="Печенье"/>
    <n v="283.468085106383"/>
    <n v="0.3899271935750206"/>
    <s v="Посиделкино"/>
    <n v="321.6363636363636"/>
    <d v="2022-06-22T00:00:00"/>
    <x v="449"/>
  </r>
  <r>
    <n v="721"/>
    <n v="378"/>
    <n v="203"/>
    <n v="4"/>
    <n v="4060"/>
    <x v="20"/>
    <x v="8"/>
    <n v="238"/>
    <s v="Сок"/>
    <n v="268.6034482758621"/>
    <n v="-0.2442390397329739"/>
    <s v="Фруктовый сад"/>
    <n v="281.96875"/>
    <d v="2022-12-14T00:00:00"/>
    <x v="187"/>
  </r>
  <r>
    <n v="722"/>
    <n v="134"/>
    <n v="450"/>
    <n v="5"/>
    <n v="11250"/>
    <x v="353"/>
    <x v="0"/>
    <n v="480"/>
    <s v="Рыба"/>
    <n v="258.5128205128205"/>
    <n v="0.7407260464193612"/>
    <s v="Меридиан"/>
    <n v="260.6470588235294"/>
    <d v="2022-01-07T00:00:00"/>
    <x v="172"/>
  </r>
  <r>
    <n v="723"/>
    <n v="485"/>
    <n v="323"/>
    <n v="1"/>
    <n v="1615"/>
    <x v="389"/>
    <x v="17"/>
    <n v="157"/>
    <s v="Макароны"/>
    <n v="265.4767441860465"/>
    <n v="0.2166790766939688"/>
    <s v="Борилла"/>
    <n v="236.2758620689655"/>
    <d v="2022-08-10T00:00:00"/>
    <x v="433"/>
  </r>
  <r>
    <n v="724"/>
    <n v="400"/>
    <n v="358"/>
    <n v="4"/>
    <n v="7160"/>
    <x v="130"/>
    <x v="2"/>
    <n v="9"/>
    <s v="Молоко"/>
    <n v="294.952380952381"/>
    <n v="0.2137552470132387"/>
    <s v="Беллакт"/>
    <n v="322.5454545454546"/>
    <d v="2022-12-05T00:00:00"/>
    <x v="450"/>
  </r>
  <r>
    <n v="725"/>
    <n v="28"/>
    <n v="459"/>
    <n v="1"/>
    <n v="2295"/>
    <x v="288"/>
    <x v="0"/>
    <n v="63"/>
    <s v="Крупа"/>
    <n v="255.1162790697674"/>
    <n v="0.799179580674567"/>
    <s v="Националь"/>
    <n v="274.2857142857143"/>
    <d v="2022-05-03T00:00:00"/>
    <x v="283"/>
  </r>
  <r>
    <n v="726"/>
    <n v="195"/>
    <n v="497"/>
    <n v="5"/>
    <n v="12425"/>
    <x v="10"/>
    <x v="16"/>
    <n v="105"/>
    <s v="Хлеб"/>
    <n v="300.3181818181818"/>
    <n v="0.6549114575450281"/>
    <s v="Каравай"/>
    <n v="331.1666666666667"/>
    <d v="2022-12-23T00:00:00"/>
    <x v="451"/>
  </r>
  <r>
    <n v="727"/>
    <n v="398"/>
    <n v="361"/>
    <n v="1"/>
    <n v="1805"/>
    <x v="127"/>
    <x v="7"/>
    <n v="40"/>
    <s v="Сок"/>
    <n v="268.6034482758621"/>
    <n v="0.343988702740869"/>
    <s v="Фруктовый сад"/>
    <n v="281.96875"/>
    <d v="2022-10-21T00:00:00"/>
    <x v="452"/>
  </r>
  <r>
    <n v="728"/>
    <n v="77"/>
    <n v="160"/>
    <n v="2"/>
    <n v="1600"/>
    <x v="236"/>
    <x v="11"/>
    <n v="260"/>
    <s v="Макароны"/>
    <n v="265.4767441860465"/>
    <n v="-0.397310674083483"/>
    <s v="Паста Зара"/>
    <n v="276.6756756756757"/>
    <d v="2022-06-17T00:00:00"/>
    <x v="172"/>
  </r>
  <r>
    <n v="729"/>
    <n v="128"/>
    <n v="419"/>
    <n v="5"/>
    <n v="10475"/>
    <x v="224"/>
    <x v="4"/>
    <n v="220"/>
    <s v="Мясо"/>
    <n v="271.7454545454545"/>
    <n v="0.5418841161514787"/>
    <s v="Мираторг"/>
    <n v="316.5833333333333"/>
    <d v="2022-01-09T00:00:00"/>
    <x v="453"/>
  </r>
  <r>
    <n v="730"/>
    <n v="328"/>
    <n v="429"/>
    <n v="4"/>
    <n v="8580"/>
    <x v="58"/>
    <x v="7"/>
    <n v="88"/>
    <s v="Чипсы"/>
    <n v="273.7254901960785"/>
    <n v="0.567263610315186"/>
    <s v="Русская картошка"/>
    <n v="241.8333333333333"/>
    <d v="2022-03-10T00:00:00"/>
    <x v="449"/>
  </r>
  <r>
    <n v="731"/>
    <n v="455"/>
    <n v="72"/>
    <n v="2"/>
    <n v="720"/>
    <x v="246"/>
    <x v="5"/>
    <n v="66"/>
    <s v="Соль"/>
    <n v="264.8679245283019"/>
    <n v="-0.7281664054708648"/>
    <s v="Славянская"/>
    <n v="236.9166666666667"/>
    <d v="2022-08-04T00:00:00"/>
    <x v="301"/>
  </r>
  <r>
    <n v="732"/>
    <n v="371"/>
    <n v="97"/>
    <n v="3"/>
    <n v="1455"/>
    <x v="390"/>
    <x v="1"/>
    <n v="15"/>
    <s v="Сахар"/>
    <n v="252.7627118644068"/>
    <n v="-0.6162408636759874"/>
    <s v="Русский сахар"/>
    <n v="293.4117647058824"/>
    <d v="2022-05-30T00:00:00"/>
    <x v="59"/>
  </r>
  <r>
    <n v="733"/>
    <n v="486"/>
    <n v="57"/>
    <n v="2"/>
    <n v="570"/>
    <x v="287"/>
    <x v="0"/>
    <n v="485"/>
    <s v="Соль"/>
    <n v="264.8679245283019"/>
    <n v="-0.7847984043311014"/>
    <s v="Илецкая"/>
    <n v="238.1666666666667"/>
    <d v="2022-06-11T00:00:00"/>
    <x v="229"/>
  </r>
  <r>
    <n v="734"/>
    <n v="359"/>
    <n v="126"/>
    <n v="4"/>
    <n v="2520"/>
    <x v="391"/>
    <x v="7"/>
    <n v="394"/>
    <s v="Мясо"/>
    <n v="271.7454545454545"/>
    <n v="-0.5363307908470494"/>
    <s v="Мираторг"/>
    <n v="316.5833333333333"/>
    <d v="2022-05-27T00:00:00"/>
    <x v="317"/>
  </r>
  <r>
    <n v="735"/>
    <n v="267"/>
    <n v="54"/>
    <n v="2"/>
    <n v="540"/>
    <x v="170"/>
    <x v="15"/>
    <n v="290"/>
    <s v="Овощи"/>
    <n v="250.4878048780488"/>
    <n v="-0.7844206426484908"/>
    <s v="Семко"/>
    <n v="208"/>
    <d v="2022-08-04T00:00:00"/>
    <x v="245"/>
  </r>
  <r>
    <n v="736"/>
    <n v="52"/>
    <n v="150"/>
    <n v="4"/>
    <n v="3000"/>
    <x v="392"/>
    <x v="3"/>
    <n v="279"/>
    <s v="Соль"/>
    <n v="264.8679245283019"/>
    <n v="-0.433680011397635"/>
    <s v="Илецкая"/>
    <n v="238.1666666666667"/>
    <d v="2022-08-13T00:00:00"/>
    <x v="261"/>
  </r>
  <r>
    <n v="737"/>
    <n v="187"/>
    <n v="233"/>
    <n v="4"/>
    <n v="4660"/>
    <x v="372"/>
    <x v="9"/>
    <n v="245"/>
    <s v="Макароны"/>
    <n v="265.4767441860465"/>
    <n v="-0.1223336691340721"/>
    <s v="Паста Зара"/>
    <n v="276.6756756756757"/>
    <d v="2022-05-14T00:00:00"/>
    <x v="454"/>
  </r>
  <r>
    <n v="738"/>
    <n v="118"/>
    <n v="156"/>
    <n v="5"/>
    <n v="3900"/>
    <x v="392"/>
    <x v="13"/>
    <n v="261"/>
    <s v="Сахар"/>
    <n v="252.7627118644068"/>
    <n v="-0.3828203580768457"/>
    <s v="Продимекс"/>
    <n v="240.5"/>
    <d v="2022-10-14T00:00:00"/>
    <x v="205"/>
  </r>
  <r>
    <n v="739"/>
    <n v="218"/>
    <n v="383"/>
    <n v="2"/>
    <n v="3830"/>
    <x v="109"/>
    <x v="1"/>
    <n v="9"/>
    <s v="Колбаса"/>
    <n v="286.9230769230769"/>
    <n v="0.3348525469168901"/>
    <s v="Дымов"/>
    <n v="312.6666666666667"/>
    <d v="2022-12-05T00:00:00"/>
    <x v="235"/>
  </r>
  <r>
    <n v="740"/>
    <n v="46"/>
    <n v="370"/>
    <n v="5"/>
    <n v="9250"/>
    <x v="393"/>
    <x v="17"/>
    <n v="103"/>
    <s v="Йогурт"/>
    <n v="263.2542372881356"/>
    <n v="0.4054854493947979"/>
    <s v="Активиа"/>
    <n v="293.6666666666667"/>
    <d v="2022-08-14T00:00:00"/>
    <x v="430"/>
  </r>
  <r>
    <n v="741"/>
    <n v="263"/>
    <n v="173"/>
    <n v="3"/>
    <n v="2595"/>
    <x v="394"/>
    <x v="14"/>
    <n v="142"/>
    <s v="Йогурт"/>
    <n v="263.2542372881356"/>
    <n v="-0.3428405871748648"/>
    <s v="Активиа"/>
    <n v="293.6666666666667"/>
    <d v="2022-05-02T00:00:00"/>
    <x v="426"/>
  </r>
  <r>
    <n v="742"/>
    <n v="201"/>
    <n v="113"/>
    <n v="5"/>
    <n v="2825"/>
    <x v="107"/>
    <x v="13"/>
    <n v="470"/>
    <s v="Печенье"/>
    <n v="283.468085106383"/>
    <n v="-0.601366058695489"/>
    <s v="Белогорье"/>
    <n v="249.5"/>
    <d v="2022-05-09T00:00:00"/>
    <x v="42"/>
  </r>
  <r>
    <n v="743"/>
    <n v="434"/>
    <n v="366"/>
    <n v="4"/>
    <n v="7320"/>
    <x v="229"/>
    <x v="5"/>
    <n v="490"/>
    <s v="Сыр"/>
    <n v="262.6349206349207"/>
    <n v="0.3935694427656229"/>
    <s v="Сырная долина"/>
    <n v="271"/>
    <d v="2022-02-11T00:00:00"/>
    <x v="150"/>
  </r>
  <r>
    <n v="744"/>
    <n v="99"/>
    <n v="92"/>
    <n v="4"/>
    <n v="1840"/>
    <x v="339"/>
    <x v="6"/>
    <n v="255"/>
    <s v="Овощи"/>
    <n v="250.4878048780488"/>
    <n v="-0.6327166504381694"/>
    <s v="Семко"/>
    <n v="208"/>
    <d v="2022-08-20T00:00:00"/>
    <x v="297"/>
  </r>
  <r>
    <n v="745"/>
    <n v="357"/>
    <n v="290"/>
    <n v="4"/>
    <n v="5800"/>
    <x v="93"/>
    <x v="5"/>
    <n v="422"/>
    <s v="Мясо"/>
    <n v="271.7454545454545"/>
    <n v="0.06717516392345768"/>
    <s v="Снежана"/>
    <n v="272.3529411764706"/>
    <d v="2022-08-11T00:00:00"/>
    <x v="455"/>
  </r>
  <r>
    <n v="746"/>
    <n v="337"/>
    <n v="453"/>
    <n v="4"/>
    <n v="9060"/>
    <x v="373"/>
    <x v="18"/>
    <n v="115"/>
    <s v="Макароны"/>
    <n v="265.4767441860465"/>
    <n v="0.7063641540011387"/>
    <s v="Паста Зара"/>
    <n v="276.6756756756757"/>
    <d v="2022-09-28T00:00:00"/>
    <x v="199"/>
  </r>
  <r>
    <n v="747"/>
    <n v="230"/>
    <n v="104"/>
    <n v="4"/>
    <n v="2080"/>
    <x v="324"/>
    <x v="4"/>
    <n v="163"/>
    <s v="Сок"/>
    <n v="268.6034482758621"/>
    <n v="-0.6128121188779768"/>
    <s v="Фруктовый сад"/>
    <n v="281.96875"/>
    <d v="2022-01-10T00:00:00"/>
    <x v="281"/>
  </r>
  <r>
    <n v="748"/>
    <n v="293"/>
    <n v="57"/>
    <n v="5"/>
    <n v="1425"/>
    <x v="78"/>
    <x v="18"/>
    <n v="248"/>
    <s v="Конфеты"/>
    <n v="267.8548387096774"/>
    <n v="-0.7871981694466189"/>
    <s v="Бабаевский"/>
    <n v="250.2592592592593"/>
    <d v="2022-05-13T00:00:00"/>
    <x v="195"/>
  </r>
  <r>
    <n v="749"/>
    <n v="254"/>
    <n v="326"/>
    <n v="1"/>
    <n v="1630"/>
    <x v="126"/>
    <x v="2"/>
    <n v="201"/>
    <s v="Соль"/>
    <n v="264.8679245283019"/>
    <n v="0.2308021085624732"/>
    <s v="Илецкая"/>
    <n v="238.1666666666667"/>
    <d v="2022-10-09T00:00:00"/>
    <x v="456"/>
  </r>
  <r>
    <n v="750"/>
    <n v="248"/>
    <n v="176"/>
    <n v="5"/>
    <n v="4400"/>
    <x v="76"/>
    <x v="8"/>
    <n v="434"/>
    <s v="Конфеты"/>
    <n v="267.8548387096774"/>
    <n v="-0.342927681098332"/>
    <s v="Красный Октябрь"/>
    <n v="273.625"/>
    <d v="2022-06-18T00:00:00"/>
    <x v="457"/>
  </r>
  <r>
    <n v="751"/>
    <n v="156"/>
    <n v="490"/>
    <n v="1"/>
    <n v="2450"/>
    <x v="395"/>
    <x v="9"/>
    <n v="140"/>
    <s v="Фрукты"/>
    <n v="274.1627906976744"/>
    <n v="0.7872593095258291"/>
    <s v="Фрукты-Ягоды"/>
    <n v="280.6666666666667"/>
    <d v="2022-03-07T00:00:00"/>
    <x v="458"/>
  </r>
  <r>
    <n v="752"/>
    <n v="370"/>
    <n v="95"/>
    <n v="5"/>
    <n v="2375"/>
    <x v="143"/>
    <x v="5"/>
    <n v="250"/>
    <s v="Сок"/>
    <n v="268.6034482758621"/>
    <n v="-0.6463187624366133"/>
    <s v="Фруктовый сад"/>
    <n v="281.96875"/>
    <d v="2022-10-22T00:00:00"/>
    <x v="346"/>
  </r>
  <r>
    <n v="753"/>
    <n v="61"/>
    <n v="183"/>
    <n v="5"/>
    <n v="4575"/>
    <x v="396"/>
    <x v="9"/>
    <n v="191"/>
    <s v="Йогурт"/>
    <n v="263.2542372881356"/>
    <n v="-0.3048544939479784"/>
    <s v="Эрманн"/>
    <n v="248.5"/>
    <d v="2022-11-01T00:00:00"/>
    <x v="459"/>
  </r>
  <r>
    <n v="754"/>
    <n v="246"/>
    <n v="302"/>
    <n v="5"/>
    <n v="7550"/>
    <x v="313"/>
    <x v="5"/>
    <n v="336"/>
    <s v="Сыр"/>
    <n v="262.6349206349207"/>
    <n v="0.1498851686208147"/>
    <s v="President"/>
    <n v="238.7222222222222"/>
    <d v="2022-10-22T00:00:00"/>
    <x v="273"/>
  </r>
  <r>
    <n v="755"/>
    <n v="322"/>
    <n v="417"/>
    <n v="2"/>
    <n v="4170"/>
    <x v="8"/>
    <x v="16"/>
    <n v="3"/>
    <s v="Крупа"/>
    <n v="255.1162790697674"/>
    <n v="0.6345487693710119"/>
    <s v="Увелка"/>
    <n v="251.9166666666667"/>
    <d v="2022-04-15T00:00:00"/>
    <x v="353"/>
  </r>
  <r>
    <n v="756"/>
    <n v="51"/>
    <n v="439"/>
    <n v="5"/>
    <n v="10975"/>
    <x v="151"/>
    <x v="9"/>
    <n v="435"/>
    <s v="Колбаса"/>
    <n v="286.9230769230769"/>
    <n v="0.5300268096514746"/>
    <s v="Дымов"/>
    <n v="312.6666666666667"/>
    <d v="2022-02-26T00:00:00"/>
    <x v="331"/>
  </r>
  <r>
    <n v="757"/>
    <n v="189"/>
    <n v="136"/>
    <n v="5"/>
    <n v="3400"/>
    <x v="250"/>
    <x v="18"/>
    <n v="80"/>
    <s v="Хлеб"/>
    <n v="300.3181818181818"/>
    <n v="-0.5471469653397911"/>
    <s v="Дарница"/>
    <n v="264"/>
    <d v="2022-03-03T00:00:00"/>
    <x v="435"/>
  </r>
  <r>
    <n v="758"/>
    <n v="67"/>
    <n v="274"/>
    <n v="4"/>
    <n v="5480"/>
    <x v="397"/>
    <x v="2"/>
    <n v="262"/>
    <s v="Йогурт"/>
    <n v="263.2542372881356"/>
    <n v="0.04081895441668815"/>
    <s v="Чудо"/>
    <n v="287.1"/>
    <d v="2022-08-05T00:00:00"/>
    <x v="460"/>
  </r>
  <r>
    <n v="759"/>
    <n v="301"/>
    <n v="189"/>
    <n v="3"/>
    <n v="2835"/>
    <x v="389"/>
    <x v="15"/>
    <n v="43"/>
    <s v="Фрукты"/>
    <n v="274.1627906976744"/>
    <n v="-0.3106285520400374"/>
    <s v="Экзотик"/>
    <n v="253.6875"/>
    <d v="2022-12-17T00:00:00"/>
    <x v="461"/>
  </r>
  <r>
    <n v="760"/>
    <n v="463"/>
    <n v="77"/>
    <n v="4"/>
    <n v="1540"/>
    <x v="374"/>
    <x v="13"/>
    <n v="163"/>
    <s v="Кофе"/>
    <n v="249.0238095238095"/>
    <n v="-0.6907926187972082"/>
    <s v="Черная Карта"/>
    <n v="222.2"/>
    <d v="2022-01-10T00:00:00"/>
    <x v="250"/>
  </r>
  <r>
    <n v="761"/>
    <n v="151"/>
    <n v="239"/>
    <n v="2"/>
    <n v="2390"/>
    <x v="398"/>
    <x v="6"/>
    <n v="386"/>
    <s v="Молоко"/>
    <n v="294.952380952381"/>
    <n v="-0.1896997093961899"/>
    <s v="Беллакт"/>
    <n v="322.5454545454546"/>
    <d v="2022-06-22T00:00:00"/>
    <x v="462"/>
  </r>
  <r>
    <n v="762"/>
    <n v="398"/>
    <n v="464"/>
    <n v="5"/>
    <n v="11600"/>
    <x v="28"/>
    <x v="3"/>
    <n v="342"/>
    <s v="Сок"/>
    <n v="268.6034482758621"/>
    <n v="0.7274536234674882"/>
    <s v="Фруктовый сад"/>
    <n v="281.96875"/>
    <d v="2022-01-09T00:00:00"/>
    <x v="438"/>
  </r>
  <r>
    <n v="763"/>
    <n v="483"/>
    <n v="140"/>
    <n v="5"/>
    <n v="3500"/>
    <x v="20"/>
    <x v="3"/>
    <n v="7"/>
    <s v="Колбаса"/>
    <n v="286.9230769230769"/>
    <n v="-0.5120643431635388"/>
    <s v="Дымов"/>
    <n v="312.6666666666667"/>
    <d v="2022-11-28T00:00:00"/>
    <x v="202"/>
  </r>
  <r>
    <n v="764"/>
    <n v="86"/>
    <n v="353"/>
    <n v="2"/>
    <n v="3530"/>
    <x v="399"/>
    <x v="19"/>
    <n v="264"/>
    <s v="Сахар"/>
    <n v="252.7627118644068"/>
    <n v="0.3965667538389324"/>
    <s v="Русский сахар"/>
    <n v="293.4117647058824"/>
    <d v="2022-12-12T00:00:00"/>
    <x v="463"/>
  </r>
  <r>
    <n v="765"/>
    <n v="158"/>
    <n v="318"/>
    <n v="5"/>
    <n v="7950"/>
    <x v="347"/>
    <x v="7"/>
    <n v="99"/>
    <s v="Сахар"/>
    <n v="252.7627118644068"/>
    <n v="0.2580969623818146"/>
    <s v="Сладов"/>
    <n v="240.2666666666667"/>
    <d v="2022-11-21T00:00:00"/>
    <x v="464"/>
  </r>
  <r>
    <n v="766"/>
    <n v="199"/>
    <n v="80"/>
    <n v="5"/>
    <n v="2000"/>
    <x v="306"/>
    <x v="9"/>
    <n v="404"/>
    <s v="Макароны"/>
    <n v="265.4767441860465"/>
    <n v="-0.6986553370417414"/>
    <s v="Борилла"/>
    <n v="236.2758620689655"/>
    <d v="2022-12-18T00:00:00"/>
    <x v="30"/>
  </r>
  <r>
    <n v="767"/>
    <n v="259"/>
    <n v="90"/>
    <n v="4"/>
    <n v="1800"/>
    <x v="18"/>
    <x v="4"/>
    <n v="79"/>
    <s v="Йогурт"/>
    <n v="263.2542372881356"/>
    <n v="-0.6581251609580221"/>
    <s v="Ростагроэкспорт"/>
    <n v="257.7826086956522"/>
    <d v="2022-06-04T00:00:00"/>
    <x v="178"/>
  </r>
  <r>
    <n v="768"/>
    <n v="468"/>
    <n v="167"/>
    <n v="4"/>
    <n v="3340"/>
    <x v="237"/>
    <x v="19"/>
    <n v="377"/>
    <s v="Йогурт"/>
    <n v="263.2542372881356"/>
    <n v="-0.3656322431109966"/>
    <s v="Чудо"/>
    <n v="287.1"/>
    <d v="2022-08-21T00:00:00"/>
    <x v="465"/>
  </r>
  <r>
    <n v="769"/>
    <n v="4"/>
    <n v="478"/>
    <n v="4"/>
    <n v="9560"/>
    <x v="303"/>
    <x v="13"/>
    <n v="146"/>
    <s v="Рис"/>
    <n v="258.375"/>
    <n v="0.8500241896468312"/>
    <s v="Белый Злат"/>
    <n v="269.7058823529412"/>
    <d v="2022-02-25T00:00:00"/>
    <x v="158"/>
  </r>
  <r>
    <n v="770"/>
    <n v="155"/>
    <n v="310"/>
    <n v="4"/>
    <n v="6200"/>
    <x v="71"/>
    <x v="11"/>
    <n v="346"/>
    <s v="Йогурт"/>
    <n v="263.2542372881356"/>
    <n v="0.1775688900334793"/>
    <s v="Эрманн"/>
    <n v="248.5"/>
    <d v="2022-03-16T00:00:00"/>
    <x v="282"/>
  </r>
  <r>
    <n v="771"/>
    <n v="413"/>
    <n v="210"/>
    <n v="5"/>
    <n v="5250"/>
    <x v="387"/>
    <x v="11"/>
    <n v="436"/>
    <s v="Кофе"/>
    <n v="249.0238095238095"/>
    <n v="-0.156707142174204"/>
    <s v="Jacobs"/>
    <n v="276.2105263157895"/>
    <d v="2022-05-02T00:00:00"/>
    <x v="466"/>
  </r>
  <r>
    <n v="772"/>
    <n v="200"/>
    <n v="67"/>
    <n v="1"/>
    <n v="335"/>
    <x v="400"/>
    <x v="6"/>
    <n v="103"/>
    <s v="Чипсы"/>
    <n v="273.7254901960785"/>
    <n v="-0.7552292263610315"/>
    <s v="Estrella"/>
    <n v="266.2727272727273"/>
    <d v="2022-08-14T00:00:00"/>
    <x v="181"/>
  </r>
  <r>
    <n v="773"/>
    <n v="295"/>
    <n v="294"/>
    <n v="5"/>
    <n v="7350"/>
    <x v="191"/>
    <x v="18"/>
    <n v="493"/>
    <s v="Печенье"/>
    <n v="283.468085106383"/>
    <n v="0.03715379419049758"/>
    <s v="Белогорье"/>
    <n v="249.5"/>
    <d v="2022-10-21T00:00:00"/>
    <x v="467"/>
  </r>
  <r>
    <n v="774"/>
    <n v="39"/>
    <n v="404"/>
    <n v="2"/>
    <n v="4040"/>
    <x v="149"/>
    <x v="7"/>
    <n v="252"/>
    <s v="Сыр"/>
    <n v="262.6349206349207"/>
    <n v="0.5382569805391029"/>
    <s v="Сырная долина"/>
    <n v="271"/>
    <d v="2022-03-23T00:00:00"/>
    <x v="444"/>
  </r>
  <r>
    <n v="775"/>
    <n v="228"/>
    <n v="98"/>
    <n v="2"/>
    <n v="980"/>
    <x v="314"/>
    <x v="4"/>
    <n v="338"/>
    <s v="Рис"/>
    <n v="258.375"/>
    <n v="-0.6207063376874697"/>
    <s v="Мистраль"/>
    <n v="181.5714285714286"/>
    <d v="2022-01-16T00:00:00"/>
    <x v="373"/>
  </r>
  <r>
    <n v="776"/>
    <n v="37"/>
    <n v="139"/>
    <n v="3"/>
    <n v="2085"/>
    <x v="366"/>
    <x v="9"/>
    <n v="397"/>
    <s v="Соль"/>
    <n v="264.8679245283019"/>
    <n v="-0.4752101438951418"/>
    <s v="Илецкая"/>
    <n v="238.1666666666667"/>
    <d v="2022-06-16T00:00:00"/>
    <x v="468"/>
  </r>
  <r>
    <n v="777"/>
    <n v="62"/>
    <n v="241"/>
    <n v="2"/>
    <n v="2410"/>
    <x v="277"/>
    <x v="0"/>
    <n v="247"/>
    <s v="Рыба"/>
    <n v="258.5128205128205"/>
    <n v="-0.06774449513985314"/>
    <s v="Балтийский берег"/>
    <n v="289.8888888888889"/>
    <d v="2022-07-20T00:00:00"/>
    <x v="469"/>
  </r>
  <r>
    <n v="778"/>
    <n v="468"/>
    <n v="182"/>
    <n v="5"/>
    <n v="4550"/>
    <x v="186"/>
    <x v="16"/>
    <n v="445"/>
    <s v="Йогурт"/>
    <n v="263.2542372881356"/>
    <n v="-0.308653103270667"/>
    <s v="Чудо"/>
    <n v="287.1"/>
    <d v="2022-04-25T00:00:00"/>
    <x v="399"/>
  </r>
  <r>
    <n v="779"/>
    <n v="497"/>
    <n v="275"/>
    <n v="4"/>
    <n v="5500"/>
    <x v="401"/>
    <x v="3"/>
    <n v="477"/>
    <s v="Конфеты"/>
    <n v="267.8548387096774"/>
    <n v="0.02667549828385618"/>
    <s v="Бабаевский"/>
    <n v="250.2592592592593"/>
    <d v="2022-06-26T00:00:00"/>
    <x v="375"/>
  </r>
  <r>
    <n v="780"/>
    <n v="372"/>
    <n v="182"/>
    <n v="2"/>
    <n v="1820"/>
    <x v="140"/>
    <x v="14"/>
    <n v="402"/>
    <s v="Кофе"/>
    <n v="249.0238095238095"/>
    <n v="-0.2691461898843102"/>
    <s v="Черная Карта"/>
    <n v="222.2"/>
    <d v="2022-06-30T00:00:00"/>
    <x v="147"/>
  </r>
  <r>
    <n v="781"/>
    <n v="354"/>
    <n v="203"/>
    <n v="5"/>
    <n v="5075"/>
    <x v="43"/>
    <x v="17"/>
    <n v="265"/>
    <s v="Чай"/>
    <n v="271.1818181818182"/>
    <n v="-0.2514247401944352"/>
    <s v="Lipton"/>
    <n v="260.1578947368421"/>
    <d v="2022-07-14T00:00:00"/>
    <x v="140"/>
  </r>
  <r>
    <n v="782"/>
    <n v="460"/>
    <n v="103"/>
    <n v="5"/>
    <n v="2575"/>
    <x v="158"/>
    <x v="12"/>
    <n v="124"/>
    <s v="Кофе"/>
    <n v="249.0238095238095"/>
    <n v="-0.5863849316378238"/>
    <s v="Tchibo"/>
    <n v="140"/>
    <d v="2022-08-22T00:00:00"/>
    <x v="138"/>
  </r>
  <r>
    <n v="783"/>
    <n v="63"/>
    <n v="344"/>
    <n v="2"/>
    <n v="3440"/>
    <x v="40"/>
    <x v="13"/>
    <n v="208"/>
    <s v="Рыба"/>
    <n v="258.5128205128205"/>
    <n v="0.3306883554850228"/>
    <s v="Балтийский берег"/>
    <n v="289.8888888888889"/>
    <d v="2022-06-24T00:00:00"/>
    <x v="470"/>
  </r>
  <r>
    <n v="784"/>
    <n v="467"/>
    <n v="436"/>
    <n v="3"/>
    <n v="6540"/>
    <x v="148"/>
    <x v="5"/>
    <n v="343"/>
    <s v="Макароны"/>
    <n v="265.4767441860465"/>
    <n v="0.6423284131225089"/>
    <s v="Борилла"/>
    <n v="236.2758620689655"/>
    <d v="2022-11-09T00:00:00"/>
    <x v="143"/>
  </r>
  <r>
    <n v="785"/>
    <n v="184"/>
    <n v="79"/>
    <n v="4"/>
    <n v="1580"/>
    <x v="313"/>
    <x v="1"/>
    <n v="394"/>
    <s v="Конфеты"/>
    <n v="267.8548387096774"/>
    <n v="-0.7050641295839104"/>
    <s v="Славянка"/>
    <n v="268"/>
    <d v="2022-05-27T00:00:00"/>
    <x v="5"/>
  </r>
  <r>
    <n v="786"/>
    <n v="265"/>
    <n v="339"/>
    <n v="3"/>
    <n v="5085"/>
    <x v="378"/>
    <x v="1"/>
    <n v="242"/>
    <s v="Мясо"/>
    <n v="271.7454545454545"/>
    <n v="0.2474909674829386"/>
    <s v="Мираторг"/>
    <n v="316.5833333333333"/>
    <d v="2022-07-05T00:00:00"/>
    <x v="177"/>
  </r>
  <r>
    <n v="787"/>
    <n v="130"/>
    <n v="319"/>
    <n v="3"/>
    <n v="4785"/>
    <x v="279"/>
    <x v="19"/>
    <n v="56"/>
    <s v="Соль"/>
    <n v="264.8679245283019"/>
    <n v="0.2043738424276962"/>
    <s v="Илецкая"/>
    <n v="238.1666666666667"/>
    <d v="2022-04-11T00:00:00"/>
    <x v="320"/>
  </r>
  <r>
    <n v="788"/>
    <n v="443"/>
    <n v="348"/>
    <n v="3"/>
    <n v="5220"/>
    <x v="71"/>
    <x v="16"/>
    <n v="324"/>
    <s v="Кофе"/>
    <n v="249.0238095238095"/>
    <n v="0.3974567358256047"/>
    <s v="Jacobs"/>
    <n v="276.2105263157895"/>
    <d v="2022-07-19T00:00:00"/>
    <x v="404"/>
  </r>
  <r>
    <n v="789"/>
    <n v="408"/>
    <n v="60"/>
    <n v="4"/>
    <n v="1200"/>
    <x v="227"/>
    <x v="7"/>
    <n v="486"/>
    <s v="Йогурт"/>
    <n v="263.2542372881356"/>
    <n v="-0.7720834406386814"/>
    <s v="Эрманн"/>
    <n v="248.5"/>
    <d v="2022-06-11T00:00:00"/>
    <x v="210"/>
  </r>
  <r>
    <n v="790"/>
    <n v="249"/>
    <n v="125"/>
    <n v="5"/>
    <n v="3125"/>
    <x v="197"/>
    <x v="3"/>
    <n v="71"/>
    <s v="Чай"/>
    <n v="271.1818181818182"/>
    <n v="-0.539054642976869"/>
    <s v="Lipton"/>
    <n v="260.1578947368421"/>
    <d v="2022-07-20T00:00:00"/>
    <x v="41"/>
  </r>
  <r>
    <n v="791"/>
    <n v="241"/>
    <n v="490"/>
    <n v="1"/>
    <n v="2450"/>
    <x v="305"/>
    <x v="7"/>
    <n v="299"/>
    <s v="Колбаса"/>
    <n v="286.9230769230769"/>
    <n v="0.707774798927614"/>
    <s v="Окраина"/>
    <n v="273.5833333333333"/>
    <d v="2022-04-15T00:00:00"/>
    <x v="97"/>
  </r>
  <r>
    <n v="792"/>
    <n v="202"/>
    <n v="298"/>
    <n v="4"/>
    <n v="5960"/>
    <x v="364"/>
    <x v="16"/>
    <n v="265"/>
    <s v="Овощи"/>
    <n v="250.4878048780488"/>
    <n v="0.1896786757546252"/>
    <s v="Овощной ряд"/>
    <n v="303.8235294117647"/>
    <d v="2022-07-14T00:00:00"/>
    <x v="16"/>
  </r>
  <r>
    <n v="793"/>
    <n v="376"/>
    <n v="441"/>
    <n v="2"/>
    <n v="4410"/>
    <x v="323"/>
    <x v="17"/>
    <n v="272"/>
    <s v="Конфеты"/>
    <n v="267.8548387096774"/>
    <n v="0.6464141627024746"/>
    <s v="Красный Октябрь"/>
    <n v="273.625"/>
    <d v="2022-04-17T00:00:00"/>
    <x v="343"/>
  </r>
  <r>
    <n v="794"/>
    <n v="371"/>
    <n v="126"/>
    <n v="5"/>
    <n v="3150"/>
    <x v="402"/>
    <x v="5"/>
    <n v="371"/>
    <s v="Сахар"/>
    <n v="252.7627118644068"/>
    <n v="-0.5015087507543754"/>
    <s v="Русский сахар"/>
    <n v="293.4117647058824"/>
    <d v="2022-10-10T00:00:00"/>
    <x v="386"/>
  </r>
  <r>
    <n v="795"/>
    <n v="308"/>
    <n v="416"/>
    <n v="4"/>
    <n v="8320"/>
    <x v="256"/>
    <x v="6"/>
    <n v="360"/>
    <s v="Конфеты"/>
    <n v="267.8548387096774"/>
    <n v="0.5530800264948514"/>
    <s v="Бабаевский"/>
    <n v="250.2592592592593"/>
    <d v="2022-06-16T00:00:00"/>
    <x v="170"/>
  </r>
  <r>
    <n v="796"/>
    <n v="146"/>
    <n v="387"/>
    <n v="4"/>
    <n v="7740"/>
    <x v="22"/>
    <x v="2"/>
    <n v="368"/>
    <s v="Сок"/>
    <n v="268.6034482758621"/>
    <n v="0.4407856730213748"/>
    <s v="Добрый"/>
    <n v="242.8181818181818"/>
    <d v="2022-11-07T00:00:00"/>
    <x v="471"/>
  </r>
  <r>
    <n v="797"/>
    <n v="77"/>
    <n v="151"/>
    <n v="2"/>
    <n v="1510"/>
    <x v="228"/>
    <x v="19"/>
    <n v="481"/>
    <s v="Макароны"/>
    <n v="265.4767441860465"/>
    <n v="-0.4312119486662871"/>
    <s v="Паста Зара"/>
    <n v="276.6756756756757"/>
    <d v="2022-07-14T00:00:00"/>
    <x v="472"/>
  </r>
  <r>
    <n v="798"/>
    <n v="407"/>
    <n v="157"/>
    <n v="3"/>
    <n v="2355"/>
    <x v="403"/>
    <x v="1"/>
    <n v="354"/>
    <s v="Конфеты"/>
    <n v="267.8548387096774"/>
    <n v="-0.4138616246161257"/>
    <s v="Славянка"/>
    <n v="268"/>
    <d v="2022-09-07T00:00:00"/>
    <x v="21"/>
  </r>
  <r>
    <n v="799"/>
    <n v="357"/>
    <n v="55"/>
    <n v="5"/>
    <n v="1375"/>
    <x v="74"/>
    <x v="16"/>
    <n v="8"/>
    <s v="Мясо"/>
    <n v="271.7454545454545"/>
    <n v="-0.7976047102903787"/>
    <s v="Снежана"/>
    <n v="272.3529411764706"/>
    <d v="2022-11-18T00:00:00"/>
    <x v="128"/>
  </r>
  <r>
    <n v="800"/>
    <n v="409"/>
    <n v="235"/>
    <n v="5"/>
    <n v="5875"/>
    <x v="111"/>
    <x v="8"/>
    <n v="1"/>
    <s v="Фрукты"/>
    <n v="274.1627906976744"/>
    <n v="-0.1428450250233269"/>
    <s v="Фруктовый Рай"/>
    <n v="258.3076923076923"/>
    <d v="2022-01-24T00:00:00"/>
    <x v="394"/>
  </r>
  <r>
    <n v="801"/>
    <n v="148"/>
    <n v="474"/>
    <n v="4"/>
    <n v="9480"/>
    <x v="289"/>
    <x v="11"/>
    <n v="333"/>
    <s v="Сок"/>
    <n v="268.6034482758621"/>
    <n v="0.7646832274215287"/>
    <s v="Фруктовый сад"/>
    <n v="281.96875"/>
    <d v="2022-10-23T00:00:00"/>
    <x v="215"/>
  </r>
  <r>
    <n v="802"/>
    <n v="63"/>
    <n v="479"/>
    <n v="4"/>
    <n v="9580"/>
    <x v="90"/>
    <x v="3"/>
    <n v="396"/>
    <s v="Рыба"/>
    <n v="258.5128205128205"/>
    <n v="0.8529061694108313"/>
    <s v="Балтийский берег"/>
    <n v="289.8888888888889"/>
    <d v="2022-11-06T00:00:00"/>
    <x v="54"/>
  </r>
  <r>
    <n v="803"/>
    <n v="410"/>
    <n v="320"/>
    <n v="4"/>
    <n v="6400"/>
    <x v="210"/>
    <x v="8"/>
    <n v="401"/>
    <s v="Чипсы"/>
    <n v="273.7254901960785"/>
    <n v="0.1690544412607449"/>
    <s v="Lay's"/>
    <n v="320.5714285714286"/>
    <d v="2022-10-22T00:00:00"/>
    <x v="240"/>
  </r>
  <r>
    <n v="804"/>
    <n v="223"/>
    <n v="477"/>
    <n v="4"/>
    <n v="9540"/>
    <x v="239"/>
    <x v="7"/>
    <n v="121"/>
    <s v="Чай"/>
    <n v="271.1818181818182"/>
    <n v="0.7589674824002681"/>
    <s v="Greenfield"/>
    <n v="291.4545454545454"/>
    <d v="2022-07-21T00:00:00"/>
    <x v="93"/>
  </r>
  <r>
    <n v="805"/>
    <n v="35"/>
    <n v="277"/>
    <n v="4"/>
    <n v="5540"/>
    <x v="387"/>
    <x v="2"/>
    <n v="108"/>
    <s v="Крупа"/>
    <n v="255.1162790697674"/>
    <n v="0.08577939835916126"/>
    <s v="Мистраль"/>
    <n v="250.3076923076923"/>
    <d v="2022-10-01T00:00:00"/>
    <x v="473"/>
  </r>
  <r>
    <n v="806"/>
    <n v="398"/>
    <n v="127"/>
    <n v="5"/>
    <n v="3175"/>
    <x v="156"/>
    <x v="7"/>
    <n v="191"/>
    <s v="Сок"/>
    <n v="268.6034482758621"/>
    <n v="-0.5271840297836832"/>
    <s v="Фруктовый сад"/>
    <n v="281.96875"/>
    <d v="2022-11-01T00:00:00"/>
    <x v="421"/>
  </r>
  <r>
    <n v="807"/>
    <n v="132"/>
    <n v="154"/>
    <n v="3"/>
    <n v="2310"/>
    <x v="404"/>
    <x v="11"/>
    <n v="443"/>
    <s v="Рыба"/>
    <n v="258.5128205128205"/>
    <n v="-0.404284864114263"/>
    <s v="Меридиан"/>
    <n v="260.6470588235294"/>
    <d v="2022-03-29T00:00:00"/>
    <x v="474"/>
  </r>
  <r>
    <n v="808"/>
    <n v="415"/>
    <n v="84"/>
    <n v="5"/>
    <n v="2100"/>
    <x v="303"/>
    <x v="18"/>
    <n v="191"/>
    <s v="Чипсы"/>
    <n v="273.7254901960785"/>
    <n v="-0.6931232091690545"/>
    <s v="Pringles"/>
    <n v="280.2380952380952"/>
    <d v="2022-11-01T00:00:00"/>
    <x v="67"/>
  </r>
  <r>
    <n v="809"/>
    <n v="384"/>
    <n v="423"/>
    <n v="5"/>
    <n v="10575"/>
    <x v="253"/>
    <x v="17"/>
    <n v="249"/>
    <s v="Сахар"/>
    <n v="252.7627118644068"/>
    <n v="0.6735063367531684"/>
    <s v="Сладов"/>
    <n v="240.2666666666667"/>
    <d v="2022-08-08T00:00:00"/>
    <x v="432"/>
  </r>
  <r>
    <n v="810"/>
    <n v="311"/>
    <n v="470"/>
    <n v="2"/>
    <n v="4700"/>
    <x v="310"/>
    <x v="11"/>
    <n v="418"/>
    <s v="Макароны"/>
    <n v="265.4767441860465"/>
    <n v="0.7703998948797688"/>
    <s v="Паста Зара"/>
    <n v="276.6756756756757"/>
    <d v="2022-05-19T00:00:00"/>
    <x v="428"/>
  </r>
  <r>
    <n v="811"/>
    <n v="328"/>
    <n v="59"/>
    <n v="1"/>
    <n v="295"/>
    <x v="140"/>
    <x v="14"/>
    <n v="126"/>
    <s v="Чипсы"/>
    <n v="273.7254901960785"/>
    <n v="-0.7844555873925502"/>
    <s v="Русская картошка"/>
    <n v="241.8333333333333"/>
    <d v="2022-09-18T00:00:00"/>
    <x v="404"/>
  </r>
  <r>
    <n v="812"/>
    <n v="74"/>
    <n v="332"/>
    <n v="3"/>
    <n v="4980"/>
    <x v="67"/>
    <x v="16"/>
    <n v="497"/>
    <s v="Колбаса"/>
    <n v="286.9230769230769"/>
    <n v="0.1571045576407508"/>
    <s v="Черкизово"/>
    <n v="320.25"/>
    <d v="2022-09-22T00:00:00"/>
    <x v="475"/>
  </r>
  <r>
    <n v="813"/>
    <n v="152"/>
    <n v="94"/>
    <n v="5"/>
    <n v="2350"/>
    <x v="92"/>
    <x v="16"/>
    <n v="332"/>
    <s v="Печенье"/>
    <n v="283.468085106383"/>
    <n v="-0.6683930045785484"/>
    <s v="Белогорье"/>
    <n v="249.5"/>
    <d v="2022-10-24T00:00:00"/>
    <x v="476"/>
  </r>
  <r>
    <n v="814"/>
    <n v="319"/>
    <n v="148"/>
    <n v="1"/>
    <n v="740"/>
    <x v="376"/>
    <x v="6"/>
    <n v="445"/>
    <s v="Йогурт"/>
    <n v="263.2542372881356"/>
    <n v="-0.4378058202420808"/>
    <s v="Эрманн"/>
    <n v="248.5"/>
    <d v="2022-04-25T00:00:00"/>
    <x v="477"/>
  </r>
  <r>
    <n v="815"/>
    <n v="19"/>
    <n v="378"/>
    <n v="2"/>
    <n v="3780"/>
    <x v="362"/>
    <x v="15"/>
    <n v="167"/>
    <s v="Мясо"/>
    <n v="271.7454545454545"/>
    <n v="0.3910076274588519"/>
    <s v="Снежана"/>
    <n v="272.3529411764706"/>
    <d v="2022-01-02T00:00:00"/>
    <x v="478"/>
  </r>
  <r>
    <n v="816"/>
    <n v="242"/>
    <n v="265"/>
    <n v="4"/>
    <n v="5300"/>
    <x v="286"/>
    <x v="19"/>
    <n v="415"/>
    <s v="Овощи"/>
    <n v="250.4878048780488"/>
    <n v="0.05793573515092487"/>
    <s v="Овощной ряд"/>
    <n v="303.8235294117647"/>
    <d v="2022-04-10T00:00:00"/>
    <x v="479"/>
  </r>
  <r>
    <n v="817"/>
    <n v="354"/>
    <n v="431"/>
    <n v="1"/>
    <n v="2155"/>
    <x v="405"/>
    <x v="12"/>
    <n v="229"/>
    <s v="Чай"/>
    <n v="271.1818181818182"/>
    <n v="0.5893395910157559"/>
    <s v="Lipton"/>
    <n v="260.1578947368421"/>
    <d v="2022-07-24T00:00:00"/>
    <x v="203"/>
  </r>
  <r>
    <n v="818"/>
    <n v="354"/>
    <n v="382"/>
    <n v="4"/>
    <n v="7640"/>
    <x v="80"/>
    <x v="8"/>
    <n v="119"/>
    <s v="Чай"/>
    <n v="271.1818181818182"/>
    <n v="0.4086490110626886"/>
    <s v="Lipton"/>
    <n v="260.1578947368421"/>
    <d v="2022-05-09T00:00:00"/>
    <x v="147"/>
  </r>
  <r>
    <n v="819"/>
    <n v="245"/>
    <n v="281"/>
    <n v="1"/>
    <n v="1405"/>
    <x v="255"/>
    <x v="3"/>
    <n v="341"/>
    <s v="Сахар"/>
    <n v="252.7627118644068"/>
    <n v="0.1117146114128613"/>
    <s v="Продимекс"/>
    <n v="240.5"/>
    <d v="2022-06-12T00:00:00"/>
    <x v="480"/>
  </r>
  <r>
    <n v="820"/>
    <n v="386"/>
    <n v="149"/>
    <n v="5"/>
    <n v="3725"/>
    <x v="130"/>
    <x v="0"/>
    <n v="407"/>
    <s v="Крупа"/>
    <n v="255.1162790697674"/>
    <n v="-0.4159525979945305"/>
    <s v="Увелка"/>
    <n v="251.9166666666667"/>
    <d v="2022-03-01T00:00:00"/>
    <x v="9"/>
  </r>
  <r>
    <n v="821"/>
    <n v="434"/>
    <n v="257"/>
    <n v="2"/>
    <n v="2570"/>
    <x v="406"/>
    <x v="2"/>
    <n v="264"/>
    <s v="Сыр"/>
    <n v="262.6349206349207"/>
    <n v="-0.02145533663725385"/>
    <s v="Сырная долина"/>
    <n v="271"/>
    <d v="2022-12-12T00:00:00"/>
    <x v="152"/>
  </r>
  <r>
    <n v="822"/>
    <n v="402"/>
    <n v="218"/>
    <n v="1"/>
    <n v="1090"/>
    <x v="197"/>
    <x v="6"/>
    <n v="91"/>
    <s v="Хлеб"/>
    <n v="300.3181818181818"/>
    <n v="-0.2741032238534887"/>
    <s v="Каравай"/>
    <n v="331.1666666666667"/>
    <d v="2022-05-06T00:00:00"/>
    <x v="359"/>
  </r>
  <r>
    <n v="823"/>
    <n v="326"/>
    <n v="198"/>
    <n v="2"/>
    <n v="1980"/>
    <x v="193"/>
    <x v="2"/>
    <n v="362"/>
    <s v="Крупа"/>
    <n v="255.1162790697674"/>
    <n v="-0.2238833181403829"/>
    <s v="Увелка"/>
    <n v="251.9166666666667"/>
    <d v="2022-12-21T00:00:00"/>
    <x v="372"/>
  </r>
  <r>
    <n v="824"/>
    <n v="491"/>
    <n v="111"/>
    <n v="4"/>
    <n v="2220"/>
    <x v="279"/>
    <x v="1"/>
    <n v="473"/>
    <s v="Овощи"/>
    <n v="250.4878048780488"/>
    <n v="-0.5568646543330088"/>
    <s v="Зеленая грядка"/>
    <n v="159.2"/>
    <d v="2022-08-26T00:00:00"/>
    <x v="346"/>
  </r>
  <r>
    <n v="825"/>
    <n v="240"/>
    <n v="306"/>
    <n v="5"/>
    <n v="7650"/>
    <x v="407"/>
    <x v="19"/>
    <n v="482"/>
    <s v="Макароны"/>
    <n v="265.4767441860465"/>
    <n v="0.1526433358153387"/>
    <s v="Борилла"/>
    <n v="236.2758620689655"/>
    <d v="2022-04-28T00:00:00"/>
    <x v="481"/>
  </r>
  <r>
    <n v="826"/>
    <n v="352"/>
    <n v="391"/>
    <n v="1"/>
    <n v="1955"/>
    <x v="26"/>
    <x v="12"/>
    <n v="367"/>
    <s v="Йогурт"/>
    <n v="263.2542372881356"/>
    <n v="0.4852562451712594"/>
    <s v="Эрманн"/>
    <n v="248.5"/>
    <d v="2022-11-02T00:00:00"/>
    <x v="461"/>
  </r>
  <r>
    <n v="827"/>
    <n v="305"/>
    <n v="252"/>
    <n v="1"/>
    <n v="1260"/>
    <x v="152"/>
    <x v="10"/>
    <n v="172"/>
    <s v="Печенье"/>
    <n v="283.468085106383"/>
    <n v="-0.1110110335510021"/>
    <s v="Посиделкино"/>
    <n v="321.6363636363636"/>
    <d v="2022-06-25T00:00:00"/>
    <x v="482"/>
  </r>
  <r>
    <n v="828"/>
    <n v="269"/>
    <n v="398"/>
    <n v="4"/>
    <n v="7960"/>
    <x v="137"/>
    <x v="15"/>
    <n v="466"/>
    <s v="Сахар"/>
    <n v="252.7627118644068"/>
    <n v="0.574599342855227"/>
    <s v="Русский сахар"/>
    <n v="293.4117647058824"/>
    <d v="2022-07-30T00:00:00"/>
    <x v="228"/>
  </r>
  <r>
    <n v="829"/>
    <n v="380"/>
    <n v="100"/>
    <n v="2"/>
    <n v="1000"/>
    <x v="96"/>
    <x v="9"/>
    <n v="57"/>
    <s v="Конфеты"/>
    <n v="267.8548387096774"/>
    <n v="-0.6266634551695068"/>
    <s v="Бабаевский"/>
    <n v="250.2592592592593"/>
    <d v="2022-04-18T00:00:00"/>
    <x v="368"/>
  </r>
  <r>
    <n v="830"/>
    <n v="44"/>
    <n v="310"/>
    <n v="3"/>
    <n v="4650"/>
    <x v="35"/>
    <x v="7"/>
    <n v="48"/>
    <s v="Молоко"/>
    <n v="294.952380952381"/>
    <n v="0.05101711333548598"/>
    <s v="Беллакт"/>
    <n v="322.5454545454546"/>
    <d v="2022-10-22T00:00:00"/>
    <x v="483"/>
  </r>
  <r>
    <n v="831"/>
    <n v="183"/>
    <n v="286"/>
    <n v="2"/>
    <n v="2860"/>
    <x v="172"/>
    <x v="14"/>
    <n v="11"/>
    <s v="Конфеты"/>
    <n v="267.8548387096774"/>
    <n v="0.06774251821521049"/>
    <s v="Бабаевский"/>
    <n v="250.2592592592593"/>
    <d v="2022-05-09T00:00:00"/>
    <x v="455"/>
  </r>
  <r>
    <n v="832"/>
    <n v="65"/>
    <n v="201"/>
    <n v="2"/>
    <n v="2010"/>
    <x v="384"/>
    <x v="1"/>
    <n v="125"/>
    <s v="Хлеб"/>
    <n v="300.3181818181818"/>
    <n v="-0.3307098531860149"/>
    <s v="Хлебный Дом"/>
    <n v="281.7333333333333"/>
    <d v="2022-05-20T00:00:00"/>
    <x v="484"/>
  </r>
  <r>
    <n v="833"/>
    <n v="425"/>
    <n v="258"/>
    <n v="4"/>
    <n v="5160"/>
    <x v="406"/>
    <x v="15"/>
    <n v="72"/>
    <s v="Соль"/>
    <n v="264.8679245283019"/>
    <n v="-0.02592961960393225"/>
    <s v="Экстра"/>
    <n v="320.8461538461539"/>
    <d v="2022-12-11T00:00:00"/>
    <x v="485"/>
  </r>
  <r>
    <n v="834"/>
    <n v="230"/>
    <n v="179"/>
    <n v="4"/>
    <n v="3580"/>
    <x v="408"/>
    <x v="19"/>
    <n v="68"/>
    <s v="Сок"/>
    <n v="268.6034482758621"/>
    <n v="-0.3335900892226716"/>
    <s v="Фруктовый сад"/>
    <n v="281.96875"/>
    <d v="2022-11-17T00:00:00"/>
    <x v="332"/>
  </r>
  <r>
    <n v="835"/>
    <n v="497"/>
    <n v="113"/>
    <n v="2"/>
    <n v="1130"/>
    <x v="244"/>
    <x v="17"/>
    <n v="219"/>
    <s v="Конфеты"/>
    <n v="267.8548387096774"/>
    <n v="-0.5781297043415428"/>
    <s v="Бабаевский"/>
    <n v="250.2592592592593"/>
    <d v="2022-01-24T00:00:00"/>
    <x v="486"/>
  </r>
  <r>
    <n v="836"/>
    <n v="82"/>
    <n v="73"/>
    <n v="1"/>
    <n v="365"/>
    <x v="409"/>
    <x v="8"/>
    <n v="218"/>
    <s v="Сыр"/>
    <n v="262.6349206349207"/>
    <n v="-0.7220476248035779"/>
    <s v="Hochland"/>
    <n v="168"/>
    <d v="2022-06-09T00:00:00"/>
    <x v="235"/>
  </r>
  <r>
    <n v="837"/>
    <n v="104"/>
    <n v="420"/>
    <n v="2"/>
    <n v="4200"/>
    <x v="189"/>
    <x v="2"/>
    <n v="26"/>
    <s v="Йогурт"/>
    <n v="263.2542372881356"/>
    <n v="0.59541591552923"/>
    <s v="Ростагроэкспорт"/>
    <n v="257.7826086956522"/>
    <d v="2022-09-15T00:00:00"/>
    <x v="487"/>
  </r>
  <r>
    <n v="838"/>
    <n v="364"/>
    <n v="496"/>
    <n v="1"/>
    <n v="2480"/>
    <x v="410"/>
    <x v="2"/>
    <n v="417"/>
    <s v="Сахар"/>
    <n v="252.7627118644068"/>
    <n v="0.9623147589351573"/>
    <s v="Русский сахар"/>
    <n v="293.4117647058824"/>
    <d v="2022-02-16T00:00:00"/>
    <x v="440"/>
  </r>
  <r>
    <n v="839"/>
    <n v="334"/>
    <n v="223"/>
    <n v="2"/>
    <n v="2230"/>
    <x v="43"/>
    <x v="4"/>
    <n v="216"/>
    <s v="Молоко"/>
    <n v="294.952380952381"/>
    <n v="-0.2439457539554408"/>
    <s v="Домик в деревне"/>
    <n v="274.7777777777778"/>
    <d v="2022-04-04T00:00:00"/>
    <x v="293"/>
  </r>
  <r>
    <n v="840"/>
    <n v="356"/>
    <n v="97"/>
    <n v="2"/>
    <n v="970"/>
    <x v="9"/>
    <x v="3"/>
    <n v="491"/>
    <s v="Печенье"/>
    <n v="283.468085106383"/>
    <n v="-0.6578098025970127"/>
    <s v="Посиделкино"/>
    <n v="321.6363636363636"/>
    <d v="2022-07-10T00:00:00"/>
    <x v="297"/>
  </r>
  <r>
    <n v="841"/>
    <n v="446"/>
    <n v="445"/>
    <n v="5"/>
    <n v="11125"/>
    <x v="69"/>
    <x v="15"/>
    <n v="307"/>
    <s v="Чипсы"/>
    <n v="273.7254901960785"/>
    <n v="0.6257163323782233"/>
    <s v="Lay's"/>
    <n v="320.5714285714286"/>
    <d v="2022-07-22T00:00:00"/>
    <x v="334"/>
  </r>
  <r>
    <n v="842"/>
    <n v="88"/>
    <n v="206"/>
    <n v="4"/>
    <n v="4120"/>
    <x v="395"/>
    <x v="15"/>
    <n v="492"/>
    <s v="Крупа"/>
    <n v="255.1162790697674"/>
    <n v="-0.1925250683682771"/>
    <s v="Мистраль"/>
    <n v="250.3076923076923"/>
    <d v="2022-05-07T00:00:00"/>
    <x v="352"/>
  </r>
  <r>
    <n v="843"/>
    <n v="347"/>
    <n v="265"/>
    <n v="1"/>
    <n v="1325"/>
    <x v="394"/>
    <x v="11"/>
    <n v="264"/>
    <s v="Макароны"/>
    <n v="265.4767441860465"/>
    <n v="-0.001795803950768726"/>
    <s v="Паста Зара"/>
    <n v="276.6756756756757"/>
    <d v="2022-12-12T00:00:00"/>
    <x v="320"/>
  </r>
  <r>
    <n v="844"/>
    <n v="342"/>
    <n v="269"/>
    <n v="4"/>
    <n v="5380"/>
    <x v="411"/>
    <x v="13"/>
    <n v="190"/>
    <s v="Овощи"/>
    <n v="250.4878048780488"/>
    <n v="0.07390457643622206"/>
    <s v="Овощной ряд"/>
    <n v="303.8235294117647"/>
    <d v="2022-05-08T00:00:00"/>
    <x v="61"/>
  </r>
  <r>
    <n v="845"/>
    <n v="474"/>
    <n v="405"/>
    <n v="2"/>
    <n v="4050"/>
    <x v="394"/>
    <x v="8"/>
    <n v="18"/>
    <s v="Молоко"/>
    <n v="294.952380952381"/>
    <n v="0.373103002906038"/>
    <s v="Простоквашино"/>
    <n v="318.8181818181818"/>
    <d v="2022-01-17T00:00:00"/>
    <x v="488"/>
  </r>
  <r>
    <n v="846"/>
    <n v="69"/>
    <n v="197"/>
    <n v="2"/>
    <n v="1970"/>
    <x v="183"/>
    <x v="13"/>
    <n v="125"/>
    <s v="Чипсы"/>
    <n v="273.7254901960785"/>
    <n v="-0.280300859598854"/>
    <s v="Estrella"/>
    <n v="266.2727272727273"/>
    <d v="2022-05-20T00:00:00"/>
    <x v="117"/>
  </r>
  <r>
    <n v="847"/>
    <n v="206"/>
    <n v="93"/>
    <n v="2"/>
    <n v="930"/>
    <x v="412"/>
    <x v="9"/>
    <n v="155"/>
    <s v="Молоко"/>
    <n v="294.952380952381"/>
    <n v="-0.6846948659993543"/>
    <s v="Домик в деревне"/>
    <n v="274.7777777777778"/>
    <d v="2022-01-03T00:00:00"/>
    <x v="70"/>
  </r>
  <r>
    <n v="848"/>
    <n v="319"/>
    <n v="193"/>
    <n v="1"/>
    <n v="965"/>
    <x v="193"/>
    <x v="7"/>
    <n v="43"/>
    <s v="Йогурт"/>
    <n v="263.2542372881356"/>
    <n v="-0.266868400721092"/>
    <s v="Эрманн"/>
    <n v="248.5"/>
    <d v="2022-12-17T00:00:00"/>
    <x v="255"/>
  </r>
  <r>
    <n v="849"/>
    <n v="59"/>
    <n v="150"/>
    <n v="4"/>
    <n v="3000"/>
    <x v="390"/>
    <x v="9"/>
    <n v="343"/>
    <s v="Сахар"/>
    <n v="252.7627118644068"/>
    <n v="-0.4065580366123517"/>
    <s v="Продимекс"/>
    <n v="240.5"/>
    <d v="2022-11-09T00:00:00"/>
    <x v="374"/>
  </r>
  <r>
    <n v="850"/>
    <n v="16"/>
    <n v="207"/>
    <n v="2"/>
    <n v="2070"/>
    <x v="170"/>
    <x v="3"/>
    <n v="26"/>
    <s v="Сыр"/>
    <n v="262.6349206349207"/>
    <n v="-0.2118336758128854"/>
    <s v="Сырная долина"/>
    <n v="271"/>
    <d v="2022-09-15T00:00:00"/>
    <x v="162"/>
  </r>
  <r>
    <n v="851"/>
    <n v="220"/>
    <n v="305"/>
    <n v="4"/>
    <n v="6100"/>
    <x v="398"/>
    <x v="6"/>
    <n v="306"/>
    <s v="Чай"/>
    <n v="271.1818181818182"/>
    <n v="0.1247066711364397"/>
    <s v="Тесс"/>
    <n v="281.75"/>
    <d v="2022-11-07T00:00:00"/>
    <x v="489"/>
  </r>
  <r>
    <n v="852"/>
    <n v="474"/>
    <n v="171"/>
    <n v="3"/>
    <n v="2565"/>
    <x v="225"/>
    <x v="3"/>
    <n v="260"/>
    <s v="Молоко"/>
    <n v="294.952380952381"/>
    <n v="-0.4202453987730062"/>
    <s v="Простоквашино"/>
    <n v="318.8181818181818"/>
    <d v="2022-06-17T00:00:00"/>
    <x v="490"/>
  </r>
  <r>
    <n v="853"/>
    <n v="118"/>
    <n v="466"/>
    <n v="3"/>
    <n v="6990"/>
    <x v="15"/>
    <x v="14"/>
    <n v="188"/>
    <s v="Сахар"/>
    <n v="252.7627118644068"/>
    <n v="0.8436263662576275"/>
    <s v="Продимекс"/>
    <n v="240.5"/>
    <d v="2022-08-28T00:00:00"/>
    <x v="491"/>
  </r>
  <r>
    <n v="854"/>
    <n v="207"/>
    <n v="57"/>
    <n v="2"/>
    <n v="570"/>
    <x v="314"/>
    <x v="13"/>
    <n v="152"/>
    <s v="Сахар"/>
    <n v="252.7627118644068"/>
    <n v="-0.7744920539126936"/>
    <s v="Агросахар"/>
    <n v="215.8571428571429"/>
    <d v="2022-08-18T00:00:00"/>
    <x v="144"/>
  </r>
  <r>
    <n v="855"/>
    <n v="239"/>
    <n v="397"/>
    <n v="2"/>
    <n v="3970"/>
    <x v="48"/>
    <x v="6"/>
    <n v="65"/>
    <s v="Йогурт"/>
    <n v="263.2542372881356"/>
    <n v="0.5080479011073913"/>
    <s v="Эрманн"/>
    <n v="248.5"/>
    <d v="2022-03-03T00:00:00"/>
    <x v="492"/>
  </r>
  <r>
    <n v="856"/>
    <n v="367"/>
    <n v="289"/>
    <n v="1"/>
    <n v="1445"/>
    <x v="146"/>
    <x v="1"/>
    <n v="281"/>
    <s v="Колбаса"/>
    <n v="286.9230769230769"/>
    <n v="0.007238605898123307"/>
    <s v="Окраина"/>
    <n v="273.5833333333333"/>
    <d v="2022-05-30T00:00:00"/>
    <x v="445"/>
  </r>
  <r>
    <n v="857"/>
    <n v="87"/>
    <n v="191"/>
    <n v="3"/>
    <n v="2865"/>
    <x v="30"/>
    <x v="18"/>
    <n v="430"/>
    <s v="Кофе"/>
    <n v="249.0238095238095"/>
    <n v="-0.2330050674060617"/>
    <s v="Jacobs"/>
    <n v="276.2105263157895"/>
    <d v="2022-08-26T00:00:00"/>
    <x v="493"/>
  </r>
  <r>
    <n v="858"/>
    <n v="309"/>
    <n v="244"/>
    <n v="3"/>
    <n v="3660"/>
    <x v="262"/>
    <x v="19"/>
    <n v="299"/>
    <s v="Конфеты"/>
    <n v="267.8548387096774"/>
    <n v="-0.08905883061359676"/>
    <s v="Рот Фронт"/>
    <n v="288.2380952380952"/>
    <d v="2022-04-15T00:00:00"/>
    <x v="7"/>
  </r>
  <r>
    <n v="859"/>
    <n v="271"/>
    <n v="392"/>
    <n v="3"/>
    <n v="5880"/>
    <x v="130"/>
    <x v="11"/>
    <n v="132"/>
    <s v="Сыр"/>
    <n v="262.6349206349207"/>
    <n v="0.4925661791369513"/>
    <s v="Сырная долина"/>
    <n v="271"/>
    <d v="2022-02-09T00:00:00"/>
    <x v="313"/>
  </r>
  <r>
    <n v="860"/>
    <n v="354"/>
    <n v="493"/>
    <n v="2"/>
    <n v="4930"/>
    <x v="413"/>
    <x v="16"/>
    <n v="68"/>
    <s v="Чай"/>
    <n v="271.1818181818182"/>
    <n v="0.8179684880992288"/>
    <s v="Lipton"/>
    <n v="260.1578947368421"/>
    <d v="2022-11-17T00:00:00"/>
    <x v="235"/>
  </r>
  <r>
    <n v="861"/>
    <n v="266"/>
    <n v="339"/>
    <n v="5"/>
    <n v="8475"/>
    <x v="362"/>
    <x v="1"/>
    <n v="42"/>
    <s v="Рыба"/>
    <n v="258.5128205128205"/>
    <n v="0.3113469549692522"/>
    <s v="Меридиан"/>
    <n v="260.6470588235294"/>
    <d v="2022-08-10T00:00:00"/>
    <x v="494"/>
  </r>
  <r>
    <n v="862"/>
    <n v="441"/>
    <n v="316"/>
    <n v="4"/>
    <n v="6320"/>
    <x v="300"/>
    <x v="14"/>
    <n v="488"/>
    <s v="Чай"/>
    <n v="271.1818181818182"/>
    <n v="0.1652698625544753"/>
    <s v="Lipton"/>
    <n v="260.1578947368421"/>
    <d v="2022-06-26T00:00:00"/>
    <x v="308"/>
  </r>
  <r>
    <n v="863"/>
    <n v="245"/>
    <n v="284"/>
    <n v="4"/>
    <n v="5680"/>
    <x v="204"/>
    <x v="7"/>
    <n v="324"/>
    <s v="Сахар"/>
    <n v="252.7627118644068"/>
    <n v="0.1235834506806142"/>
    <s v="Продимекс"/>
    <n v="240.5"/>
    <d v="2022-07-19T00:00:00"/>
    <x v="495"/>
  </r>
  <r>
    <n v="864"/>
    <n v="369"/>
    <n v="206"/>
    <n v="4"/>
    <n v="4120"/>
    <x v="265"/>
    <x v="9"/>
    <n v="346"/>
    <s v="Молоко"/>
    <n v="294.952380952381"/>
    <n v="-0.3015821762996448"/>
    <s v="Домик в деревне"/>
    <n v="274.7777777777778"/>
    <d v="2022-03-16T00:00:00"/>
    <x v="39"/>
  </r>
  <r>
    <n v="865"/>
    <n v="176"/>
    <n v="217"/>
    <n v="4"/>
    <n v="4340"/>
    <x v="414"/>
    <x v="4"/>
    <n v="313"/>
    <s v="Сахар"/>
    <n v="252.7627118644068"/>
    <n v="-0.1414872929658687"/>
    <s v="Продимекс"/>
    <n v="240.5"/>
    <d v="2022-12-01T00:00:00"/>
    <x v="496"/>
  </r>
  <r>
    <n v="866"/>
    <n v="467"/>
    <n v="72"/>
    <n v="2"/>
    <n v="720"/>
    <x v="415"/>
    <x v="5"/>
    <n v="233"/>
    <s v="Макароны"/>
    <n v="265.4767441860465"/>
    <n v="-0.7287898033375673"/>
    <s v="Борилла"/>
    <n v="236.2758620689655"/>
    <d v="2022-02-24T00:00:00"/>
    <x v="497"/>
  </r>
  <r>
    <n v="867"/>
    <n v="237"/>
    <n v="121"/>
    <n v="3"/>
    <n v="1815"/>
    <x v="416"/>
    <x v="18"/>
    <n v="77"/>
    <s v="Конфеты"/>
    <n v="267.8548387096774"/>
    <n v="-0.5482627807551033"/>
    <s v="Рот Фронт"/>
    <n v="288.2380952380952"/>
    <d v="2022-03-24T00:00:00"/>
    <x v="498"/>
  </r>
  <r>
    <n v="868"/>
    <n v="300"/>
    <n v="140"/>
    <n v="4"/>
    <n v="2800"/>
    <x v="321"/>
    <x v="9"/>
    <n v="107"/>
    <s v="Сахар"/>
    <n v="252.7627118644068"/>
    <n v="-0.4461208341715281"/>
    <s v="Продимекс"/>
    <n v="240.5"/>
    <d v="2022-07-02T00:00:00"/>
    <x v="499"/>
  </r>
  <r>
    <n v="869"/>
    <n v="137"/>
    <n v="295"/>
    <n v="2"/>
    <n v="2950"/>
    <x v="417"/>
    <x v="13"/>
    <n v="375"/>
    <s v="Фрукты"/>
    <n v="274.1627906976744"/>
    <n v="0.07600305369412164"/>
    <s v="Экзотик"/>
    <n v="253.6875"/>
    <d v="2022-04-23T00:00:00"/>
    <x v="500"/>
  </r>
  <r>
    <n v="870"/>
    <n v="194"/>
    <n v="325"/>
    <n v="4"/>
    <n v="6500"/>
    <x v="407"/>
    <x v="12"/>
    <n v="62"/>
    <s v="Соль"/>
    <n v="264.8679245283019"/>
    <n v="0.2270266419717908"/>
    <s v="Салта"/>
    <n v="273.7"/>
    <d v="2022-04-20T00:00:00"/>
    <x v="102"/>
  </r>
  <r>
    <n v="871"/>
    <n v="215"/>
    <n v="147"/>
    <n v="3"/>
    <n v="2205"/>
    <x v="77"/>
    <x v="5"/>
    <n v="368"/>
    <s v="Сок"/>
    <n v="268.6034482758621"/>
    <n v="-0.4527248218756018"/>
    <s v="Фруктовый сад"/>
    <n v="281.96875"/>
    <d v="2022-11-07T00:00:00"/>
    <x v="93"/>
  </r>
  <r>
    <n v="872"/>
    <n v="307"/>
    <n v="419"/>
    <n v="1"/>
    <n v="2095"/>
    <x v="81"/>
    <x v="17"/>
    <n v="64"/>
    <s v="Сыр"/>
    <n v="262.6349206349207"/>
    <n v="0.5953704822917925"/>
    <s v="Карат"/>
    <n v="311.3333333333333"/>
    <d v="2022-05-26T00:00:00"/>
    <x v="9"/>
  </r>
  <r>
    <n v="873"/>
    <n v="424"/>
    <n v="457"/>
    <n v="1"/>
    <n v="2285"/>
    <x v="26"/>
    <x v="10"/>
    <n v="286"/>
    <s v="Печенье"/>
    <n v="283.468085106383"/>
    <n v="0.61217443518727"/>
    <s v="КДВ"/>
    <n v="323.0769230769231"/>
    <d v="2022-01-02T00:00:00"/>
    <x v="501"/>
  </r>
  <r>
    <n v="874"/>
    <n v="439"/>
    <n v="392"/>
    <n v="2"/>
    <n v="3920"/>
    <x v="414"/>
    <x v="7"/>
    <n v="74"/>
    <s v="Сок"/>
    <n v="268.6034482758621"/>
    <n v="0.4594004749983951"/>
    <s v="Добрый"/>
    <n v="242.8181818181818"/>
    <d v="2022-10-23T00:00:00"/>
    <x v="98"/>
  </r>
  <r>
    <n v="875"/>
    <n v="83"/>
    <n v="282"/>
    <n v="5"/>
    <n v="7050"/>
    <x v="418"/>
    <x v="4"/>
    <n v="6"/>
    <s v="Сок"/>
    <n v="268.6034482758621"/>
    <n v="0.04987483150394745"/>
    <s v="Сады Придонья"/>
    <n v="254.1818181818182"/>
    <d v="2022-05-29T00:00:00"/>
    <x v="374"/>
  </r>
  <r>
    <n v="876"/>
    <n v="329"/>
    <n v="265"/>
    <n v="2"/>
    <n v="2650"/>
    <x v="152"/>
    <x v="14"/>
    <n v="258"/>
    <s v="Соль"/>
    <n v="264.8679245283019"/>
    <n v="0.0004986465308447485"/>
    <s v="Славянская"/>
    <n v="236.9166666666667"/>
    <d v="2022-06-05T00:00:00"/>
    <x v="343"/>
  </r>
  <r>
    <n v="877"/>
    <n v="91"/>
    <n v="146"/>
    <n v="1"/>
    <n v="730"/>
    <x v="179"/>
    <x v="16"/>
    <n v="138"/>
    <s v="Сыр"/>
    <n v="262.6349206349207"/>
    <n v="-0.4440952496071559"/>
    <s v="Сырная долина"/>
    <n v="271"/>
    <d v="2022-06-11T00:00:00"/>
    <x v="367"/>
  </r>
  <r>
    <n v="878"/>
    <n v="296"/>
    <n v="58"/>
    <n v="2"/>
    <n v="580"/>
    <x v="419"/>
    <x v="0"/>
    <n v="419"/>
    <s v="Крупа"/>
    <n v="255.1162790697674"/>
    <n v="-0.7726526891522334"/>
    <s v="Мистраль"/>
    <n v="250.3076923076923"/>
    <d v="2022-11-04T00:00:00"/>
    <x v="444"/>
  </r>
  <r>
    <n v="879"/>
    <n v="437"/>
    <n v="379"/>
    <n v="2"/>
    <n v="3790"/>
    <x v="34"/>
    <x v="17"/>
    <n v="148"/>
    <s v="Чай"/>
    <n v="271.1818181818182"/>
    <n v="0.3975863224941334"/>
    <s v="Тесс"/>
    <n v="281.75"/>
    <d v="2022-05-19T00:00:00"/>
    <x v="189"/>
  </r>
  <r>
    <n v="880"/>
    <n v="193"/>
    <n v="201"/>
    <n v="4"/>
    <n v="4020"/>
    <x v="334"/>
    <x v="6"/>
    <n v="105"/>
    <s v="Соль"/>
    <n v="264.8679245283019"/>
    <n v="-0.2411312152728309"/>
    <s v="Салта"/>
    <n v="273.7"/>
    <d v="2022-12-23T00:00:00"/>
    <x v="502"/>
  </r>
  <r>
    <n v="881"/>
    <n v="144"/>
    <n v="337"/>
    <n v="3"/>
    <n v="5055"/>
    <x v="103"/>
    <x v="16"/>
    <n v="365"/>
    <s v="Макароны"/>
    <n v="265.4767441860465"/>
    <n v="0.2694143927116639"/>
    <s v="Роллтон"/>
    <n v="235.5555555555555"/>
    <d v="2022-10-07T00:00:00"/>
    <x v="414"/>
  </r>
  <r>
    <n v="882"/>
    <n v="27"/>
    <n v="160"/>
    <n v="1"/>
    <n v="800"/>
    <x v="162"/>
    <x v="8"/>
    <n v="416"/>
    <s v="Макароны"/>
    <n v="265.4767441860465"/>
    <n v="-0.397310674083483"/>
    <s v="Паста Зара"/>
    <n v="276.6756756756757"/>
    <d v="2022-05-22T00:00:00"/>
    <x v="499"/>
  </r>
  <r>
    <n v="883"/>
    <n v="375"/>
    <n v="197"/>
    <n v="5"/>
    <n v="4925"/>
    <x v="27"/>
    <x v="7"/>
    <n v="315"/>
    <s v="Макароны"/>
    <n v="265.4767441860465"/>
    <n v="-0.2579387674652884"/>
    <s v="Борилла"/>
    <n v="236.2758620689655"/>
    <d v="2022-07-05T00:00:00"/>
    <x v="503"/>
  </r>
  <r>
    <n v="884"/>
    <n v="453"/>
    <n v="437"/>
    <n v="2"/>
    <n v="4370"/>
    <x v="11"/>
    <x v="17"/>
    <n v="81"/>
    <s v="Макароны"/>
    <n v="265.4767441860465"/>
    <n v="0.6460952214094871"/>
    <s v="Макфа"/>
    <n v="329.2727272727273"/>
    <d v="2022-09-21T00:00:00"/>
    <x v="19"/>
  </r>
  <r>
    <n v="885"/>
    <n v="388"/>
    <n v="205"/>
    <n v="2"/>
    <n v="2050"/>
    <x v="358"/>
    <x v="13"/>
    <n v="262"/>
    <s v="Рыба"/>
    <n v="258.5128205128205"/>
    <n v="-0.207002578853402"/>
    <s v="Меридиан"/>
    <n v="260.6470588235294"/>
    <d v="2022-08-05T00:00:00"/>
    <x v="64"/>
  </r>
  <r>
    <n v="886"/>
    <n v="312"/>
    <n v="476"/>
    <n v="2"/>
    <n v="4760"/>
    <x v="367"/>
    <x v="16"/>
    <n v="239"/>
    <s v="Хлеб"/>
    <n v="300.3181818181818"/>
    <n v="0.5849856213107312"/>
    <s v="Каравай"/>
    <n v="331.1666666666667"/>
    <d v="2022-07-25T00:00:00"/>
    <x v="346"/>
  </r>
  <r>
    <n v="887"/>
    <n v="486"/>
    <n v="230"/>
    <n v="2"/>
    <n v="2300"/>
    <x v="267"/>
    <x v="1"/>
    <n v="358"/>
    <s v="Соль"/>
    <n v="264.8679245283019"/>
    <n v="-0.1316426841430404"/>
    <s v="Илецкая"/>
    <n v="238.1666666666667"/>
    <d v="2022-07-29T00:00:00"/>
    <x v="123"/>
  </r>
  <r>
    <n v="888"/>
    <n v="295"/>
    <n v="219"/>
    <n v="5"/>
    <n v="5475"/>
    <x v="153"/>
    <x v="11"/>
    <n v="331"/>
    <s v="Печенье"/>
    <n v="283.468085106383"/>
    <n v="-0.2274262553478946"/>
    <s v="Белогорье"/>
    <n v="249.5"/>
    <d v="2022-09-09T00:00:00"/>
    <x v="99"/>
  </r>
  <r>
    <n v="889"/>
    <n v="1"/>
    <n v="206"/>
    <n v="3"/>
    <n v="3090"/>
    <x v="285"/>
    <x v="5"/>
    <n v="31"/>
    <s v="Крупа"/>
    <n v="255.1162790697674"/>
    <n v="-0.1925250683682771"/>
    <s v="Ярмарка"/>
    <n v="252.0909090909091"/>
    <d v="2022-01-19T00:00:00"/>
    <x v="252"/>
  </r>
  <r>
    <n v="890"/>
    <n v="347"/>
    <n v="343"/>
    <n v="3"/>
    <n v="5145"/>
    <x v="420"/>
    <x v="2"/>
    <n v="74"/>
    <s v="Макароны"/>
    <n v="265.4767441860465"/>
    <n v="0.2920152424335334"/>
    <s v="Паста Зара"/>
    <n v="276.6756756756757"/>
    <d v="2022-10-23T00:00:00"/>
    <x v="504"/>
  </r>
  <r>
    <n v="891"/>
    <n v="308"/>
    <n v="147"/>
    <n v="2"/>
    <n v="1470"/>
    <x v="207"/>
    <x v="11"/>
    <n v="80"/>
    <s v="Конфеты"/>
    <n v="267.8548387096774"/>
    <n v="-0.4511952790991751"/>
    <s v="Бабаевский"/>
    <n v="250.2592592592593"/>
    <d v="2022-03-03T00:00:00"/>
    <x v="251"/>
  </r>
  <r>
    <n v="892"/>
    <n v="52"/>
    <n v="423"/>
    <n v="3"/>
    <n v="6345"/>
    <x v="336"/>
    <x v="6"/>
    <n v="496"/>
    <s v="Соль"/>
    <n v="264.8679245283019"/>
    <n v="0.5970223678586692"/>
    <s v="Илецкая"/>
    <n v="238.1666666666667"/>
    <d v="2022-11-02T00:00:00"/>
    <x v="505"/>
  </r>
  <r>
    <n v="893"/>
    <n v="75"/>
    <n v="494"/>
    <n v="4"/>
    <n v="9880"/>
    <x v="421"/>
    <x v="3"/>
    <n v="477"/>
    <s v="Печенье"/>
    <n v="283.468085106383"/>
    <n v="0.7427005929595436"/>
    <s v="Белогорье"/>
    <n v="249.5"/>
    <d v="2022-06-26T00:00:00"/>
    <x v="467"/>
  </r>
  <r>
    <n v="894"/>
    <n v="148"/>
    <n v="270"/>
    <n v="2"/>
    <n v="2700"/>
    <x v="292"/>
    <x v="5"/>
    <n v="196"/>
    <s v="Сок"/>
    <n v="268.6034482758621"/>
    <n v="0.005199306759098743"/>
    <s v="Фруктовый сад"/>
    <n v="281.96875"/>
    <d v="2022-10-01T00:00:00"/>
    <x v="136"/>
  </r>
  <r>
    <n v="895"/>
    <n v="481"/>
    <n v="470"/>
    <n v="2"/>
    <n v="4700"/>
    <x v="422"/>
    <x v="1"/>
    <n v="400"/>
    <s v="Чипсы"/>
    <n v="273.7254901960785"/>
    <n v="0.7170487106017192"/>
    <s v="Pringles"/>
    <n v="280.2380952380952"/>
    <d v="2022-07-23T00:00:00"/>
    <x v="260"/>
  </r>
  <r>
    <n v="896"/>
    <n v="194"/>
    <n v="278"/>
    <n v="4"/>
    <n v="5560"/>
    <x v="369"/>
    <x v="9"/>
    <n v="271"/>
    <s v="Соль"/>
    <n v="264.8679245283019"/>
    <n v="0.04957971220971635"/>
    <s v="Салта"/>
    <n v="273.7"/>
    <d v="2022-11-27T00:00:00"/>
    <x v="281"/>
  </r>
  <r>
    <n v="897"/>
    <n v="422"/>
    <n v="244"/>
    <n v="3"/>
    <n v="3660"/>
    <x v="243"/>
    <x v="5"/>
    <n v="265"/>
    <s v="Кофе"/>
    <n v="249.0238095238095"/>
    <n v="-0.02017401281193232"/>
    <s v="Nescafe"/>
    <n v="256.9"/>
    <d v="2022-07-14T00:00:00"/>
    <x v="506"/>
  </r>
  <r>
    <n v="898"/>
    <n v="52"/>
    <n v="142"/>
    <n v="3"/>
    <n v="2130"/>
    <x v="363"/>
    <x v="10"/>
    <n v="366"/>
    <s v="Соль"/>
    <n v="264.8679245283019"/>
    <n v="-0.4638837441230945"/>
    <s v="Илецкая"/>
    <n v="238.1666666666667"/>
    <d v="2022-09-23T00:00:00"/>
    <x v="507"/>
  </r>
  <r>
    <n v="899"/>
    <n v="73"/>
    <n v="160"/>
    <n v="4"/>
    <n v="3200"/>
    <x v="400"/>
    <x v="4"/>
    <n v="302"/>
    <s v="Хлеб"/>
    <n v="300.3181818181818"/>
    <n v="-0.467231723929166"/>
    <s v="Дарница"/>
    <n v="264"/>
    <d v="2022-10-25T00:00:00"/>
    <x v="155"/>
  </r>
  <r>
    <n v="900"/>
    <n v="208"/>
    <n v="476"/>
    <n v="5"/>
    <n v="11900"/>
    <x v="3"/>
    <x v="18"/>
    <n v="326"/>
    <s v="Конфеты"/>
    <n v="267.8548387096774"/>
    <n v="0.7770819533931475"/>
    <s v="Славянка"/>
    <n v="268"/>
    <d v="2022-04-04T00:00:00"/>
    <x v="370"/>
  </r>
  <r>
    <n v="901"/>
    <n v="458"/>
    <n v="343"/>
    <n v="3"/>
    <n v="5145"/>
    <x v="186"/>
    <x v="12"/>
    <n v="282"/>
    <s v="Макароны"/>
    <n v="265.4767441860465"/>
    <n v="0.2920152424335334"/>
    <s v="Борилла"/>
    <n v="236.2758620689655"/>
    <d v="2022-06-23T00:00:00"/>
    <x v="479"/>
  </r>
  <r>
    <n v="902"/>
    <n v="444"/>
    <n v="328"/>
    <n v="3"/>
    <n v="4920"/>
    <x v="246"/>
    <x v="19"/>
    <n v="292"/>
    <s v="Йогурт"/>
    <n v="263.2542372881356"/>
    <n v="0.2459438578418749"/>
    <s v="Эрманн"/>
    <n v="248.5"/>
    <d v="2022-02-16T00:00:00"/>
    <x v="117"/>
  </r>
  <r>
    <n v="903"/>
    <n v="369"/>
    <n v="379"/>
    <n v="5"/>
    <n v="9475"/>
    <x v="81"/>
    <x v="16"/>
    <n v="267"/>
    <s v="Молоко"/>
    <n v="294.952380952381"/>
    <n v="0.2849531804972554"/>
    <s v="Домик в деревне"/>
    <n v="274.7777777777778"/>
    <d v="2022-12-15T00:00:00"/>
    <x v="228"/>
  </r>
  <r>
    <n v="904"/>
    <n v="6"/>
    <n v="70"/>
    <n v="5"/>
    <n v="1750"/>
    <x v="323"/>
    <x v="4"/>
    <n v="433"/>
    <s v="Фрукты"/>
    <n v="274.1627906976744"/>
    <n v="-0.7446772414963101"/>
    <s v="Фрукты-Ягоды"/>
    <n v="280.6666666666667"/>
    <d v="2022-09-28T00:00:00"/>
    <x v="444"/>
  </r>
  <r>
    <n v="905"/>
    <n v="318"/>
    <n v="280"/>
    <n v="1"/>
    <n v="1400"/>
    <x v="302"/>
    <x v="1"/>
    <n v="382"/>
    <s v="Молоко"/>
    <n v="294.952380952381"/>
    <n v="-0.05069422021310954"/>
    <s v="Домик в деревне"/>
    <n v="274.7777777777778"/>
    <d v="2022-10-16T00:00:00"/>
    <x v="95"/>
  </r>
  <r>
    <n v="906"/>
    <n v="269"/>
    <n v="315"/>
    <n v="1"/>
    <n v="1575"/>
    <x v="335"/>
    <x v="2"/>
    <n v="41"/>
    <s v="Сахар"/>
    <n v="252.7627118644068"/>
    <n v="0.2462281231140615"/>
    <s v="Русский сахар"/>
    <n v="293.4117647058824"/>
    <d v="2022-10-08T00:00:00"/>
    <x v="332"/>
  </r>
  <r>
    <n v="907"/>
    <n v="55"/>
    <n v="353"/>
    <n v="1"/>
    <n v="1765"/>
    <x v="152"/>
    <x v="19"/>
    <n v="129"/>
    <s v="Крупа"/>
    <n v="255.1162790697674"/>
    <n v="0.3836827711941659"/>
    <s v="Националь"/>
    <n v="274.2857142857143"/>
    <d v="2022-11-03T00:00:00"/>
    <x v="132"/>
  </r>
  <r>
    <n v="908"/>
    <n v="327"/>
    <n v="342"/>
    <n v="2"/>
    <n v="3420"/>
    <x v="328"/>
    <x v="1"/>
    <n v="335"/>
    <s v="Колбаса"/>
    <n v="286.9230769230769"/>
    <n v="0.1919571045576409"/>
    <s v="Черкизово"/>
    <n v="320.25"/>
    <d v="2022-02-27T00:00:00"/>
    <x v="120"/>
  </r>
  <r>
    <n v="909"/>
    <n v="364"/>
    <n v="299"/>
    <n v="3"/>
    <n v="4485"/>
    <x v="261"/>
    <x v="14"/>
    <n v="194"/>
    <s v="Сахар"/>
    <n v="252.7627118644068"/>
    <n v="0.182927647019379"/>
    <s v="Русский сахар"/>
    <n v="293.4117647058824"/>
    <d v="2022-12-29T00:00:00"/>
    <x v="508"/>
  </r>
  <r>
    <n v="910"/>
    <n v="378"/>
    <n v="397"/>
    <n v="1"/>
    <n v="1985"/>
    <x v="67"/>
    <x v="5"/>
    <n v="56"/>
    <s v="Сок"/>
    <n v="268.6034482758621"/>
    <n v="0.4780152769754156"/>
    <s v="Фруктовый сад"/>
    <n v="281.96875"/>
    <d v="2022-04-11T00:00:00"/>
    <x v="242"/>
  </r>
  <r>
    <n v="911"/>
    <n v="462"/>
    <n v="231"/>
    <n v="2"/>
    <n v="2310"/>
    <x v="342"/>
    <x v="18"/>
    <n v="493"/>
    <s v="Рис"/>
    <n v="258.375"/>
    <n v="-0.1059506531204645"/>
    <s v="Белый Злат"/>
    <n v="269.7058823529412"/>
    <d v="2022-10-21T00:00:00"/>
    <x v="412"/>
  </r>
  <r>
    <n v="912"/>
    <n v="89"/>
    <n v="120"/>
    <n v="5"/>
    <n v="3000"/>
    <x v="423"/>
    <x v="19"/>
    <n v="222"/>
    <s v="Конфеты"/>
    <n v="267.8548387096774"/>
    <n v="-0.5519961462034082"/>
    <s v="Рот Фронт"/>
    <n v="288.2380952380952"/>
    <d v="2022-05-13T00:00:00"/>
    <x v="442"/>
  </r>
  <r>
    <n v="913"/>
    <n v="465"/>
    <n v="177"/>
    <n v="1"/>
    <n v="885"/>
    <x v="381"/>
    <x v="8"/>
    <n v="167"/>
    <s v="Йогурт"/>
    <n v="263.2542372881356"/>
    <n v="-0.3276461498841102"/>
    <s v="Ростагроэкспорт"/>
    <n v="257.7826086956522"/>
    <d v="2022-01-02T00:00:00"/>
    <x v="337"/>
  </r>
  <r>
    <n v="914"/>
    <n v="208"/>
    <n v="412"/>
    <n v="4"/>
    <n v="8240"/>
    <x v="407"/>
    <x v="6"/>
    <n v="212"/>
    <s v="Конфеты"/>
    <n v="267.8548387096774"/>
    <n v="0.5381465647016317"/>
    <s v="Славянка"/>
    <n v="268"/>
    <d v="2022-09-11T00:00:00"/>
    <x v="150"/>
  </r>
  <r>
    <n v="915"/>
    <n v="357"/>
    <n v="279"/>
    <n v="2"/>
    <n v="2790"/>
    <x v="12"/>
    <x v="15"/>
    <n v="499"/>
    <s v="Мясо"/>
    <n v="271.7454545454545"/>
    <n v="0.0266961059815336"/>
    <s v="Снежана"/>
    <n v="272.3529411764706"/>
    <d v="2022-08-25T00:00:00"/>
    <x v="77"/>
  </r>
  <r>
    <n v="916"/>
    <n v="416"/>
    <n v="472"/>
    <n v="1"/>
    <n v="2360"/>
    <x v="424"/>
    <x v="19"/>
    <n v="401"/>
    <s v="Рыба"/>
    <n v="258.5128205128205"/>
    <n v="0.8258282086887523"/>
    <s v="Меридиан"/>
    <n v="260.6470588235294"/>
    <d v="2022-10-22T00:00:00"/>
    <x v="320"/>
  </r>
  <r>
    <n v="917"/>
    <n v="374"/>
    <n v="52"/>
    <n v="3"/>
    <n v="780"/>
    <x v="425"/>
    <x v="18"/>
    <n v="463"/>
    <s v="Кофе"/>
    <n v="249.0238095238095"/>
    <n v="-0.7911846256812315"/>
    <s v="Tchibo"/>
    <n v="140"/>
    <d v="2022-11-04T00:00:00"/>
    <x v="509"/>
  </r>
  <r>
    <n v="918"/>
    <n v="145"/>
    <n v="144"/>
    <n v="5"/>
    <n v="3600"/>
    <x v="299"/>
    <x v="0"/>
    <n v="347"/>
    <s v="Овощи"/>
    <n v="250.4878048780488"/>
    <n v="-0.4251217137293087"/>
    <s v="Семко"/>
    <n v="208"/>
    <d v="2022-01-27T00:00:00"/>
    <x v="510"/>
  </r>
  <r>
    <n v="919"/>
    <n v="289"/>
    <n v="258"/>
    <n v="2"/>
    <n v="2580"/>
    <x v="221"/>
    <x v="1"/>
    <n v="54"/>
    <s v="Сок"/>
    <n v="268.6034482758621"/>
    <n v="-0.03947621798575018"/>
    <s v="Добрый"/>
    <n v="242.8181818181818"/>
    <d v="2022-10-13T00:00:00"/>
    <x v="132"/>
  </r>
  <r>
    <n v="920"/>
    <n v="173"/>
    <n v="173"/>
    <n v="2"/>
    <n v="1730"/>
    <x v="426"/>
    <x v="18"/>
    <n v="246"/>
    <s v="Сок"/>
    <n v="268.6034482758621"/>
    <n v="-0.355927851595096"/>
    <s v="Фруктовый сад"/>
    <n v="281.96875"/>
    <d v="2022-09-01T00:00:00"/>
    <x v="467"/>
  </r>
  <r>
    <n v="921"/>
    <n v="390"/>
    <n v="494"/>
    <n v="3"/>
    <n v="7410"/>
    <x v="41"/>
    <x v="11"/>
    <n v="65"/>
    <s v="Сок"/>
    <n v="268.6034482758621"/>
    <n v="0.8391424353296102"/>
    <s v="Сады Придонья"/>
    <n v="254.1818181818182"/>
    <d v="2022-03-03T00:00:00"/>
    <x v="499"/>
  </r>
  <r>
    <n v="922"/>
    <n v="482"/>
    <n v="198"/>
    <n v="2"/>
    <n v="1980"/>
    <x v="91"/>
    <x v="18"/>
    <n v="44"/>
    <s v="Крупа"/>
    <n v="255.1162790697674"/>
    <n v="-0.2238833181403829"/>
    <s v="Мистраль"/>
    <n v="250.3076923076923"/>
    <d v="2022-05-20T00:00:00"/>
    <x v="39"/>
  </r>
  <r>
    <n v="923"/>
    <n v="465"/>
    <n v="71"/>
    <n v="5"/>
    <n v="1775"/>
    <x v="156"/>
    <x v="8"/>
    <n v="321"/>
    <s v="Йогурт"/>
    <n v="263.2542372881356"/>
    <n v="-0.7302987380891064"/>
    <s v="Ростагроэкспорт"/>
    <n v="257.7826086956522"/>
    <d v="2022-07-14T00:00:00"/>
    <x v="409"/>
  </r>
  <r>
    <n v="924"/>
    <n v="114"/>
    <n v="228"/>
    <n v="2"/>
    <n v="2280"/>
    <x v="149"/>
    <x v="14"/>
    <n v="50"/>
    <s v="Сыр"/>
    <n v="262.6349206349207"/>
    <n v="-0.1318747733591201"/>
    <s v="Сырная долина"/>
    <n v="271"/>
    <d v="2022-01-15T00:00:00"/>
    <x v="216"/>
  </r>
  <r>
    <n v="925"/>
    <n v="46"/>
    <n v="290"/>
    <n v="3"/>
    <n v="4350"/>
    <x v="194"/>
    <x v="5"/>
    <n v="460"/>
    <s v="Йогурт"/>
    <n v="263.2542372881356"/>
    <n v="0.1015967035797065"/>
    <s v="Активиа"/>
    <n v="293.6666666666667"/>
    <d v="2022-09-17T00:00:00"/>
    <x v="391"/>
  </r>
  <r>
    <n v="926"/>
    <n v="222"/>
    <n v="168"/>
    <n v="3"/>
    <n v="2520"/>
    <x v="113"/>
    <x v="13"/>
    <n v="79"/>
    <s v="Молоко"/>
    <n v="294.952380952381"/>
    <n v="-0.4304165321278657"/>
    <s v="Простоквашино"/>
    <n v="318.8181818181818"/>
    <d v="2022-06-04T00:00:00"/>
    <x v="511"/>
  </r>
  <r>
    <n v="927"/>
    <n v="210"/>
    <n v="374"/>
    <n v="2"/>
    <n v="3740"/>
    <x v="268"/>
    <x v="8"/>
    <n v="209"/>
    <s v="Колбаса"/>
    <n v="286.9230769230769"/>
    <n v="0.3034852546916891"/>
    <s v="Окраина"/>
    <n v="273.5833333333333"/>
    <d v="2022-03-08T00:00:00"/>
    <x v="156"/>
  </r>
  <r>
    <n v="928"/>
    <n v="399"/>
    <n v="67"/>
    <n v="2"/>
    <n v="670"/>
    <x v="203"/>
    <x v="18"/>
    <n v="451"/>
    <s v="Хлеб"/>
    <n v="300.3181818181818"/>
    <n v="-0.7769032843953383"/>
    <s v="Хлебный Дом"/>
    <n v="281.7333333333333"/>
    <d v="2022-01-23T00:00:00"/>
    <x v="512"/>
  </r>
  <r>
    <n v="929"/>
    <n v="498"/>
    <n v="244"/>
    <n v="2"/>
    <n v="2440"/>
    <x v="427"/>
    <x v="3"/>
    <n v="49"/>
    <s v="Молоко"/>
    <n v="294.952380952381"/>
    <n v="-0.172747820471424"/>
    <s v="Домик в деревне"/>
    <n v="274.7777777777778"/>
    <d v="2022-04-21T00:00:00"/>
    <x v="513"/>
  </r>
  <r>
    <n v="930"/>
    <n v="170"/>
    <n v="312"/>
    <n v="1"/>
    <n v="1560"/>
    <x v="428"/>
    <x v="11"/>
    <n v="162"/>
    <s v="Конфеты"/>
    <n v="267.8548387096774"/>
    <n v="0.1648100198711386"/>
    <s v="Славянка"/>
    <n v="268"/>
    <d v="2022-03-19T00:00:00"/>
    <x v="44"/>
  </r>
  <r>
    <n v="931"/>
    <n v="205"/>
    <n v="212"/>
    <n v="4"/>
    <n v="4240"/>
    <x v="382"/>
    <x v="9"/>
    <n v="414"/>
    <s v="Макароны"/>
    <n v="265.4767441860465"/>
    <n v="-0.2014366431606149"/>
    <s v="Борилла"/>
    <n v="236.2758620689655"/>
    <d v="2022-08-21T00:00:00"/>
    <x v="514"/>
  </r>
  <r>
    <n v="932"/>
    <n v="188"/>
    <n v="233"/>
    <n v="2"/>
    <n v="2330"/>
    <x v="55"/>
    <x v="10"/>
    <n v="445"/>
    <s v="Молоко"/>
    <n v="294.952380952381"/>
    <n v="-0.210041976105909"/>
    <s v="Вимм-Билль-Данн"/>
    <n v="193.5"/>
    <d v="2022-04-25T00:00:00"/>
    <x v="159"/>
  </r>
  <r>
    <n v="933"/>
    <n v="246"/>
    <n v="400"/>
    <n v="4"/>
    <n v="8000"/>
    <x v="8"/>
    <x v="15"/>
    <n v="191"/>
    <s v="Сыр"/>
    <n v="262.6349206349207"/>
    <n v="0.5230267134050524"/>
    <s v="President"/>
    <n v="238.7222222222222"/>
    <d v="2022-11-01T00:00:00"/>
    <x v="174"/>
  </r>
  <r>
    <n v="934"/>
    <n v="187"/>
    <n v="168"/>
    <n v="3"/>
    <n v="2520"/>
    <x v="76"/>
    <x v="14"/>
    <n v="126"/>
    <s v="Макароны"/>
    <n v="265.4767441860465"/>
    <n v="-0.3671762077876571"/>
    <s v="Паста Зара"/>
    <n v="276.6756756756757"/>
    <d v="2022-09-18T00:00:00"/>
    <x v="515"/>
  </r>
  <r>
    <n v="935"/>
    <n v="9"/>
    <n v="321"/>
    <n v="1"/>
    <n v="1605"/>
    <x v="77"/>
    <x v="15"/>
    <n v="217"/>
    <s v="Йогурт"/>
    <n v="263.2542372881356"/>
    <n v="0.2193535925830543"/>
    <s v="Чудо"/>
    <n v="287.1"/>
    <d v="2022-09-22T00:00:00"/>
    <x v="385"/>
  </r>
  <r>
    <n v="936"/>
    <n v="302"/>
    <n v="229"/>
    <n v="5"/>
    <n v="5725"/>
    <x v="126"/>
    <x v="4"/>
    <n v="42"/>
    <s v="Молоко"/>
    <n v="294.952380952381"/>
    <n v="-0.2236034872457217"/>
    <s v="Домик в деревне"/>
    <n v="274.7777777777778"/>
    <d v="2022-08-10T00:00:00"/>
    <x v="516"/>
  </r>
  <r>
    <n v="937"/>
    <n v="166"/>
    <n v="166"/>
    <n v="5"/>
    <n v="4150"/>
    <x v="429"/>
    <x v="4"/>
    <n v="407"/>
    <s v="Сок"/>
    <n v="268.6034482758621"/>
    <n v="-0.3819885743629245"/>
    <s v="Добрый"/>
    <n v="242.8181818181818"/>
    <d v="2022-03-01T00:00:00"/>
    <x v="517"/>
  </r>
  <r>
    <n v="938"/>
    <n v="329"/>
    <n v="71"/>
    <n v="2"/>
    <n v="710"/>
    <x v="430"/>
    <x v="4"/>
    <n v="117"/>
    <s v="Соль"/>
    <n v="264.8679245283019"/>
    <n v="-0.7319418720615473"/>
    <s v="Славянская"/>
    <n v="236.9166666666667"/>
    <d v="2022-05-25T00:00:00"/>
    <x v="162"/>
  </r>
  <r>
    <n v="939"/>
    <n v="35"/>
    <n v="345"/>
    <n v="2"/>
    <n v="3450"/>
    <x v="312"/>
    <x v="11"/>
    <n v="91"/>
    <s v="Крупа"/>
    <n v="255.1162790697674"/>
    <n v="0.3523245214220601"/>
    <s v="Мистраль"/>
    <n v="250.3076923076923"/>
    <d v="2022-05-06T00:00:00"/>
    <x v="454"/>
  </r>
  <r>
    <n v="940"/>
    <n v="342"/>
    <n v="259"/>
    <n v="5"/>
    <n v="6475"/>
    <x v="6"/>
    <x v="9"/>
    <n v="380"/>
    <s v="Овощи"/>
    <n v="250.4878048780488"/>
    <n v="0.03398247322297943"/>
    <s v="Овощной ряд"/>
    <n v="303.8235294117647"/>
    <d v="2022-01-02T00:00:00"/>
    <x v="518"/>
  </r>
  <r>
    <n v="941"/>
    <n v="44"/>
    <n v="439"/>
    <n v="5"/>
    <n v="10975"/>
    <x v="297"/>
    <x v="6"/>
    <n v="469"/>
    <s v="Молоко"/>
    <n v="294.952380952381"/>
    <n v="0.4883758475944462"/>
    <s v="Беллакт"/>
    <n v="322.5454545454546"/>
    <d v="2022-04-08T00:00:00"/>
    <x v="446"/>
  </r>
  <r>
    <n v="942"/>
    <n v="128"/>
    <n v="246"/>
    <n v="4"/>
    <n v="4920"/>
    <x v="132"/>
    <x v="2"/>
    <n v="479"/>
    <s v="Мясо"/>
    <n v="271.7454545454545"/>
    <n v="-0.0947410678442393"/>
    <s v="Мираторг"/>
    <n v="316.5833333333333"/>
    <d v="2022-08-20T00:00:00"/>
    <x v="261"/>
  </r>
  <r>
    <n v="943"/>
    <n v="447"/>
    <n v="118"/>
    <n v="3"/>
    <n v="1770"/>
    <x v="209"/>
    <x v="8"/>
    <n v="9"/>
    <s v="Йогурт"/>
    <n v="263.2542372881356"/>
    <n v="-0.5517640999227401"/>
    <s v="Эрманн"/>
    <n v="248.5"/>
    <d v="2022-12-05T00:00:00"/>
    <x v="500"/>
  </r>
  <r>
    <n v="944"/>
    <n v="48"/>
    <n v="116"/>
    <n v="5"/>
    <n v="2900"/>
    <x v="393"/>
    <x v="17"/>
    <n v="477"/>
    <s v="Фрукты"/>
    <n v="274.1627906976744"/>
    <n v="-0.5768937144795996"/>
    <s v="Фруктовый Рай"/>
    <n v="258.3076923076923"/>
    <d v="2022-06-26T00:00:00"/>
    <x v="519"/>
  </r>
  <r>
    <n v="945"/>
    <n v="415"/>
    <n v="307"/>
    <n v="3"/>
    <n v="4605"/>
    <x v="89"/>
    <x v="18"/>
    <n v="498"/>
    <s v="Чипсы"/>
    <n v="273.7254901960785"/>
    <n v="0.1215616045845271"/>
    <s v="Pringles"/>
    <n v="280.2380952380952"/>
    <d v="2022-06-09T00:00:00"/>
    <x v="19"/>
  </r>
  <r>
    <n v="946"/>
    <n v="298"/>
    <n v="84"/>
    <n v="5"/>
    <n v="2100"/>
    <x v="165"/>
    <x v="2"/>
    <n v="93"/>
    <s v="Крупа"/>
    <n v="255.1162790697674"/>
    <n v="-0.6707383773928897"/>
    <s v="Увелка"/>
    <n v="251.9166666666667"/>
    <d v="2022-12-10T00:00:00"/>
    <x v="230"/>
  </r>
  <r>
    <n v="947"/>
    <n v="3"/>
    <n v="180"/>
    <n v="3"/>
    <n v="2700"/>
    <x v="431"/>
    <x v="10"/>
    <n v="200"/>
    <s v="Крупа"/>
    <n v="255.1162790697674"/>
    <n v="-0.2944393801276208"/>
    <s v="Ярмарка"/>
    <n v="252.0909090909091"/>
    <d v="2022-08-10T00:00:00"/>
    <x v="509"/>
  </r>
  <r>
    <n v="948"/>
    <n v="60"/>
    <n v="334"/>
    <n v="1"/>
    <n v="1670"/>
    <x v="41"/>
    <x v="17"/>
    <n v="381"/>
    <s v="Кофе"/>
    <n v="249.0238095238095"/>
    <n v="0.3412372119705518"/>
    <s v="Jacobs"/>
    <n v="276.2105263157895"/>
    <d v="2022-06-02T00:00:00"/>
    <x v="9"/>
  </r>
  <r>
    <n v="949"/>
    <n v="59"/>
    <n v="234"/>
    <n v="2"/>
    <n v="2340"/>
    <x v="422"/>
    <x v="6"/>
    <n v="18"/>
    <s v="Сахар"/>
    <n v="252.7627118644068"/>
    <n v="-0.07423053711526861"/>
    <s v="Продимекс"/>
    <n v="240.5"/>
    <d v="2022-01-17T00:00:00"/>
    <x v="520"/>
  </r>
  <r>
    <n v="950"/>
    <n v="119"/>
    <n v="426"/>
    <n v="1"/>
    <n v="2130"/>
    <x v="309"/>
    <x v="7"/>
    <n v="327"/>
    <s v="Печенье"/>
    <n v="283.468085106383"/>
    <n v="0.5028146813780678"/>
    <s v="КДВ"/>
    <n v="323.0769230769231"/>
    <d v="2022-01-04T00:00:00"/>
    <x v="456"/>
  </r>
  <r>
    <n v="951"/>
    <n v="199"/>
    <n v="494"/>
    <n v="1"/>
    <n v="2470"/>
    <x v="429"/>
    <x v="2"/>
    <n v="340"/>
    <s v="Макароны"/>
    <n v="265.4767441860465"/>
    <n v="0.8608032937672463"/>
    <s v="Борилла"/>
    <n v="236.2758620689655"/>
    <d v="2022-12-01T00:00:00"/>
    <x v="521"/>
  </r>
  <r>
    <n v="952"/>
    <n v="272"/>
    <n v="353"/>
    <n v="3"/>
    <n v="5295"/>
    <x v="63"/>
    <x v="15"/>
    <n v="490"/>
    <s v="Крупа"/>
    <n v="255.1162790697674"/>
    <n v="0.3836827711941659"/>
    <s v="Ярмарка"/>
    <n v="252.0909090909091"/>
    <d v="2022-02-11T00:00:00"/>
    <x v="386"/>
  </r>
  <r>
    <n v="953"/>
    <n v="386"/>
    <n v="288"/>
    <n v="2"/>
    <n v="2880"/>
    <x v="101"/>
    <x v="14"/>
    <n v="67"/>
    <s v="Крупа"/>
    <n v="255.1162790697674"/>
    <n v="0.1288969917958067"/>
    <s v="Увелка"/>
    <n v="251.9166666666667"/>
    <d v="2022-06-19T00:00:00"/>
    <x v="338"/>
  </r>
  <r>
    <n v="954"/>
    <n v="464"/>
    <n v="430"/>
    <n v="2"/>
    <n v="4300"/>
    <x v="359"/>
    <x v="18"/>
    <n v="132"/>
    <s v="Сыр"/>
    <n v="262.6349206349207"/>
    <n v="0.6372537169104313"/>
    <s v="Сырная долина"/>
    <n v="271"/>
    <d v="2022-02-09T00:00:00"/>
    <x v="87"/>
  </r>
  <r>
    <n v="955"/>
    <n v="494"/>
    <n v="471"/>
    <n v="5"/>
    <n v="11775"/>
    <x v="148"/>
    <x v="0"/>
    <n v="95"/>
    <s v="Сыр"/>
    <n v="262.6349206349207"/>
    <n v="0.7933639550344493"/>
    <s v="Сырная долина"/>
    <n v="271"/>
    <d v="2022-05-23T00:00:00"/>
    <x v="145"/>
  </r>
  <r>
    <n v="956"/>
    <n v="242"/>
    <n v="313"/>
    <n v="3"/>
    <n v="4695"/>
    <x v="432"/>
    <x v="17"/>
    <n v="75"/>
    <s v="Овощи"/>
    <n v="250.4878048780488"/>
    <n v="0.2495618305744887"/>
    <s v="Овощной ряд"/>
    <n v="303.8235294117647"/>
    <d v="2022-08-23T00:00:00"/>
    <x v="49"/>
  </r>
  <r>
    <n v="957"/>
    <n v="434"/>
    <n v="340"/>
    <n v="4"/>
    <n v="6800"/>
    <x v="420"/>
    <x v="9"/>
    <n v="419"/>
    <s v="Сыр"/>
    <n v="262.6349206349207"/>
    <n v="0.2945727063942947"/>
    <s v="Сырная долина"/>
    <n v="271"/>
    <d v="2022-11-04T00:00:00"/>
    <x v="522"/>
  </r>
  <r>
    <n v="958"/>
    <n v="110"/>
    <n v="148"/>
    <n v="2"/>
    <n v="1480"/>
    <x v="433"/>
    <x v="2"/>
    <n v="42"/>
    <s v="Макароны"/>
    <n v="265.4767441860465"/>
    <n v="-0.4425123735272217"/>
    <s v="Паста Зара"/>
    <n v="276.6756756756757"/>
    <d v="2022-08-10T00:00:00"/>
    <x v="298"/>
  </r>
  <r>
    <n v="959"/>
    <n v="168"/>
    <n v="391"/>
    <n v="2"/>
    <n v="3910"/>
    <x v="376"/>
    <x v="18"/>
    <n v="316"/>
    <s v="Крупа"/>
    <n v="255.1162790697674"/>
    <n v="0.5326344576116682"/>
    <s v="Ярмарка"/>
    <n v="252.0909090909091"/>
    <d v="2022-08-14T00:00:00"/>
    <x v="521"/>
  </r>
  <r>
    <n v="960"/>
    <n v="13"/>
    <n v="181"/>
    <n v="4"/>
    <n v="3620"/>
    <x v="48"/>
    <x v="15"/>
    <n v="117"/>
    <s v="Макароны"/>
    <n v="265.4767441860465"/>
    <n v="-0.3182077000569401"/>
    <s v="Паста Зара"/>
    <n v="276.6756756756757"/>
    <d v="2022-05-25T00:00:00"/>
    <x v="8"/>
  </r>
  <r>
    <n v="961"/>
    <n v="141"/>
    <n v="279"/>
    <n v="1"/>
    <n v="1395"/>
    <x v="371"/>
    <x v="2"/>
    <n v="243"/>
    <s v="Фрукты"/>
    <n v="274.1627906976744"/>
    <n v="0.01764356603613537"/>
    <s v="Фруктовый Рай"/>
    <n v="258.3076923076923"/>
    <d v="2022-04-30T00:00:00"/>
    <x v="405"/>
  </r>
  <r>
    <n v="962"/>
    <n v="120"/>
    <n v="229"/>
    <n v="5"/>
    <n v="5725"/>
    <x v="71"/>
    <x v="17"/>
    <n v="6"/>
    <s v="Хлеб"/>
    <n v="300.3181818181818"/>
    <n v="-0.2374754048736188"/>
    <s v="Дарница"/>
    <n v="264"/>
    <d v="2022-05-29T00:00:00"/>
    <x v="184"/>
  </r>
  <r>
    <n v="963"/>
    <n v="316"/>
    <n v="97"/>
    <n v="4"/>
    <n v="1940"/>
    <x v="261"/>
    <x v="9"/>
    <n v="283"/>
    <s v="Макароны"/>
    <n v="265.4767441860465"/>
    <n v="-0.6346195961631116"/>
    <s v="Борилла"/>
    <n v="236.2758620689655"/>
    <d v="2022-11-24T00:00:00"/>
    <x v="523"/>
  </r>
  <r>
    <n v="964"/>
    <n v="448"/>
    <n v="484"/>
    <n v="1"/>
    <n v="2420"/>
    <x v="316"/>
    <x v="2"/>
    <n v="404"/>
    <s v="Йогурт"/>
    <n v="263.2542372881356"/>
    <n v="0.8385269121813033"/>
    <s v="Ростагроэкспорт"/>
    <n v="257.7826086956522"/>
    <d v="2022-12-18T00:00:00"/>
    <x v="524"/>
  </r>
  <r>
    <n v="965"/>
    <n v="143"/>
    <n v="200"/>
    <n v="4"/>
    <n v="4000"/>
    <x v="68"/>
    <x v="0"/>
    <n v="379"/>
    <s v="Сахар"/>
    <n v="252.7627118644068"/>
    <n v="-0.2087440488164689"/>
    <s v="Агросахар"/>
    <n v="215.8571428571429"/>
    <d v="2022-01-20T00:00:00"/>
    <x v="392"/>
  </r>
  <r>
    <n v="966"/>
    <n v="168"/>
    <n v="206"/>
    <n v="4"/>
    <n v="4120"/>
    <x v="244"/>
    <x v="14"/>
    <n v="136"/>
    <s v="Крупа"/>
    <n v="255.1162790697674"/>
    <n v="-0.1925250683682771"/>
    <s v="Ярмарка"/>
    <n v="252.0909090909091"/>
    <d v="2022-10-26T00:00:00"/>
    <x v="525"/>
  </r>
  <r>
    <n v="967"/>
    <n v="435"/>
    <n v="116"/>
    <n v="4"/>
    <n v="2320"/>
    <x v="214"/>
    <x v="14"/>
    <n v="20"/>
    <s v="Мясо"/>
    <n v="271.7454545454545"/>
    <n v="-0.5731299344306169"/>
    <s v="Снежана"/>
    <n v="272.3529411764706"/>
    <d v="2022-05-10T00:00:00"/>
    <x v="346"/>
  </r>
  <r>
    <n v="968"/>
    <n v="375"/>
    <n v="212"/>
    <n v="3"/>
    <n v="3180"/>
    <x v="118"/>
    <x v="19"/>
    <n v="369"/>
    <s v="Макароны"/>
    <n v="265.4767441860465"/>
    <n v="-0.2014366431606149"/>
    <s v="Борилла"/>
    <n v="236.2758620689655"/>
    <d v="2022-04-27T00:00:00"/>
    <x v="526"/>
  </r>
  <r>
    <n v="969"/>
    <n v="416"/>
    <n v="202"/>
    <n v="4"/>
    <n v="4040"/>
    <x v="101"/>
    <x v="3"/>
    <n v="499"/>
    <s v="Рыба"/>
    <n v="258.5128205128205"/>
    <n v="-0.2186074191628644"/>
    <s v="Меридиан"/>
    <n v="260.6470588235294"/>
    <d v="2022-08-25T00:00:00"/>
    <x v="527"/>
  </r>
  <r>
    <n v="970"/>
    <n v="25"/>
    <n v="332"/>
    <n v="3"/>
    <n v="4980"/>
    <x v="75"/>
    <x v="9"/>
    <n v="153"/>
    <s v="Чипсы"/>
    <n v="273.7254901960785"/>
    <n v="0.2128939828080227"/>
    <s v="Русская картошка"/>
    <n v="241.8333333333333"/>
    <d v="2022-08-29T00:00:00"/>
    <x v="36"/>
  </r>
  <r>
    <n v="971"/>
    <n v="236"/>
    <n v="420"/>
    <n v="5"/>
    <n v="10500"/>
    <x v="117"/>
    <x v="10"/>
    <n v="34"/>
    <s v="Печенье"/>
    <n v="283.468085106383"/>
    <n v="0.4816482774149966"/>
    <s v="Посиделкино"/>
    <n v="321.6363636363636"/>
    <d v="2022-04-03T00:00:00"/>
    <x v="121"/>
  </r>
  <r>
    <n v="972"/>
    <n v="418"/>
    <n v="139"/>
    <n v="2"/>
    <n v="1390"/>
    <x v="408"/>
    <x v="17"/>
    <n v="337"/>
    <s v="Фрукты"/>
    <n v="274.1627906976744"/>
    <n v="-0.4930019509712444"/>
    <s v="Green Garden"/>
    <n v="369.2"/>
    <d v="2022-11-10T00:00:00"/>
    <x v="460"/>
  </r>
  <r>
    <n v="973"/>
    <n v="141"/>
    <n v="112"/>
    <n v="4"/>
    <n v="2240"/>
    <x v="9"/>
    <x v="13"/>
    <n v="200"/>
    <s v="Фрукты"/>
    <n v="274.1627906976744"/>
    <n v="-0.5914835863940962"/>
    <s v="Фруктовый Рай"/>
    <n v="258.3076923076923"/>
    <d v="2022-08-10T00:00:00"/>
    <x v="147"/>
  </r>
  <r>
    <n v="974"/>
    <n v="294"/>
    <n v="485"/>
    <n v="3"/>
    <n v="7275"/>
    <x v="333"/>
    <x v="18"/>
    <n v="8"/>
    <s v="Сок"/>
    <n v="268.6034482758621"/>
    <n v="0.8056357917709736"/>
    <s v="Фруктовый сад"/>
    <n v="281.96875"/>
    <d v="2022-11-18T00:00:00"/>
    <x v="395"/>
  </r>
  <r>
    <n v="975"/>
    <n v="497"/>
    <n v="120"/>
    <n v="1"/>
    <n v="600"/>
    <x v="328"/>
    <x v="14"/>
    <n v="280"/>
    <s v="Конфеты"/>
    <n v="267.8548387096774"/>
    <n v="-0.5519961462034082"/>
    <s v="Бабаевский"/>
    <n v="250.2592592592593"/>
    <d v="2022-01-02T00:00:00"/>
    <x v="28"/>
  </r>
  <r>
    <n v="976"/>
    <n v="359"/>
    <n v="359"/>
    <n v="4"/>
    <n v="7180"/>
    <x v="320"/>
    <x v="5"/>
    <n v="94"/>
    <s v="Мясо"/>
    <n v="271.7454545454545"/>
    <n v="0.3210892546500737"/>
    <s v="Мираторг"/>
    <n v="316.5833333333333"/>
    <d v="2022-06-11T00:00:00"/>
    <x v="74"/>
  </r>
  <r>
    <n v="977"/>
    <n v="175"/>
    <n v="198"/>
    <n v="3"/>
    <n v="2970"/>
    <x v="279"/>
    <x v="3"/>
    <n v="331"/>
    <s v="Овощи"/>
    <n v="250.4878048780488"/>
    <n v="-0.2095423563777995"/>
    <s v="Семко"/>
    <n v="208"/>
    <d v="2022-09-09T00:00:00"/>
    <x v="528"/>
  </r>
  <r>
    <n v="978"/>
    <n v="236"/>
    <n v="363"/>
    <n v="4"/>
    <n v="7260"/>
    <x v="233"/>
    <x v="1"/>
    <n v="405"/>
    <s v="Печенье"/>
    <n v="283.468085106383"/>
    <n v="0.2805674397658184"/>
    <s v="Посиделкино"/>
    <n v="321.6363636363636"/>
    <d v="2022-08-25T00:00:00"/>
    <x v="111"/>
  </r>
  <r>
    <n v="979"/>
    <n v="195"/>
    <n v="103"/>
    <n v="1"/>
    <n v="515"/>
    <x v="32"/>
    <x v="7"/>
    <n v="42"/>
    <s v="Хлеб"/>
    <n v="300.3181818181818"/>
    <n v="-0.6570304222794006"/>
    <s v="Каравай"/>
    <n v="331.1666666666667"/>
    <d v="2022-08-10T00:00:00"/>
    <x v="529"/>
  </r>
  <r>
    <n v="980"/>
    <n v="364"/>
    <n v="401"/>
    <n v="2"/>
    <n v="4010"/>
    <x v="138"/>
    <x v="17"/>
    <n v="271"/>
    <s v="Сахар"/>
    <n v="252.7627118644068"/>
    <n v="0.58646818212298"/>
    <s v="Русский сахар"/>
    <n v="293.4117647058824"/>
    <d v="2022-11-27T00:00:00"/>
    <x v="240"/>
  </r>
  <r>
    <n v="981"/>
    <n v="347"/>
    <n v="139"/>
    <n v="1"/>
    <n v="695"/>
    <x v="356"/>
    <x v="13"/>
    <n v="56"/>
    <s v="Макароны"/>
    <n v="265.4767441860465"/>
    <n v="-0.4764136481100258"/>
    <s v="Паста Зара"/>
    <n v="276.6756756756757"/>
    <d v="2022-04-11T00:00:00"/>
    <x v="316"/>
  </r>
  <r>
    <n v="982"/>
    <n v="149"/>
    <n v="468"/>
    <n v="1"/>
    <n v="2340"/>
    <x v="288"/>
    <x v="2"/>
    <n v="427"/>
    <s v="Конфеты"/>
    <n v="267.8548387096774"/>
    <n v="0.747215029806708"/>
    <s v="Бабаевский"/>
    <n v="250.2592592592593"/>
    <d v="2022-09-30T00:00:00"/>
    <x v="361"/>
  </r>
  <r>
    <n v="983"/>
    <n v="384"/>
    <n v="100"/>
    <n v="4"/>
    <n v="2000"/>
    <x v="356"/>
    <x v="3"/>
    <n v="323"/>
    <s v="Сахар"/>
    <n v="252.7627118644068"/>
    <n v="-0.6043720244082345"/>
    <s v="Сладов"/>
    <n v="240.2666666666667"/>
    <d v="2022-09-17T00:00:00"/>
    <x v="409"/>
  </r>
  <r>
    <n v="984"/>
    <n v="404"/>
    <n v="304"/>
    <n v="5"/>
    <n v="7600"/>
    <x v="370"/>
    <x v="3"/>
    <n v="17"/>
    <s v="Йогурт"/>
    <n v="263.2542372881356"/>
    <n v="0.1547772340973474"/>
    <s v="Ростагроэкспорт"/>
    <n v="257.7826086956522"/>
    <d v="2022-11-12T00:00:00"/>
    <x v="325"/>
  </r>
  <r>
    <n v="985"/>
    <n v="469"/>
    <n v="357"/>
    <n v="4"/>
    <n v="7140"/>
    <x v="288"/>
    <x v="16"/>
    <n v="165"/>
    <s v="Сахар"/>
    <n v="252.7627118644068"/>
    <n v="0.412391872862603"/>
    <s v="Сладов"/>
    <n v="240.2666666666667"/>
    <d v="2022-02-07T00:00:00"/>
    <x v="530"/>
  </r>
  <r>
    <n v="986"/>
    <n v="134"/>
    <n v="89"/>
    <n v="5"/>
    <n v="2225"/>
    <x v="172"/>
    <x v="19"/>
    <n v="403"/>
    <s v="Рыба"/>
    <n v="258.5128205128205"/>
    <n v="-0.6557230708192818"/>
    <s v="Меридиан"/>
    <n v="260.6470588235294"/>
    <d v="2022-02-02T00:00:00"/>
    <x v="221"/>
  </r>
  <r>
    <n v="987"/>
    <n v="361"/>
    <n v="283"/>
    <n v="5"/>
    <n v="7075"/>
    <x v="13"/>
    <x v="0"/>
    <n v="274"/>
    <s v="Мясо"/>
    <n v="271.7454545454545"/>
    <n v="0.04141576341496056"/>
    <s v="Сава"/>
    <n v="212.8125"/>
    <d v="2022-02-15T00:00:00"/>
    <x v="351"/>
  </r>
  <r>
    <n v="988"/>
    <n v="110"/>
    <n v="280"/>
    <n v="3"/>
    <n v="4200"/>
    <x v="329"/>
    <x v="9"/>
    <n v="61"/>
    <s v="Макароны"/>
    <n v="265.4767441860465"/>
    <n v="0.05470632035390466"/>
    <s v="Паста Зара"/>
    <n v="276.6756756756757"/>
    <d v="2022-07-27T00:00:00"/>
    <x v="99"/>
  </r>
  <r>
    <n v="989"/>
    <n v="280"/>
    <n v="459"/>
    <n v="4"/>
    <n v="9180"/>
    <x v="434"/>
    <x v="11"/>
    <n v="262"/>
    <s v="Сыр"/>
    <n v="262.6349206349207"/>
    <n v="0.7476731536322976"/>
    <s v="President"/>
    <n v="238.7222222222222"/>
    <d v="2022-08-05T00:00:00"/>
    <x v="30"/>
  </r>
  <r>
    <n v="990"/>
    <n v="43"/>
    <n v="244"/>
    <n v="4"/>
    <n v="4880"/>
    <x v="221"/>
    <x v="14"/>
    <n v="323"/>
    <s v="Печенье"/>
    <n v="283.468085106383"/>
    <n v="-0.1392329055017639"/>
    <s v="КДВ"/>
    <n v="323.0769230769231"/>
    <d v="2022-09-17T00:00:00"/>
    <x v="350"/>
  </r>
  <r>
    <n v="991"/>
    <n v="434"/>
    <n v="299"/>
    <n v="2"/>
    <n v="2990"/>
    <x v="389"/>
    <x v="15"/>
    <n v="481"/>
    <s v="Сыр"/>
    <n v="262.6349206349207"/>
    <n v="0.1384624682702766"/>
    <s v="Сырная долина"/>
    <n v="271"/>
    <d v="2022-07-14T00:00:00"/>
    <x v="524"/>
  </r>
  <r>
    <n v="992"/>
    <n v="183"/>
    <n v="73"/>
    <n v="5"/>
    <n v="1825"/>
    <x v="321"/>
    <x v="13"/>
    <n v="478"/>
    <s v="Конфеты"/>
    <n v="267.8548387096774"/>
    <n v="-0.72746432227374"/>
    <s v="Бабаевский"/>
    <n v="250.2592592592593"/>
    <d v="2022-06-14T00:00:00"/>
    <x v="418"/>
  </r>
  <r>
    <n v="993"/>
    <n v="224"/>
    <n v="421"/>
    <n v="3"/>
    <n v="6315"/>
    <x v="411"/>
    <x v="11"/>
    <n v="497"/>
    <s v="Чипсы"/>
    <n v="273.7254901960785"/>
    <n v="0.5380372492836676"/>
    <s v="Pringles"/>
    <n v="280.2380952380952"/>
    <d v="2022-09-22T00:00:00"/>
    <x v="531"/>
  </r>
  <r>
    <n v="994"/>
    <n v="235"/>
    <n v="345"/>
    <n v="3"/>
    <n v="5175"/>
    <x v="316"/>
    <x v="0"/>
    <n v="406"/>
    <s v="Хлеб"/>
    <n v="300.3181818181818"/>
    <n v="0.1487815952777358"/>
    <s v="Русский Хлеб"/>
    <n v="316.6"/>
    <d v="2022-11-30T00:00:00"/>
    <x v="252"/>
  </r>
  <r>
    <n v="995"/>
    <n v="477"/>
    <n v="50"/>
    <n v="1"/>
    <n v="250"/>
    <x v="279"/>
    <x v="7"/>
    <n v="58"/>
    <s v="Макароны"/>
    <n v="265.4767441860465"/>
    <n v="-0.8116595856510884"/>
    <s v="Борилла"/>
    <n v="236.2758620689655"/>
    <d v="2022-03-08T00:00:00"/>
    <x v="261"/>
  </r>
  <r>
    <n v="996"/>
    <n v="242"/>
    <n v="441"/>
    <n v="1"/>
    <n v="2205"/>
    <x v="59"/>
    <x v="17"/>
    <n v="312"/>
    <s v="Овощи"/>
    <n v="250.4878048780488"/>
    <n v="0.7605647517039922"/>
    <s v="Овощной ряд"/>
    <n v="303.8235294117647"/>
    <d v="2022-11-21T00:00:00"/>
    <x v="532"/>
  </r>
  <r>
    <n v="997"/>
    <n v="423"/>
    <n v="187"/>
    <n v="5"/>
    <n v="4675"/>
    <x v="319"/>
    <x v="0"/>
    <n v="136"/>
    <s v="Чипсы"/>
    <n v="273.7254901960785"/>
    <n v="-0.3168338108882522"/>
    <s v="Pringles"/>
    <n v="280.2380952380952"/>
    <d v="2022-10-26T00:00:00"/>
    <x v="421"/>
  </r>
  <r>
    <n v="998"/>
    <n v="414"/>
    <n v="170"/>
    <n v="1"/>
    <n v="850"/>
    <x v="435"/>
    <x v="4"/>
    <n v="328"/>
    <s v="Фрукты"/>
    <n v="274.1627906976744"/>
    <n v="-0.3799304436338961"/>
    <s v="Экзотик"/>
    <n v="253.6875"/>
    <d v="2022-01-07T00:00:00"/>
    <x v="533"/>
  </r>
  <r>
    <n v="999"/>
    <n v="110"/>
    <n v="114"/>
    <n v="3"/>
    <n v="1710"/>
    <x v="133"/>
    <x v="14"/>
    <n v="172"/>
    <s v="Макароны"/>
    <n v="265.4767441860465"/>
    <n v="-0.5705838552844816"/>
    <s v="Паста Зара"/>
    <n v="276.6756756756757"/>
    <d v="2022-06-25T00:00:00"/>
    <x v="329"/>
  </r>
  <r>
    <n v="1000"/>
    <n v="296"/>
    <n v="453"/>
    <n v="1"/>
    <n v="2265"/>
    <x v="176"/>
    <x v="7"/>
    <n v="167"/>
    <s v="Крупа"/>
    <n v="255.1162790697674"/>
    <n v="0.7756608933454876"/>
    <s v="Мистраль"/>
    <n v="250.3076923076923"/>
    <d v="2022-01-02T00:00:00"/>
    <x v="5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1" cacheId="4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3">
  <location ref="A3:B22" firstHeaderRow="1" firstDataRow="1" firstDataCol="1" rowPageCount="1" colPageCount="1"/>
  <pivotFields count="18"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numFmtId="164" showAll="0" defaultSubtotal="0">
      <items count="436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</items>
    </pivotField>
    <pivotField axis="axisPage" multipleItemSelectionAllowed="1" showAll="0" defaultSubtotal="0">
      <items count="20">
        <item x="19"/>
        <item h="1" x="15"/>
        <item h="1" x="18"/>
        <item h="1" x="12"/>
        <item h="1" x="0"/>
        <item h="1" x="3"/>
        <item h="1" x="9"/>
        <item h="1" x="2"/>
        <item h="1" x="1"/>
        <item h="1" x="5"/>
        <item h="1" x="10"/>
        <item h="1" x="16"/>
        <item h="1" x="11"/>
        <item h="1" x="6"/>
        <item h="1" x="7"/>
        <item h="1" x="14"/>
        <item h="1" x="8"/>
        <item h="1" x="13"/>
        <item h="1" x="17"/>
        <item h="1" x="4"/>
      </items>
    </pivotField>
    <pivotField showAll="0" defaultSubtotal="0"/>
    <pivotField showAll="0" defaultSubtotal="0"/>
    <pivotField numFmtId="5" showAll="0" defaultSubtotal="0"/>
    <pivotField numFmtId="9" showAll="0" defaultSubtotal="0"/>
    <pivotField showAll="0" defaultSubtotal="0"/>
    <pivotField subtotalTop="0" showAll="0" defaultSubtotal="0"/>
    <pivotField numFmtId="14" subtotalTop="0" showAll="0" defaultSubtotal="0"/>
    <pivotField subtotalTop="0"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2">
    <field x="17"/>
    <field x="15"/>
  </rowFields>
  <rowItems count="1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</rowItems>
  <colItems count="1">
    <i/>
  </colItems>
  <pageFields count="1">
    <pageField fld="6" hier="-1"/>
  </pageFields>
  <dataFields count="1">
    <dataField name="Сумма по полю сумма чека" fld="4" baseField="0" baseItem="0"/>
  </dataFields>
  <formats count="4">
    <format dxfId="20">
      <pivotArea collapsedLevelsAreSubtotals="1" fieldPosition="0">
        <references count="1">
          <reference field="17" count="1">
            <x v="1"/>
          </reference>
        </references>
      </pivotArea>
    </format>
    <format dxfId="19">
      <pivotArea collapsedLevelsAreSubtotals="1" fieldPosition="0">
        <references count="2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18">
      <pivotArea collapsedLevelsAreSubtotals="1" fieldPosition="0">
        <references count="1">
          <reference field="17" count="1">
            <x v="2"/>
          </reference>
        </references>
      </pivotArea>
    </format>
    <format dxfId="17">
      <pivotArea collapsedLevelsAreSubtotals="1" fieldPosition="0">
        <references count="2">
          <reference field="15" count="5">
            <x v="1"/>
            <x v="2"/>
            <x v="3"/>
            <x v="4"/>
            <x v="5"/>
          </reference>
          <reference field="17" count="1" selected="0">
            <x v="2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Сводная таблица22" cacheId="4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2">
  <location ref="A3:B23" firstHeaderRow="1" firstDataRow="1" firstDataCol="1"/>
  <pivotFields count="18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5" showAll="0"/>
    <pivotField dataField="1" numFmtId="9"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Среднее по полю Выгода для клиента" fld="10" subtotal="average" baseField="0" baseItem="0" numFmtId="9"/>
  </dataFields>
  <formats count="1">
    <format dxfId="1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Сводная таблица23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Продуктовая сеть">
  <location ref="A3:B24" firstHeaderRow="1" firstDataRow="1" firstDataCol="1"/>
  <pivotFields count="18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5" showAll="0"/>
    <pivotField numFmtId="9" showAll="0"/>
    <pivotField showAll="0"/>
    <pivotField showAll="0"/>
    <pivotField numFmtId="1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0" baseItem="0"/>
  </dataFields>
  <formats count="2">
    <format dxfId="15">
      <pivotArea collapsedLevelsAreSubtotals="1" fieldPosition="0">
        <references count="1">
          <reference field="6" count="0"/>
        </references>
      </pivotArea>
    </format>
    <format dxfId="14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Сводная таблица24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7">
    <pivotField dataField="1" showAll="0"/>
    <pivotField showAll="0"/>
    <pivotField showAll="0"/>
    <pivotField showAll="0"/>
    <pivotField numFmtId="164" showAll="0"/>
    <pivotField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Количество по полю id клиента" fld="0" subtotal="count" baseField="0" baseItem="0"/>
  </dataFields>
  <formats count="1">
    <format dxfId="10">
      <pivotArea collapsedLevelsAreSubtotals="1" fieldPosition="0">
        <references count="1">
          <reference field="6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Продажи" displayName="Продажи" ref="A1:O1001" totalsRowShown="0" headerRowDxfId="31" headerRowBorderDxfId="30" tableBorderDxfId="29">
  <autoFilter ref="A1:O1001" xr:uid="{00000000-0009-0000-0100-000001000000}"/>
  <tableColumns count="15">
    <tableColumn id="1" xr3:uid="{00000000-0010-0000-0000-000001000000}" name="id чека"/>
    <tableColumn id="2" xr3:uid="{00000000-0010-0000-0000-000002000000}" name="id товара"/>
    <tableColumn id="3" xr3:uid="{00000000-0010-0000-0000-000003000000}" name="цена за шт в рублях"/>
    <tableColumn id="4" xr3:uid="{00000000-0010-0000-0000-000004000000}" name="кол-во штук в чеке"/>
    <tableColumn id="13" xr3:uid="{00000000-0010-0000-0000-00000D000000}" name="Сумма чека" dataDxfId="28">
      <calculatedColumnFormula>C2*D2</calculatedColumnFormula>
    </tableColumn>
    <tableColumn id="6" xr3:uid="{00000000-0010-0000-0000-000006000000}" name="дата создания чека" dataDxfId="27"/>
    <tableColumn id="7" xr3:uid="{00000000-0010-0000-0000-000007000000}" name="магазин покупки"/>
    <tableColumn id="8" xr3:uid="{00000000-0010-0000-0000-000008000000}" name="id клиента"/>
    <tableColumn id="9" xr3:uid="{00000000-0010-0000-0000-000009000000}" name="Категория товара" dataDxfId="26">
      <calculatedColumnFormula>VLOOKUP(B2,товар!$A$1:$C$433,2,FALSE)</calculatedColumnFormula>
    </tableColumn>
    <tableColumn id="12" xr3:uid="{00000000-0010-0000-0000-00000C000000}" name="Средняя цена в категории за шт" dataDxfId="25">
      <calculatedColumnFormula>AVERAGEIF($I$2:$I$1001,I2,$C$2:$C$1001)</calculatedColumnFormula>
    </tableColumn>
    <tableColumn id="11" xr3:uid="{00000000-0010-0000-0000-00000B000000}" name="Выгода для клиента" dataCellStyle="Процентный">
      <calculatedColumnFormula>C2/J2-1</calculatedColumnFormula>
    </tableColumn>
    <tableColumn id="10" xr3:uid="{00000000-0010-0000-0000-00000A000000}" name="Поставщик товара" dataDxfId="24">
      <calculatedColumnFormula>VLOOKUP(B2,товар!$A$1:$C$433,3,FALSE)</calculatedColumnFormula>
    </tableColumn>
    <tableColumn id="15" xr3:uid="{00000000-0010-0000-0000-00000F000000}" name="Средняя стоимость в категории по поставщику" dataDxfId="23">
      <calculatedColumnFormula>AVERAGEIFS($C$2:$C$1001,$I$2:$I$1001,I2,$L$2:$L$1001,L2)</calculatedColumnFormula>
    </tableColumn>
    <tableColumn id="16" xr3:uid="{00000000-0010-0000-0000-000010000000}" name="Дата регистрации клиента" dataDxfId="22">
      <calculatedColumnFormula>VLOOKUP(H2,клиенты!$A$1:$G$435,5,FALSE)</calculatedColumnFormula>
    </tableColumn>
    <tableColumn id="17" xr3:uid="{00000000-0010-0000-0000-000011000000}" name="Кол-во дней с момента регистрации" dataDxfId="21">
      <calculatedColumnFormula>F2-N2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овары" displayName="Товары" ref="A1:C433" totalsRowShown="0" headerRowDxfId="13" headerRowBorderDxfId="12" tableBorderDxfId="11">
  <autoFilter ref="A1:C433" xr:uid="{00000000-0009-0000-0100-000002000000}"/>
  <tableColumns count="3">
    <tableColumn id="1" xr3:uid="{00000000-0010-0000-0100-000001000000}" name="id товара"/>
    <tableColumn id="2" xr3:uid="{00000000-0010-0000-0100-000002000000}" name="категория товара"/>
    <tableColumn id="3" xr3:uid="{00000000-0010-0000-0100-000003000000}" name="поставщик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upplierSummary" displayName="ProductSupplierSummary" ref="E1:F16">
  <autoFilter ref="E1:F16" xr:uid="{00000000-0009-0000-0100-000003000000}"/>
  <tableColumns count="2">
    <tableColumn id="5" xr3:uid="{00000000-0010-0000-0200-000005000000}" name="Категория — поставщик"/>
    <tableColumn id="6" xr3:uid="{00000000-0010-0000-0200-000006000000}" name="Количество товаров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Клиенты" displayName="Клиенты" ref="A1:J435" totalsRowShown="0" headerRowDxfId="9" headerRowBorderDxfId="8" tableBorderDxfId="7">
  <autoFilter ref="A1:J435" xr:uid="{00000000-0009-0000-0100-000004000000}"/>
  <tableColumns count="10">
    <tableColumn id="1" xr3:uid="{00000000-0010-0000-0300-000001000000}" name="id клиента"/>
    <tableColumn id="2" xr3:uid="{00000000-0010-0000-0300-000002000000}" name="номер телефона клиента"/>
    <tableColumn id="3" xr3:uid="{00000000-0010-0000-0300-000003000000}" name="ФИО"/>
    <tableColumn id="4" xr3:uid="{00000000-0010-0000-0300-000004000000}" name="Программа лояльности клиента"/>
    <tableColumn id="5" xr3:uid="{00000000-0010-0000-0300-000005000000}" name="Дата регистрации клиента" dataDxfId="6"/>
    <tableColumn id="6" xr3:uid="{00000000-0010-0000-0300-000006000000}" name="Коды телефона" dataDxfId="5">
      <calculatedColumnFormula>LEFT(B2,LEN(B2) - 13)</calculatedColumnFormula>
    </tableColumn>
    <tableColumn id="9" xr3:uid="{00000000-0010-0000-0300-000009000000}" name="Страна клиента" dataDxfId="4">
      <calculatedColumnFormula>_xlfn.XLOOKUP(F2,'коды стран'!$B$2:$B$7,'коды стран'!$A$2:$A$7,"Не найдено",0)</calculatedColumnFormula>
    </tableColumn>
    <tableColumn id="10" xr3:uid="{00000000-0010-0000-0300-00000A000000}" name="Имя" dataDxfId="3"/>
    <tableColumn id="11" xr3:uid="{00000000-0010-0000-0300-00000B000000}" name="Фамилия"/>
    <tableColumn id="12" xr3:uid="{00000000-0010-0000-0300-00000C000000}" name="Отчество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ientsCountrySummary" displayName="ClientsCountrySummary" ref="L1:M6">
  <autoFilter ref="L1:M6" xr:uid="{00000000-0009-0000-0100-000005000000}"/>
  <tableColumns count="2">
    <tableColumn id="12" xr3:uid="{00000000-0010-0000-0400-00000C000000}" name="Страна клиента"/>
    <tableColumn id="13" xr3:uid="{00000000-0010-0000-0400-00000D000000}" name="Количество клиентов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ientsLoyaltySummary" displayName="ClientsLoyaltySummary" ref="L12:M14">
  <autoFilter ref="L12:M14" xr:uid="{00000000-0009-0000-0100-000006000000}"/>
  <tableColumns count="2">
    <tableColumn id="12" xr3:uid="{00000000-0010-0000-0500-00000C000000}" name="Лояльность"/>
    <tableColumn id="13" xr3:uid="{00000000-0010-0000-0500-00000D000000}" name="Количество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Таблица5" displayName="Таблица5" ref="A1:B7" totalsRowShown="0" headerRowDxfId="2" headerRowBorderDxfId="1" tableBorderDxfId="0">
  <autoFilter ref="A1:B7" xr:uid="{00000000-0009-0000-0100-000007000000}"/>
  <tableColumns count="2">
    <tableColumn id="1" xr3:uid="{00000000-0010-0000-0600-000001000000}" name="Страна"/>
    <tableColumn id="2" xr3:uid="{00000000-0010-0000-0600-000002000000}" name="Код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shProductSupplier" displayName="DashProductSupplier" ref="A4:B19">
  <autoFilter ref="A4:B19" xr:uid="{00000000-0009-0000-0100-000009000000}"/>
  <tableColumns count="2">
    <tableColumn id="1" xr3:uid="{00000000-0010-0000-0800-000001000000}" name="Категория — поставщик"/>
    <tableColumn id="2" xr3:uid="{00000000-0010-0000-0800-000002000000}" name="Количество товаров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shClientsCountry" displayName="DashClientsCountry" ref="A23:B28">
  <autoFilter ref="A23:B28" xr:uid="{00000000-0009-0000-0100-00000A000000}"/>
  <tableColumns count="2">
    <tableColumn id="1" xr3:uid="{00000000-0010-0000-0900-000001000000}" name="Страна клиента"/>
    <tableColumn id="2" xr3:uid="{00000000-0010-0000-0900-000002000000}" name="Количество клиентов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shClientsLoyalty" displayName="DashClientsLoyalty" ref="J23:K25">
  <autoFilter ref="J23:K25" xr:uid="{00000000-0009-0000-0100-00000B000000}"/>
  <tableColumns count="2">
    <tableColumn id="10" xr3:uid="{00000000-0010-0000-0A00-00000A000000}" name="Лояльность"/>
    <tableColumn id="11" xr3:uid="{00000000-0010-0000-0A00-00000B000000}" name="Количество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shCountryCodes" displayName="DashCountryCodes" ref="A40:C46">
  <autoFilter ref="A40:C46" xr:uid="{00000000-0009-0000-0100-00000C000000}"/>
  <tableColumns count="3">
    <tableColumn id="1" xr3:uid="{00000000-0010-0000-0B00-000001000000}" name="Страна"/>
    <tableColumn id="2" xr3:uid="{00000000-0010-0000-0B00-000002000000}" name="Код"/>
    <tableColumn id="3" xr3:uid="{00000000-0010-0000-0B00-000003000000}" name="Количество клиен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32"/>
  <sheetViews>
    <sheetView showGridLines="0" workbookViewId="0">
      <selection activeCell="F16" sqref="F16"/>
    </sheetView>
  </sheetViews>
  <sheetFormatPr defaultColWidth="10.77734375" defaultRowHeight="15.6" x14ac:dyDescent="0.3"/>
  <cols>
    <col min="1" max="1" width="10.77734375" style="1" customWidth="1"/>
    <col min="2" max="2" width="5.33203125" style="1" customWidth="1"/>
    <col min="3" max="3" width="61" style="1" customWidth="1"/>
    <col min="4" max="4" width="3.33203125" style="1" bestFit="1" customWidth="1"/>
    <col min="5" max="5" width="48.109375" style="1" bestFit="1" customWidth="1"/>
    <col min="6" max="6" width="30" style="1" customWidth="1"/>
    <col min="7" max="7" width="13.44140625" style="1" bestFit="1" customWidth="1"/>
    <col min="8" max="8" width="57.33203125" style="1" bestFit="1" customWidth="1"/>
    <col min="9" max="9" width="54.6640625" style="1" customWidth="1"/>
    <col min="10" max="10" width="46.109375" style="1" bestFit="1" customWidth="1"/>
    <col min="11" max="12" width="10.77734375" style="1" customWidth="1"/>
    <col min="13" max="13" width="56.6640625" style="1" bestFit="1" customWidth="1"/>
    <col min="14" max="14" width="35.44140625" style="1" bestFit="1" customWidth="1"/>
    <col min="15" max="17" width="10.77734375" style="1" customWidth="1"/>
    <col min="18" max="18" width="25.6640625" style="1" bestFit="1" customWidth="1"/>
    <col min="19" max="19" width="10.77734375" style="1" customWidth="1"/>
    <col min="20" max="16384" width="10.77734375" style="1"/>
  </cols>
  <sheetData>
    <row r="2" spans="3:13" ht="16.2" customHeight="1" thickBot="1" x14ac:dyDescent="0.35"/>
    <row r="3" spans="3:13" ht="21.6" customHeight="1" thickBot="1" x14ac:dyDescent="0.45">
      <c r="C3" s="17" t="s">
        <v>35</v>
      </c>
    </row>
    <row r="4" spans="3:13" ht="18" customHeight="1" x14ac:dyDescent="0.35">
      <c r="C4" s="18" t="s">
        <v>36</v>
      </c>
    </row>
    <row r="5" spans="3:13" ht="16.2" customHeight="1" thickBot="1" x14ac:dyDescent="0.35"/>
    <row r="6" spans="3:13" x14ac:dyDescent="0.3">
      <c r="C6" s="10" t="s">
        <v>37</v>
      </c>
      <c r="D6" s="10" t="s">
        <v>38</v>
      </c>
      <c r="E6" s="10" t="s">
        <v>39</v>
      </c>
      <c r="F6" s="14" t="s">
        <v>40</v>
      </c>
      <c r="G6" s="3"/>
      <c r="I6" s="3"/>
      <c r="J6" s="3"/>
    </row>
    <row r="7" spans="3:13" x14ac:dyDescent="0.3">
      <c r="C7" s="11" t="s">
        <v>41</v>
      </c>
      <c r="D7" s="11">
        <v>1</v>
      </c>
      <c r="E7" s="11" t="s">
        <v>42</v>
      </c>
      <c r="F7" s="15"/>
      <c r="G7" s="6"/>
    </row>
    <row r="8" spans="3:13" x14ac:dyDescent="0.3">
      <c r="C8" s="8"/>
      <c r="D8" s="8">
        <v>2</v>
      </c>
      <c r="E8" s="8" t="s">
        <v>43</v>
      </c>
      <c r="F8" s="15"/>
      <c r="G8" s="6"/>
    </row>
    <row r="9" spans="3:13" x14ac:dyDescent="0.3">
      <c r="C9" s="9"/>
      <c r="D9" s="9">
        <v>3</v>
      </c>
      <c r="E9" s="9" t="s">
        <v>44</v>
      </c>
      <c r="F9" s="15"/>
      <c r="G9" s="6"/>
    </row>
    <row r="10" spans="3:13" x14ac:dyDescent="0.3">
      <c r="C10" s="11" t="s">
        <v>45</v>
      </c>
      <c r="D10" s="11">
        <v>4</v>
      </c>
      <c r="E10" s="7" t="s">
        <v>46</v>
      </c>
      <c r="F10" s="15"/>
      <c r="G10" s="6"/>
    </row>
    <row r="11" spans="3:13" x14ac:dyDescent="0.3">
      <c r="C11" s="9"/>
      <c r="D11" s="9">
        <v>5</v>
      </c>
      <c r="E11" s="12" t="s">
        <v>47</v>
      </c>
      <c r="F11" s="15"/>
      <c r="G11" s="6"/>
      <c r="J11" s="3"/>
    </row>
    <row r="12" spans="3:13" x14ac:dyDescent="0.3">
      <c r="C12" s="11" t="s">
        <v>48</v>
      </c>
      <c r="D12" s="11">
        <v>6</v>
      </c>
      <c r="E12" s="7" t="s">
        <v>49</v>
      </c>
      <c r="F12" s="15"/>
      <c r="G12" s="6"/>
      <c r="J12" s="3"/>
    </row>
    <row r="13" spans="3:13" x14ac:dyDescent="0.3">
      <c r="C13" s="9"/>
      <c r="D13" s="9">
        <v>7</v>
      </c>
      <c r="E13" s="12" t="s">
        <v>50</v>
      </c>
      <c r="F13" s="15"/>
      <c r="G13" s="6"/>
      <c r="J13" s="3"/>
    </row>
    <row r="14" spans="3:13" x14ac:dyDescent="0.3">
      <c r="C14" s="8" t="s">
        <v>51</v>
      </c>
      <c r="D14" s="8">
        <v>8</v>
      </c>
      <c r="E14" s="8" t="s">
        <v>52</v>
      </c>
      <c r="F14" s="15"/>
      <c r="G14" s="6"/>
      <c r="J14" s="3"/>
      <c r="M14" s="3"/>
    </row>
    <row r="15" spans="3:13" x14ac:dyDescent="0.3">
      <c r="C15" s="8"/>
      <c r="D15" s="8">
        <v>9</v>
      </c>
      <c r="E15" s="13" t="s">
        <v>53</v>
      </c>
      <c r="F15" s="15"/>
      <c r="G15" s="6"/>
      <c r="J15" s="3"/>
      <c r="M15" s="3"/>
    </row>
    <row r="16" spans="3:13" x14ac:dyDescent="0.3">
      <c r="C16" s="8"/>
      <c r="D16" s="8">
        <v>10</v>
      </c>
      <c r="E16" s="8" t="s">
        <v>54</v>
      </c>
      <c r="F16" s="15"/>
      <c r="G16" s="6"/>
      <c r="H16" s="3"/>
      <c r="J16" s="3"/>
      <c r="M16" s="3"/>
    </row>
    <row r="17" spans="3:14" x14ac:dyDescent="0.3">
      <c r="C17" s="8"/>
      <c r="D17" s="8">
        <v>11</v>
      </c>
      <c r="E17" s="13" t="s">
        <v>55</v>
      </c>
      <c r="F17" s="15"/>
      <c r="G17" s="6"/>
      <c r="H17" s="3"/>
      <c r="J17" s="3"/>
      <c r="M17" s="3"/>
    </row>
    <row r="18" spans="3:14" x14ac:dyDescent="0.3">
      <c r="C18" s="8"/>
      <c r="D18" s="8">
        <v>12</v>
      </c>
      <c r="E18" s="13" t="s">
        <v>56</v>
      </c>
      <c r="F18" s="15"/>
      <c r="G18" s="6"/>
      <c r="H18" s="3"/>
      <c r="J18" s="3"/>
      <c r="M18" s="3"/>
    </row>
    <row r="19" spans="3:14" ht="16.2" customHeight="1" thickBot="1" x14ac:dyDescent="0.35">
      <c r="C19" s="9"/>
      <c r="D19" s="9">
        <v>13</v>
      </c>
      <c r="E19" s="12" t="s">
        <v>57</v>
      </c>
      <c r="F19" s="16"/>
      <c r="G19" s="6"/>
      <c r="H19" s="3"/>
      <c r="J19" s="3"/>
      <c r="M19" s="3"/>
    </row>
    <row r="20" spans="3:14" ht="16.2" customHeight="1" thickBot="1" x14ac:dyDescent="0.35">
      <c r="G20" s="6"/>
      <c r="H20" s="3"/>
    </row>
    <row r="21" spans="3:14" x14ac:dyDescent="0.3">
      <c r="C21" s="2" t="s">
        <v>58</v>
      </c>
      <c r="D21" s="3"/>
      <c r="J21" s="3"/>
    </row>
    <row r="22" spans="3:14" x14ac:dyDescent="0.3">
      <c r="C22" s="4" t="s">
        <v>59</v>
      </c>
      <c r="J22" s="3"/>
    </row>
    <row r="23" spans="3:14" x14ac:dyDescent="0.3">
      <c r="C23" s="4" t="s">
        <v>60</v>
      </c>
      <c r="J23" s="3"/>
      <c r="M23" s="3"/>
      <c r="N23" s="3"/>
    </row>
    <row r="24" spans="3:14" x14ac:dyDescent="0.3">
      <c r="C24" s="4" t="s">
        <v>61</v>
      </c>
    </row>
    <row r="25" spans="3:14" x14ac:dyDescent="0.3">
      <c r="C25" s="4" t="s">
        <v>62</v>
      </c>
      <c r="M25" s="3"/>
      <c r="N25" s="3"/>
    </row>
    <row r="26" spans="3:14" x14ac:dyDescent="0.3">
      <c r="C26" s="4" t="s">
        <v>63</v>
      </c>
    </row>
    <row r="27" spans="3:14" x14ac:dyDescent="0.3">
      <c r="C27" s="4" t="s">
        <v>64</v>
      </c>
      <c r="M27" s="40"/>
      <c r="N27" s="41"/>
    </row>
    <row r="28" spans="3:14" x14ac:dyDescent="0.3">
      <c r="C28" s="4" t="s">
        <v>65</v>
      </c>
      <c r="N28" s="3"/>
    </row>
    <row r="29" spans="3:14" ht="16.2" customHeight="1" thickBot="1" x14ac:dyDescent="0.35">
      <c r="C29" s="5" t="s">
        <v>66</v>
      </c>
      <c r="N29" s="3"/>
    </row>
    <row r="30" spans="3:14" x14ac:dyDescent="0.3">
      <c r="N30" s="3"/>
    </row>
    <row r="32" spans="3:14" x14ac:dyDescent="0.3">
      <c r="N32" s="3"/>
    </row>
  </sheetData>
  <mergeCells count="1">
    <mergeCell ref="M27:N2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selection activeCell="C34" sqref="C34"/>
    </sheetView>
  </sheetViews>
  <sheetFormatPr defaultColWidth="11.5546875" defaultRowHeight="14.4" x14ac:dyDescent="0.3"/>
  <cols>
    <col min="1" max="1" width="16" bestFit="1" customWidth="1"/>
    <col min="2" max="2" width="23.44140625" bestFit="1" customWidth="1"/>
    <col min="3" max="3" width="56.33203125" bestFit="1" customWidth="1"/>
    <col min="4" max="5" width="6.109375" bestFit="1" customWidth="1"/>
    <col min="6" max="6" width="8.44140625" bestFit="1" customWidth="1"/>
    <col min="7" max="7" width="7.44140625" bestFit="1" customWidth="1"/>
    <col min="8" max="8" width="11" bestFit="1" customWidth="1"/>
    <col min="9" max="9" width="20.6640625" bestFit="1" customWidth="1"/>
    <col min="10" max="10" width="6.109375" bestFit="1" customWidth="1"/>
    <col min="11" max="11" width="8.44140625" bestFit="1" customWidth="1"/>
    <col min="12" max="12" width="6.109375" bestFit="1" customWidth="1"/>
    <col min="13" max="13" width="7" bestFit="1" customWidth="1"/>
    <col min="14" max="14" width="6.33203125" bestFit="1" customWidth="1"/>
    <col min="15" max="15" width="9" bestFit="1" customWidth="1"/>
    <col min="16" max="16" width="8.44140625" bestFit="1" customWidth="1"/>
    <col min="17" max="17" width="6.109375" bestFit="1" customWidth="1"/>
    <col min="18" max="18" width="11.33203125" bestFit="1" customWidth="1"/>
    <col min="19" max="19" width="9.44140625" bestFit="1" customWidth="1"/>
    <col min="20" max="20" width="17.33203125" bestFit="1" customWidth="1"/>
    <col min="21" max="21" width="6.109375" bestFit="1" customWidth="1"/>
    <col min="22" max="22" width="10.6640625" bestFit="1" customWidth="1"/>
  </cols>
  <sheetData>
    <row r="1" spans="1:2" x14ac:dyDescent="0.3">
      <c r="A1" s="20" t="s">
        <v>6</v>
      </c>
      <c r="B1" t="s">
        <v>34</v>
      </c>
    </row>
    <row r="3" spans="1:2" x14ac:dyDescent="0.3">
      <c r="A3" s="20" t="s">
        <v>67</v>
      </c>
      <c r="B3" t="s">
        <v>68</v>
      </c>
    </row>
    <row r="4" spans="1:2" x14ac:dyDescent="0.3">
      <c r="A4" s="21" t="s">
        <v>69</v>
      </c>
      <c r="B4" s="27"/>
    </row>
    <row r="5" spans="1:2" x14ac:dyDescent="0.3">
      <c r="A5" s="22" t="s">
        <v>70</v>
      </c>
      <c r="B5" s="27">
        <v>11705</v>
      </c>
    </row>
    <row r="6" spans="1:2" x14ac:dyDescent="0.3">
      <c r="A6" s="22" t="s">
        <v>71</v>
      </c>
      <c r="B6" s="27">
        <v>10305</v>
      </c>
    </row>
    <row r="7" spans="1:2" x14ac:dyDescent="0.3">
      <c r="A7" s="22" t="s">
        <v>72</v>
      </c>
      <c r="B7" s="27">
        <v>22705</v>
      </c>
    </row>
    <row r="8" spans="1:2" x14ac:dyDescent="0.3">
      <c r="A8" s="22" t="s">
        <v>73</v>
      </c>
      <c r="B8" s="27">
        <v>345</v>
      </c>
    </row>
    <row r="9" spans="1:2" x14ac:dyDescent="0.3">
      <c r="A9" s="22" t="s">
        <v>74</v>
      </c>
      <c r="B9" s="27">
        <v>21275</v>
      </c>
    </row>
    <row r="10" spans="1:2" x14ac:dyDescent="0.3">
      <c r="A10" s="22" t="s">
        <v>75</v>
      </c>
      <c r="B10" s="27">
        <v>4920</v>
      </c>
    </row>
    <row r="11" spans="1:2" x14ac:dyDescent="0.3">
      <c r="A11" s="22" t="s">
        <v>76</v>
      </c>
      <c r="B11" s="27">
        <v>5000</v>
      </c>
    </row>
    <row r="12" spans="1:2" x14ac:dyDescent="0.3">
      <c r="A12" s="22" t="s">
        <v>77</v>
      </c>
      <c r="B12" s="27">
        <v>17840</v>
      </c>
    </row>
    <row r="13" spans="1:2" x14ac:dyDescent="0.3">
      <c r="A13" s="22" t="s">
        <v>78</v>
      </c>
      <c r="B13" s="27">
        <v>16435</v>
      </c>
    </row>
    <row r="14" spans="1:2" x14ac:dyDescent="0.3">
      <c r="A14" s="22" t="s">
        <v>79</v>
      </c>
      <c r="B14" s="27">
        <v>5765</v>
      </c>
    </row>
    <row r="15" spans="1:2" x14ac:dyDescent="0.3">
      <c r="A15" s="22" t="s">
        <v>80</v>
      </c>
      <c r="B15" s="27">
        <v>6945</v>
      </c>
    </row>
    <row r="16" spans="1:2" x14ac:dyDescent="0.3">
      <c r="A16" s="22" t="s">
        <v>81</v>
      </c>
      <c r="B16" s="27">
        <v>1465</v>
      </c>
    </row>
    <row r="17" spans="1:2" x14ac:dyDescent="0.3">
      <c r="A17" s="21" t="s">
        <v>82</v>
      </c>
      <c r="B17" s="27"/>
    </row>
    <row r="18" spans="1:2" x14ac:dyDescent="0.3">
      <c r="A18" s="22" t="s">
        <v>70</v>
      </c>
      <c r="B18" s="27">
        <v>7650</v>
      </c>
    </row>
    <row r="19" spans="1:2" x14ac:dyDescent="0.3">
      <c r="A19" s="22" t="s">
        <v>71</v>
      </c>
      <c r="B19" s="27">
        <v>18485</v>
      </c>
    </row>
    <row r="20" spans="1:2" x14ac:dyDescent="0.3">
      <c r="A20" s="22" t="s">
        <v>72</v>
      </c>
      <c r="B20" s="27">
        <v>19200</v>
      </c>
    </row>
    <row r="21" spans="1:2" x14ac:dyDescent="0.3">
      <c r="A21" s="22" t="s">
        <v>73</v>
      </c>
      <c r="B21" s="27">
        <v>10435</v>
      </c>
    </row>
    <row r="22" spans="1:2" x14ac:dyDescent="0.3">
      <c r="A22" s="22" t="s">
        <v>74</v>
      </c>
      <c r="B22" s="27">
        <v>1765</v>
      </c>
    </row>
    <row r="36" spans="2:3" x14ac:dyDescent="0.3">
      <c r="B36" s="42"/>
      <c r="C36" s="28"/>
    </row>
    <row r="37" spans="2:3" x14ac:dyDescent="0.3">
      <c r="B37" s="43"/>
      <c r="C37" s="28"/>
    </row>
    <row r="38" spans="2:3" x14ac:dyDescent="0.3">
      <c r="B38" s="43"/>
      <c r="C38" s="28"/>
    </row>
    <row r="39" spans="2:3" x14ac:dyDescent="0.3">
      <c r="B39" s="42"/>
      <c r="C39" s="28"/>
    </row>
    <row r="40" spans="2:3" x14ac:dyDescent="0.3">
      <c r="B40" s="43"/>
      <c r="C40" s="28"/>
    </row>
    <row r="41" spans="2:3" x14ac:dyDescent="0.3">
      <c r="B41" s="43"/>
      <c r="C41" s="28"/>
    </row>
    <row r="42" spans="2:3" x14ac:dyDescent="0.3">
      <c r="B42" s="42"/>
      <c r="C42" s="28"/>
    </row>
    <row r="43" spans="2:3" x14ac:dyDescent="0.3">
      <c r="B43" s="43"/>
      <c r="C43" s="28"/>
    </row>
    <row r="44" spans="2:3" x14ac:dyDescent="0.3">
      <c r="B44" s="43"/>
      <c r="C44" s="28"/>
    </row>
  </sheetData>
  <mergeCells count="3">
    <mergeCell ref="B42:B44"/>
    <mergeCell ref="B39:B41"/>
    <mergeCell ref="B36:B38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3"/>
  <sheetViews>
    <sheetView workbookViewId="0">
      <selection activeCell="B20" sqref="B20"/>
    </sheetView>
  </sheetViews>
  <sheetFormatPr defaultColWidth="11.5546875" defaultRowHeight="14.4" x14ac:dyDescent="0.3"/>
  <cols>
    <col min="1" max="1" width="20.109375" bestFit="1" customWidth="1"/>
    <col min="2" max="2" width="32.33203125" bestFit="1" customWidth="1"/>
    <col min="3" max="3" width="20.6640625" bestFit="1" customWidth="1"/>
    <col min="4" max="4" width="28" bestFit="1" customWidth="1"/>
    <col min="5" max="20" width="20.6640625" bestFit="1" customWidth="1"/>
    <col min="21" max="21" width="10.6640625" bestFit="1" customWidth="1"/>
  </cols>
  <sheetData>
    <row r="3" spans="1:2" x14ac:dyDescent="0.3">
      <c r="A3" s="20" t="s">
        <v>67</v>
      </c>
      <c r="B3" t="s">
        <v>83</v>
      </c>
    </row>
    <row r="4" spans="1:2" x14ac:dyDescent="0.3">
      <c r="A4" s="21" t="s">
        <v>25</v>
      </c>
      <c r="B4" s="25">
        <v>0.1006269897123811</v>
      </c>
    </row>
    <row r="5" spans="1:2" x14ac:dyDescent="0.3">
      <c r="A5" s="21" t="s">
        <v>32</v>
      </c>
      <c r="B5" s="25">
        <v>8.1840255375316515E-2</v>
      </c>
    </row>
    <row r="6" spans="1:2" x14ac:dyDescent="0.3">
      <c r="A6" s="21" t="s">
        <v>17</v>
      </c>
      <c r="B6" s="25">
        <v>5.8968409942088303E-2</v>
      </c>
    </row>
    <row r="7" spans="1:2" x14ac:dyDescent="0.3">
      <c r="A7" s="21" t="s">
        <v>27</v>
      </c>
      <c r="B7" s="25">
        <v>5.6287665956558271E-2</v>
      </c>
    </row>
    <row r="8" spans="1:2" x14ac:dyDescent="0.3">
      <c r="A8" s="21" t="s">
        <v>26</v>
      </c>
      <c r="B8" s="25">
        <v>4.7135772995875888E-2</v>
      </c>
    </row>
    <row r="9" spans="1:2" x14ac:dyDescent="0.3">
      <c r="A9" s="21" t="s">
        <v>34</v>
      </c>
      <c r="B9" s="25">
        <v>3.613108366981542E-2</v>
      </c>
    </row>
    <row r="10" spans="1:2" x14ac:dyDescent="0.3">
      <c r="A10" s="21" t="s">
        <v>22</v>
      </c>
      <c r="B10" s="25">
        <v>2.3330793858908169E-2</v>
      </c>
    </row>
    <row r="11" spans="1:2" x14ac:dyDescent="0.3">
      <c r="A11" s="21" t="s">
        <v>21</v>
      </c>
      <c r="B11" s="25">
        <v>1.02962766126568E-2</v>
      </c>
    </row>
    <row r="12" spans="1:2" x14ac:dyDescent="0.3">
      <c r="A12" s="21" t="s">
        <v>20</v>
      </c>
      <c r="B12" s="25">
        <v>7.0069984701864327E-3</v>
      </c>
    </row>
    <row r="13" spans="1:2" x14ac:dyDescent="0.3">
      <c r="A13" s="21" t="s">
        <v>30</v>
      </c>
      <c r="B13" s="25">
        <v>5.2821684960563031E-3</v>
      </c>
    </row>
    <row r="14" spans="1:2" x14ac:dyDescent="0.3">
      <c r="A14" s="21" t="s">
        <v>15</v>
      </c>
      <c r="B14" s="25">
        <v>-8.094054282908528E-3</v>
      </c>
    </row>
    <row r="15" spans="1:2" x14ac:dyDescent="0.3">
      <c r="A15" s="21" t="s">
        <v>16</v>
      </c>
      <c r="B15" s="25">
        <v>-9.4885770216267366E-3</v>
      </c>
    </row>
    <row r="16" spans="1:2" x14ac:dyDescent="0.3">
      <c r="A16" s="21" t="s">
        <v>33</v>
      </c>
      <c r="B16" s="25">
        <v>-1.1341839275218989E-2</v>
      </c>
    </row>
    <row r="17" spans="1:2" x14ac:dyDescent="0.3">
      <c r="A17" s="21" t="s">
        <v>24</v>
      </c>
      <c r="B17" s="25">
        <v>-2.959425010257517E-2</v>
      </c>
    </row>
    <row r="18" spans="1:2" x14ac:dyDescent="0.3">
      <c r="A18" s="21" t="s">
        <v>31</v>
      </c>
      <c r="B18" s="25">
        <v>-3.2883513853600721E-2</v>
      </c>
    </row>
    <row r="19" spans="1:2" x14ac:dyDescent="0.3">
      <c r="A19" s="21" t="s">
        <v>29</v>
      </c>
      <c r="B19" s="25">
        <v>-3.9462244779638118E-2</v>
      </c>
    </row>
    <row r="20" spans="1:2" x14ac:dyDescent="0.3">
      <c r="A20" s="21" t="s">
        <v>23</v>
      </c>
      <c r="B20" s="25">
        <v>-4.2441773613568989E-2</v>
      </c>
    </row>
    <row r="21" spans="1:2" x14ac:dyDescent="0.3">
      <c r="A21" s="21" t="s">
        <v>18</v>
      </c>
      <c r="B21" s="25">
        <v>-5.0380082409471671E-2</v>
      </c>
    </row>
    <row r="22" spans="1:2" x14ac:dyDescent="0.3">
      <c r="A22" s="21" t="s">
        <v>19</v>
      </c>
      <c r="B22" s="25">
        <v>-6.3289069364215592E-2</v>
      </c>
    </row>
    <row r="23" spans="1:2" x14ac:dyDescent="0.3">
      <c r="A23" s="21" t="s">
        <v>28</v>
      </c>
      <c r="B23" s="25">
        <v>-0.1017073249550504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4"/>
  <sheetViews>
    <sheetView workbookViewId="0">
      <selection activeCell="C25" sqref="C25"/>
    </sheetView>
  </sheetViews>
  <sheetFormatPr defaultColWidth="11.5546875" defaultRowHeight="14.4" x14ac:dyDescent="0.3"/>
  <cols>
    <col min="1" max="1" width="20.109375" bestFit="1" customWidth="1"/>
    <col min="2" max="2" width="10.44140625" customWidth="1"/>
    <col min="3" max="3" width="14.44140625" bestFit="1" customWidth="1"/>
    <col min="4" max="5" width="6.109375" bestFit="1" customWidth="1"/>
    <col min="6" max="6" width="8.44140625" bestFit="1" customWidth="1"/>
    <col min="7" max="7" width="7.44140625" bestFit="1" customWidth="1"/>
    <col min="8" max="8" width="11" bestFit="1" customWidth="1"/>
    <col min="9" max="9" width="20.6640625" bestFit="1" customWidth="1"/>
    <col min="10" max="10" width="6.109375" bestFit="1" customWidth="1"/>
    <col min="11" max="11" width="8.44140625" bestFit="1" customWidth="1"/>
    <col min="12" max="12" width="6.109375" bestFit="1" customWidth="1"/>
    <col min="13" max="13" width="7" bestFit="1" customWidth="1"/>
    <col min="14" max="14" width="6.33203125" bestFit="1" customWidth="1"/>
    <col min="15" max="15" width="9" bestFit="1" customWidth="1"/>
    <col min="16" max="16" width="8.44140625" bestFit="1" customWidth="1"/>
    <col min="17" max="17" width="6.109375" bestFit="1" customWidth="1"/>
    <col min="18" max="18" width="11.33203125" bestFit="1" customWidth="1"/>
    <col min="19" max="19" width="9.44140625" bestFit="1" customWidth="1"/>
    <col min="20" max="20" width="17.33203125" bestFit="1" customWidth="1"/>
    <col min="21" max="21" width="6.109375" bestFit="1" customWidth="1"/>
    <col min="22" max="22" width="10.6640625" bestFit="1" customWidth="1"/>
  </cols>
  <sheetData>
    <row r="3" spans="1:2" x14ac:dyDescent="0.3">
      <c r="A3" s="20" t="s">
        <v>84</v>
      </c>
      <c r="B3" t="s">
        <v>85</v>
      </c>
    </row>
    <row r="4" spans="1:2" x14ac:dyDescent="0.3">
      <c r="A4" s="21" t="s">
        <v>29</v>
      </c>
      <c r="B4" s="26">
        <v>264220</v>
      </c>
    </row>
    <row r="5" spans="1:2" x14ac:dyDescent="0.3">
      <c r="A5" s="21" t="s">
        <v>24</v>
      </c>
      <c r="B5" s="26">
        <v>258945</v>
      </c>
    </row>
    <row r="6" spans="1:2" x14ac:dyDescent="0.3">
      <c r="A6" s="21" t="s">
        <v>22</v>
      </c>
      <c r="B6" s="26">
        <v>247900</v>
      </c>
    </row>
    <row r="7" spans="1:2" x14ac:dyDescent="0.3">
      <c r="A7" s="21" t="s">
        <v>19</v>
      </c>
      <c r="B7" s="26">
        <v>243730</v>
      </c>
    </row>
    <row r="8" spans="1:2" x14ac:dyDescent="0.3">
      <c r="A8" s="21" t="s">
        <v>18</v>
      </c>
      <c r="B8" s="26">
        <v>235140</v>
      </c>
    </row>
    <row r="9" spans="1:2" x14ac:dyDescent="0.3">
      <c r="A9" s="21" t="s">
        <v>17</v>
      </c>
      <c r="B9" s="26">
        <v>215490</v>
      </c>
    </row>
    <row r="10" spans="1:2" x14ac:dyDescent="0.3">
      <c r="A10" s="21" t="s">
        <v>30</v>
      </c>
      <c r="B10" s="26">
        <v>214185</v>
      </c>
    </row>
    <row r="11" spans="1:2" x14ac:dyDescent="0.3">
      <c r="A11" s="21" t="s">
        <v>32</v>
      </c>
      <c r="B11" s="26">
        <v>205530</v>
      </c>
    </row>
    <row r="12" spans="1:2" x14ac:dyDescent="0.3">
      <c r="A12" s="21" t="s">
        <v>15</v>
      </c>
      <c r="B12" s="26">
        <v>205050</v>
      </c>
    </row>
    <row r="13" spans="1:2" x14ac:dyDescent="0.3">
      <c r="A13" s="21" t="s">
        <v>21</v>
      </c>
      <c r="B13" s="26">
        <v>200145</v>
      </c>
    </row>
    <row r="14" spans="1:2" x14ac:dyDescent="0.3">
      <c r="A14" s="21" t="s">
        <v>26</v>
      </c>
      <c r="B14" s="26">
        <v>195840</v>
      </c>
    </row>
    <row r="15" spans="1:2" x14ac:dyDescent="0.3">
      <c r="A15" s="21" t="s">
        <v>25</v>
      </c>
      <c r="B15" s="26">
        <v>191560</v>
      </c>
    </row>
    <row r="16" spans="1:2" x14ac:dyDescent="0.3">
      <c r="A16" s="21" t="s">
        <v>31</v>
      </c>
      <c r="B16" s="26">
        <v>188180</v>
      </c>
    </row>
    <row r="17" spans="1:2" x14ac:dyDescent="0.3">
      <c r="A17" s="21" t="s">
        <v>34</v>
      </c>
      <c r="B17" s="26">
        <v>182240</v>
      </c>
    </row>
    <row r="18" spans="1:2" x14ac:dyDescent="0.3">
      <c r="A18" s="21" t="s">
        <v>23</v>
      </c>
      <c r="B18" s="26">
        <v>182180</v>
      </c>
    </row>
    <row r="19" spans="1:2" x14ac:dyDescent="0.3">
      <c r="A19" s="21" t="s">
        <v>20</v>
      </c>
      <c r="B19" s="26">
        <v>175060</v>
      </c>
    </row>
    <row r="20" spans="1:2" x14ac:dyDescent="0.3">
      <c r="A20" s="21" t="s">
        <v>16</v>
      </c>
      <c r="B20" s="26">
        <v>162315</v>
      </c>
    </row>
    <row r="21" spans="1:2" x14ac:dyDescent="0.3">
      <c r="A21" s="21" t="s">
        <v>33</v>
      </c>
      <c r="B21" s="26">
        <v>159770</v>
      </c>
    </row>
    <row r="22" spans="1:2" x14ac:dyDescent="0.3">
      <c r="A22" s="21" t="s">
        <v>28</v>
      </c>
      <c r="B22" s="26">
        <v>138310</v>
      </c>
    </row>
    <row r="23" spans="1:2" x14ac:dyDescent="0.3">
      <c r="A23" s="21" t="s">
        <v>27</v>
      </c>
      <c r="B23" s="26">
        <v>136375</v>
      </c>
    </row>
    <row r="24" spans="1:2" x14ac:dyDescent="0.3">
      <c r="A24" s="21" t="s">
        <v>86</v>
      </c>
      <c r="B24" s="26">
        <v>4002165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1"/>
  <sheetViews>
    <sheetView topLeftCell="F932" zoomScale="55" zoomScaleNormal="55" workbookViewId="0">
      <selection activeCell="F1" sqref="F1"/>
    </sheetView>
  </sheetViews>
  <sheetFormatPr defaultColWidth="8.77734375" defaultRowHeight="14.4" x14ac:dyDescent="0.3"/>
  <cols>
    <col min="1" max="1" width="8.77734375" customWidth="1"/>
    <col min="2" max="2" width="10.44140625" customWidth="1"/>
    <col min="3" max="3" width="18.6640625" customWidth="1"/>
    <col min="4" max="5" width="17.77734375" customWidth="1"/>
    <col min="6" max="6" width="18.33203125" customWidth="1"/>
    <col min="7" max="7" width="20.109375" bestFit="1" customWidth="1"/>
    <col min="8" max="8" width="11.6640625" customWidth="1"/>
    <col min="9" max="9" width="20.109375" bestFit="1" customWidth="1"/>
    <col min="10" max="10" width="32.109375" bestFit="1" customWidth="1"/>
    <col min="11" max="11" width="20.109375" customWidth="1"/>
    <col min="12" max="12" width="20.77734375" bestFit="1" customWidth="1"/>
    <col min="13" max="13" width="44.44140625" bestFit="1" customWidth="1"/>
    <col min="14" max="14" width="27.44140625" bestFit="1" customWidth="1"/>
    <col min="15" max="15" width="35.6640625" bestFit="1" customWidth="1"/>
  </cols>
  <sheetData>
    <row r="1" spans="1:15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</row>
    <row r="2" spans="1:15" x14ac:dyDescent="0.3">
      <c r="A2">
        <v>1</v>
      </c>
      <c r="B2">
        <v>300</v>
      </c>
      <c r="C2">
        <v>103</v>
      </c>
      <c r="D2">
        <v>4</v>
      </c>
      <c r="E2">
        <f t="shared" ref="E2:E65" si="0">C2*D2</f>
        <v>412</v>
      </c>
      <c r="F2" s="30">
        <v>45187</v>
      </c>
      <c r="G2" t="s">
        <v>15</v>
      </c>
      <c r="H2">
        <v>315</v>
      </c>
      <c r="I2" t="str">
        <f>VLOOKUP(B2,товар!$A$1:$C$433,2,FALSE)</f>
        <v>Сахар</v>
      </c>
      <c r="J2" s="23">
        <f t="shared" ref="J2:J65" si="1">AVERAGEIF($I$2:$I$1001,I2,$C$2:$C$1001)</f>
        <v>252.76271186440678</v>
      </c>
      <c r="K2" s="24">
        <f t="shared" ref="K2:K65" si="2">C2/J2-1</f>
        <v>-0.59250318514048139</v>
      </c>
      <c r="L2" t="str">
        <f>VLOOKUP(B2,товар!$A$1:$C$433,3,FALSE)</f>
        <v>Продимекс</v>
      </c>
      <c r="M2">
        <f t="shared" ref="M2:M65" si="3">AVERAGEIFS($C$2:$C$1001,$I$2:$I$1001,I2,$L$2:$L$1001,L2)</f>
        <v>240.5</v>
      </c>
      <c r="N2" s="30">
        <f>VLOOKUP(H2,клиенты!$A$1:$G$435,5,FALSE)</f>
        <v>44747</v>
      </c>
      <c r="O2">
        <f t="shared" ref="O2:O65" si="4">F2-N2</f>
        <v>440</v>
      </c>
    </row>
    <row r="3" spans="1:15" x14ac:dyDescent="0.3">
      <c r="A3">
        <v>2</v>
      </c>
      <c r="B3">
        <v>486</v>
      </c>
      <c r="C3">
        <v>296</v>
      </c>
      <c r="D3">
        <v>3</v>
      </c>
      <c r="E3">
        <f t="shared" si="0"/>
        <v>888</v>
      </c>
      <c r="F3" s="30">
        <v>45083</v>
      </c>
      <c r="G3" t="s">
        <v>16</v>
      </c>
      <c r="H3">
        <v>253</v>
      </c>
      <c r="I3" t="str">
        <f>VLOOKUP(B3,товар!$A$1:$C$433,2,FALSE)</f>
        <v>Соль</v>
      </c>
      <c r="J3" s="23">
        <f t="shared" si="1"/>
        <v>264.8679245283019</v>
      </c>
      <c r="K3" s="24">
        <f t="shared" si="2"/>
        <v>0.11753811084200017</v>
      </c>
      <c r="L3" t="str">
        <f>VLOOKUP(B3,товар!$A$1:$C$433,3,FALSE)</f>
        <v>Илецкая</v>
      </c>
      <c r="M3">
        <f t="shared" si="3"/>
        <v>238.16666666666666</v>
      </c>
      <c r="N3" s="30">
        <f>VLOOKUP(H3,клиенты!$A$1:$G$435,5,FALSE)</f>
        <v>44750</v>
      </c>
      <c r="O3">
        <f t="shared" si="4"/>
        <v>333</v>
      </c>
    </row>
    <row r="4" spans="1:15" x14ac:dyDescent="0.3">
      <c r="A4">
        <v>3</v>
      </c>
      <c r="B4">
        <v>76</v>
      </c>
      <c r="C4">
        <v>139</v>
      </c>
      <c r="D4">
        <v>5</v>
      </c>
      <c r="E4">
        <f t="shared" si="0"/>
        <v>695</v>
      </c>
      <c r="F4" s="30">
        <v>45363</v>
      </c>
      <c r="G4" t="s">
        <v>17</v>
      </c>
      <c r="H4">
        <v>12</v>
      </c>
      <c r="I4" t="str">
        <f>VLOOKUP(B4,товар!$A$1:$C$433,2,FALSE)</f>
        <v>Печенье</v>
      </c>
      <c r="J4" s="23">
        <f t="shared" si="1"/>
        <v>283.468085106383</v>
      </c>
      <c r="K4" s="24">
        <f t="shared" si="2"/>
        <v>-0.50964497485551308</v>
      </c>
      <c r="L4" t="str">
        <f>VLOOKUP(B4,товар!$A$1:$C$433,3,FALSE)</f>
        <v>Юбилейное</v>
      </c>
      <c r="M4">
        <f t="shared" si="3"/>
        <v>232.44444444444446</v>
      </c>
      <c r="N4" s="30">
        <f>VLOOKUP(H4,клиенты!$A$1:$G$435,5,FALSE)</f>
        <v>44842</v>
      </c>
      <c r="O4">
        <f t="shared" si="4"/>
        <v>521</v>
      </c>
    </row>
    <row r="5" spans="1:15" x14ac:dyDescent="0.3">
      <c r="A5">
        <v>4</v>
      </c>
      <c r="B5">
        <v>240</v>
      </c>
      <c r="C5">
        <v>141</v>
      </c>
      <c r="D5">
        <v>5</v>
      </c>
      <c r="E5">
        <f t="shared" si="0"/>
        <v>705</v>
      </c>
      <c r="F5" s="30">
        <v>45262</v>
      </c>
      <c r="G5" t="s">
        <v>18</v>
      </c>
      <c r="H5">
        <v>116</v>
      </c>
      <c r="I5" t="str">
        <f>VLOOKUP(B5,товар!$A$1:$C$433,2,FALSE)</f>
        <v>Макароны</v>
      </c>
      <c r="J5" s="23">
        <f t="shared" si="1"/>
        <v>265.47674418604652</v>
      </c>
      <c r="K5" s="24">
        <f t="shared" si="2"/>
        <v>-0.46888003153606939</v>
      </c>
      <c r="L5" t="str">
        <f>VLOOKUP(B5,товар!$A$1:$C$433,3,FALSE)</f>
        <v>Борилла</v>
      </c>
      <c r="M5">
        <f t="shared" si="3"/>
        <v>236.27586206896552</v>
      </c>
      <c r="N5" s="30">
        <f>VLOOKUP(H5,клиенты!$A$1:$G$435,5,FALSE)</f>
        <v>44643</v>
      </c>
      <c r="O5">
        <f t="shared" si="4"/>
        <v>619</v>
      </c>
    </row>
    <row r="6" spans="1:15" x14ac:dyDescent="0.3">
      <c r="A6">
        <v>5</v>
      </c>
      <c r="B6">
        <v>32</v>
      </c>
      <c r="C6">
        <v>123</v>
      </c>
      <c r="D6">
        <v>2</v>
      </c>
      <c r="E6">
        <f t="shared" si="0"/>
        <v>246</v>
      </c>
      <c r="F6" s="30">
        <v>45151</v>
      </c>
      <c r="G6" t="s">
        <v>19</v>
      </c>
      <c r="H6">
        <v>471</v>
      </c>
      <c r="I6" t="str">
        <f>VLOOKUP(B6,товар!$A$1:$C$433,2,FALSE)</f>
        <v>Овощи</v>
      </c>
      <c r="J6" s="23">
        <f t="shared" si="1"/>
        <v>250.48780487804879</v>
      </c>
      <c r="K6" s="24">
        <f t="shared" si="2"/>
        <v>-0.5089581304771178</v>
      </c>
      <c r="L6" t="str">
        <f>VLOOKUP(B6,товар!$A$1:$C$433,3,FALSE)</f>
        <v>Зеленая грядка</v>
      </c>
      <c r="M6">
        <f t="shared" si="3"/>
        <v>159.19999999999999</v>
      </c>
      <c r="N6" s="30">
        <f>VLOOKUP(H6,клиенты!$A$1:$G$435,5,FALSE)</f>
        <v>44577</v>
      </c>
      <c r="O6">
        <f t="shared" si="4"/>
        <v>574</v>
      </c>
    </row>
    <row r="7" spans="1:15" x14ac:dyDescent="0.3">
      <c r="A7">
        <v>6</v>
      </c>
      <c r="B7">
        <v>162</v>
      </c>
      <c r="C7">
        <v>452</v>
      </c>
      <c r="D7">
        <v>2</v>
      </c>
      <c r="E7">
        <f t="shared" si="0"/>
        <v>904</v>
      </c>
      <c r="F7" s="30">
        <v>45281</v>
      </c>
      <c r="G7" t="s">
        <v>15</v>
      </c>
      <c r="H7">
        <v>374</v>
      </c>
      <c r="I7" t="str">
        <f>VLOOKUP(B7,товар!$A$1:$C$433,2,FALSE)</f>
        <v>Сок</v>
      </c>
      <c r="J7" s="23">
        <f t="shared" si="1"/>
        <v>268.60344827586209</v>
      </c>
      <c r="K7" s="24">
        <f t="shared" si="2"/>
        <v>0.68277809872263928</v>
      </c>
      <c r="L7" t="str">
        <f>VLOOKUP(B7,товар!$A$1:$C$433,3,FALSE)</f>
        <v>Фруктовый сад</v>
      </c>
      <c r="M7">
        <f t="shared" si="3"/>
        <v>281.96875</v>
      </c>
      <c r="N7" s="30">
        <f>VLOOKUP(H7,клиенты!$A$1:$G$435,5,FALSE)</f>
        <v>44582</v>
      </c>
      <c r="O7">
        <f t="shared" si="4"/>
        <v>699</v>
      </c>
    </row>
    <row r="8" spans="1:15" x14ac:dyDescent="0.3">
      <c r="A8">
        <v>7</v>
      </c>
      <c r="B8">
        <v>323</v>
      </c>
      <c r="C8">
        <v>149</v>
      </c>
      <c r="D8">
        <v>5</v>
      </c>
      <c r="E8">
        <f t="shared" si="0"/>
        <v>745</v>
      </c>
      <c r="F8" s="30">
        <v>45349</v>
      </c>
      <c r="G8" t="s">
        <v>20</v>
      </c>
      <c r="H8">
        <v>477</v>
      </c>
      <c r="I8" t="str">
        <f>VLOOKUP(B8,товар!$A$1:$C$433,2,FALSE)</f>
        <v>Рыба</v>
      </c>
      <c r="J8" s="23">
        <f t="shared" si="1"/>
        <v>258.5128205128205</v>
      </c>
      <c r="K8" s="24">
        <f t="shared" si="2"/>
        <v>-0.42362626463003372</v>
      </c>
      <c r="L8" t="str">
        <f>VLOOKUP(B8,товар!$A$1:$C$433,3,FALSE)</f>
        <v>Меридиан</v>
      </c>
      <c r="M8">
        <f t="shared" si="3"/>
        <v>260.64705882352939</v>
      </c>
      <c r="N8" s="30">
        <f>VLOOKUP(H8,клиенты!$A$1:$G$435,5,FALSE)</f>
        <v>44738</v>
      </c>
      <c r="O8">
        <f t="shared" si="4"/>
        <v>611</v>
      </c>
    </row>
    <row r="9" spans="1:15" x14ac:dyDescent="0.3">
      <c r="A9">
        <v>8</v>
      </c>
      <c r="B9">
        <v>60</v>
      </c>
      <c r="C9">
        <v>489</v>
      </c>
      <c r="D9">
        <v>4</v>
      </c>
      <c r="E9">
        <f t="shared" si="0"/>
        <v>1956</v>
      </c>
      <c r="F9" s="30">
        <v>45327</v>
      </c>
      <c r="G9" t="s">
        <v>21</v>
      </c>
      <c r="H9">
        <v>335</v>
      </c>
      <c r="I9" t="str">
        <f>VLOOKUP(B9,товар!$A$1:$C$433,2,FALSE)</f>
        <v>Кофе</v>
      </c>
      <c r="J9" s="23">
        <f t="shared" si="1"/>
        <v>249.02380952380952</v>
      </c>
      <c r="K9" s="24">
        <f t="shared" si="2"/>
        <v>0.9636676546514964</v>
      </c>
      <c r="L9" t="str">
        <f>VLOOKUP(B9,товар!$A$1:$C$433,3,FALSE)</f>
        <v>Jacobs</v>
      </c>
      <c r="M9">
        <f t="shared" si="3"/>
        <v>276.21052631578948</v>
      </c>
      <c r="N9" s="30">
        <f>VLOOKUP(H9,клиенты!$A$1:$G$435,5,FALSE)</f>
        <v>44619</v>
      </c>
      <c r="O9">
        <f t="shared" si="4"/>
        <v>708</v>
      </c>
    </row>
    <row r="10" spans="1:15" x14ac:dyDescent="0.3">
      <c r="A10">
        <v>9</v>
      </c>
      <c r="B10">
        <v>401</v>
      </c>
      <c r="C10">
        <v>416</v>
      </c>
      <c r="D10">
        <v>5</v>
      </c>
      <c r="E10">
        <f t="shared" si="0"/>
        <v>2080</v>
      </c>
      <c r="F10" s="30">
        <v>45376</v>
      </c>
      <c r="G10" t="s">
        <v>22</v>
      </c>
      <c r="H10">
        <v>350</v>
      </c>
      <c r="I10" t="str">
        <f>VLOOKUP(B10,товар!$A$1:$C$433,2,FALSE)</f>
        <v>Чай</v>
      </c>
      <c r="J10" s="23">
        <f t="shared" si="1"/>
        <v>271.18181818181819</v>
      </c>
      <c r="K10" s="24">
        <f t="shared" si="2"/>
        <v>0.53402614817298022</v>
      </c>
      <c r="L10" t="str">
        <f>VLOOKUP(B10,товар!$A$1:$C$433,3,FALSE)</f>
        <v>Greenfield</v>
      </c>
      <c r="M10">
        <f t="shared" si="3"/>
        <v>291.45454545454544</v>
      </c>
      <c r="N10" s="30">
        <f>VLOOKUP(H10,клиенты!$A$1:$G$435,5,FALSE)</f>
        <v>44684</v>
      </c>
      <c r="O10">
        <f t="shared" si="4"/>
        <v>692</v>
      </c>
    </row>
    <row r="11" spans="1:15" x14ac:dyDescent="0.3">
      <c r="A11">
        <v>10</v>
      </c>
      <c r="B11">
        <v>100</v>
      </c>
      <c r="C11">
        <v>449</v>
      </c>
      <c r="D11">
        <v>2</v>
      </c>
      <c r="E11">
        <f t="shared" si="0"/>
        <v>898</v>
      </c>
      <c r="F11" s="30">
        <v>45032</v>
      </c>
      <c r="G11" t="s">
        <v>20</v>
      </c>
      <c r="H11">
        <v>413</v>
      </c>
      <c r="I11" t="str">
        <f>VLOOKUP(B11,товар!$A$1:$C$433,2,FALSE)</f>
        <v>Йогурт</v>
      </c>
      <c r="J11" s="23">
        <f t="shared" si="1"/>
        <v>263.25423728813558</v>
      </c>
      <c r="K11" s="24">
        <f t="shared" si="2"/>
        <v>0.7055755858872006</v>
      </c>
      <c r="L11" t="str">
        <f>VLOOKUP(B11,товар!$A$1:$C$433,3,FALSE)</f>
        <v>Ростагроэкспорт</v>
      </c>
      <c r="M11">
        <f t="shared" si="3"/>
        <v>257.78260869565219</v>
      </c>
      <c r="N11" s="30">
        <f>VLOOKUP(H11,клиенты!$A$1:$G$435,5,FALSE)</f>
        <v>44699</v>
      </c>
      <c r="O11">
        <f t="shared" si="4"/>
        <v>333</v>
      </c>
    </row>
    <row r="12" spans="1:15" x14ac:dyDescent="0.3">
      <c r="A12">
        <v>11</v>
      </c>
      <c r="B12">
        <v>217</v>
      </c>
      <c r="C12">
        <v>296</v>
      </c>
      <c r="D12">
        <v>2</v>
      </c>
      <c r="E12">
        <f t="shared" si="0"/>
        <v>592</v>
      </c>
      <c r="F12" s="30">
        <v>45136</v>
      </c>
      <c r="G12" t="s">
        <v>20</v>
      </c>
      <c r="H12">
        <v>495</v>
      </c>
      <c r="I12" t="str">
        <f>VLOOKUP(B12,товар!$A$1:$C$433,2,FALSE)</f>
        <v>Мясо</v>
      </c>
      <c r="J12" s="23">
        <f t="shared" si="1"/>
        <v>271.74545454545455</v>
      </c>
      <c r="K12" s="24">
        <f t="shared" si="2"/>
        <v>8.925465007359823E-2</v>
      </c>
      <c r="L12" t="str">
        <f>VLOOKUP(B12,товар!$A$1:$C$433,3,FALSE)</f>
        <v>Агрокомплекс</v>
      </c>
      <c r="M12">
        <f t="shared" si="3"/>
        <v>311.2</v>
      </c>
      <c r="N12" s="30">
        <f>VLOOKUP(H12,клиенты!$A$1:$G$435,5,FALSE)</f>
        <v>44654</v>
      </c>
      <c r="O12">
        <f t="shared" si="4"/>
        <v>482</v>
      </c>
    </row>
    <row r="13" spans="1:15" x14ac:dyDescent="0.3">
      <c r="A13">
        <v>12</v>
      </c>
      <c r="B13">
        <v>445</v>
      </c>
      <c r="C13">
        <v>109</v>
      </c>
      <c r="D13">
        <v>5</v>
      </c>
      <c r="E13">
        <f t="shared" si="0"/>
        <v>545</v>
      </c>
      <c r="F13" s="30">
        <v>45394</v>
      </c>
      <c r="G13" t="s">
        <v>21</v>
      </c>
      <c r="H13">
        <v>353</v>
      </c>
      <c r="I13" t="str">
        <f>VLOOKUP(B13,товар!$A$1:$C$433,2,FALSE)</f>
        <v>Сахар</v>
      </c>
      <c r="J13" s="23">
        <f t="shared" si="1"/>
        <v>252.76271186440678</v>
      </c>
      <c r="K13" s="24">
        <f t="shared" si="2"/>
        <v>-0.56876550660497549</v>
      </c>
      <c r="L13" t="str">
        <f>VLOOKUP(B13,товар!$A$1:$C$433,3,FALSE)</f>
        <v>Сладов</v>
      </c>
      <c r="M13">
        <f t="shared" si="3"/>
        <v>240.26666666666668</v>
      </c>
      <c r="N13" s="30">
        <f>VLOOKUP(H13,клиенты!$A$1:$G$435,5,FALSE)</f>
        <v>44656</v>
      </c>
      <c r="O13">
        <f t="shared" si="4"/>
        <v>738</v>
      </c>
    </row>
    <row r="14" spans="1:15" x14ac:dyDescent="0.3">
      <c r="A14">
        <v>13</v>
      </c>
      <c r="B14">
        <v>284</v>
      </c>
      <c r="C14">
        <v>213</v>
      </c>
      <c r="D14">
        <v>3</v>
      </c>
      <c r="E14">
        <f t="shared" si="0"/>
        <v>639</v>
      </c>
      <c r="F14" s="30">
        <v>45266</v>
      </c>
      <c r="G14" t="s">
        <v>17</v>
      </c>
      <c r="H14">
        <v>332</v>
      </c>
      <c r="I14" t="str">
        <f>VLOOKUP(B14,товар!$A$1:$C$433,2,FALSE)</f>
        <v>Мясо</v>
      </c>
      <c r="J14" s="23">
        <f t="shared" si="1"/>
        <v>271.74545454545455</v>
      </c>
      <c r="K14" s="24">
        <f t="shared" si="2"/>
        <v>-0.21617824167001209</v>
      </c>
      <c r="L14" t="str">
        <f>VLOOKUP(B14,товар!$A$1:$C$433,3,FALSE)</f>
        <v>Сава</v>
      </c>
      <c r="M14">
        <f t="shared" si="3"/>
        <v>212.8125</v>
      </c>
      <c r="N14" s="30">
        <f>VLOOKUP(H14,клиенты!$A$1:$G$435,5,FALSE)</f>
        <v>44858</v>
      </c>
      <c r="O14">
        <f t="shared" si="4"/>
        <v>408</v>
      </c>
    </row>
    <row r="15" spans="1:15" x14ac:dyDescent="0.3">
      <c r="A15">
        <v>14</v>
      </c>
      <c r="B15">
        <v>116</v>
      </c>
      <c r="C15">
        <v>190</v>
      </c>
      <c r="D15">
        <v>4</v>
      </c>
      <c r="E15">
        <f t="shared" si="0"/>
        <v>760</v>
      </c>
      <c r="F15" s="30">
        <v>45133</v>
      </c>
      <c r="G15" t="s">
        <v>18</v>
      </c>
      <c r="H15">
        <v>414</v>
      </c>
      <c r="I15" t="str">
        <f>VLOOKUP(B15,товар!$A$1:$C$433,2,FALSE)</f>
        <v>Соль</v>
      </c>
      <c r="J15" s="23">
        <f t="shared" si="1"/>
        <v>264.8679245283019</v>
      </c>
      <c r="K15" s="24">
        <f t="shared" si="2"/>
        <v>-0.28266134777033769</v>
      </c>
      <c r="L15" t="str">
        <f>VLOOKUP(B15,товар!$A$1:$C$433,3,FALSE)</f>
        <v>Экстра</v>
      </c>
      <c r="M15">
        <f t="shared" si="3"/>
        <v>320.84615384615387</v>
      </c>
      <c r="N15" s="30">
        <f>VLOOKUP(H15,клиенты!$A$1:$G$435,5,FALSE)</f>
        <v>44794</v>
      </c>
      <c r="O15">
        <f t="shared" si="4"/>
        <v>339</v>
      </c>
    </row>
    <row r="16" spans="1:15" x14ac:dyDescent="0.3">
      <c r="A16">
        <v>15</v>
      </c>
      <c r="B16">
        <v>378</v>
      </c>
      <c r="C16">
        <v>237</v>
      </c>
      <c r="D16">
        <v>1</v>
      </c>
      <c r="E16">
        <f t="shared" si="0"/>
        <v>237</v>
      </c>
      <c r="F16" s="30">
        <v>44972</v>
      </c>
      <c r="G16" t="s">
        <v>20</v>
      </c>
      <c r="H16">
        <v>236</v>
      </c>
      <c r="I16" t="str">
        <f>VLOOKUP(B16,товар!$A$1:$C$433,2,FALSE)</f>
        <v>Сок</v>
      </c>
      <c r="J16" s="23">
        <f t="shared" si="1"/>
        <v>268.60344827586209</v>
      </c>
      <c r="K16" s="24">
        <f t="shared" si="2"/>
        <v>-0.11765838628923564</v>
      </c>
      <c r="L16" t="str">
        <f>VLOOKUP(B16,товар!$A$1:$C$433,3,FALSE)</f>
        <v>Фруктовый сад</v>
      </c>
      <c r="M16">
        <f t="shared" si="3"/>
        <v>281.96875</v>
      </c>
      <c r="N16" s="30">
        <f>VLOOKUP(H16,клиенты!$A$1:$G$435,5,FALSE)</f>
        <v>44820</v>
      </c>
      <c r="O16">
        <f t="shared" si="4"/>
        <v>152</v>
      </c>
    </row>
    <row r="17" spans="1:15" x14ac:dyDescent="0.3">
      <c r="A17">
        <v>16</v>
      </c>
      <c r="B17">
        <v>299</v>
      </c>
      <c r="C17">
        <v>178</v>
      </c>
      <c r="D17">
        <v>3</v>
      </c>
      <c r="E17">
        <f t="shared" si="0"/>
        <v>534</v>
      </c>
      <c r="F17" s="30">
        <v>44980</v>
      </c>
      <c r="G17" t="s">
        <v>21</v>
      </c>
      <c r="H17">
        <v>164</v>
      </c>
      <c r="I17" t="str">
        <f>VLOOKUP(B17,товар!$A$1:$C$433,2,FALSE)</f>
        <v>Чай</v>
      </c>
      <c r="J17" s="23">
        <f t="shared" si="1"/>
        <v>271.18181818181819</v>
      </c>
      <c r="K17" s="24">
        <f t="shared" si="2"/>
        <v>-0.34361381159906135</v>
      </c>
      <c r="L17" t="str">
        <f>VLOOKUP(B17,товар!$A$1:$C$433,3,FALSE)</f>
        <v>Lipton</v>
      </c>
      <c r="M17">
        <f t="shared" si="3"/>
        <v>260.15789473684208</v>
      </c>
      <c r="N17" s="30">
        <f>VLOOKUP(H17,клиенты!$A$1:$G$435,5,FALSE)</f>
        <v>44678</v>
      </c>
      <c r="O17">
        <f t="shared" si="4"/>
        <v>302</v>
      </c>
    </row>
    <row r="18" spans="1:15" x14ac:dyDescent="0.3">
      <c r="A18">
        <v>17</v>
      </c>
      <c r="B18">
        <v>359</v>
      </c>
      <c r="C18">
        <v>320</v>
      </c>
      <c r="D18">
        <v>5</v>
      </c>
      <c r="E18">
        <f t="shared" si="0"/>
        <v>1600</v>
      </c>
      <c r="F18" s="30">
        <v>45216</v>
      </c>
      <c r="G18" t="s">
        <v>23</v>
      </c>
      <c r="H18">
        <v>490</v>
      </c>
      <c r="I18" t="str">
        <f>VLOOKUP(B18,товар!$A$1:$C$433,2,FALSE)</f>
        <v>Мясо</v>
      </c>
      <c r="J18" s="23">
        <f t="shared" si="1"/>
        <v>271.74545454545455</v>
      </c>
      <c r="K18" s="24">
        <f t="shared" si="2"/>
        <v>0.1775725946741602</v>
      </c>
      <c r="L18" t="str">
        <f>VLOOKUP(B18,товар!$A$1:$C$433,3,FALSE)</f>
        <v>Мираторг</v>
      </c>
      <c r="M18">
        <f t="shared" si="3"/>
        <v>316.58333333333331</v>
      </c>
      <c r="N18" s="30">
        <f>VLOOKUP(H18,клиенты!$A$1:$G$435,5,FALSE)</f>
        <v>44603</v>
      </c>
      <c r="O18">
        <f t="shared" si="4"/>
        <v>613</v>
      </c>
    </row>
    <row r="19" spans="1:15" x14ac:dyDescent="0.3">
      <c r="A19">
        <v>18</v>
      </c>
      <c r="B19">
        <v>337</v>
      </c>
      <c r="C19">
        <v>419</v>
      </c>
      <c r="D19">
        <v>2</v>
      </c>
      <c r="E19">
        <f t="shared" si="0"/>
        <v>838</v>
      </c>
      <c r="F19" s="30">
        <v>45116</v>
      </c>
      <c r="G19" t="s">
        <v>17</v>
      </c>
      <c r="H19">
        <v>223</v>
      </c>
      <c r="I19" t="str">
        <f>VLOOKUP(B19,товар!$A$1:$C$433,2,FALSE)</f>
        <v>Макароны</v>
      </c>
      <c r="J19" s="23">
        <f t="shared" si="1"/>
        <v>265.47674418604652</v>
      </c>
      <c r="K19" s="24">
        <f t="shared" si="2"/>
        <v>0.57829267224387881</v>
      </c>
      <c r="L19" t="str">
        <f>VLOOKUP(B19,товар!$A$1:$C$433,3,FALSE)</f>
        <v>Паста Зара</v>
      </c>
      <c r="M19">
        <f t="shared" si="3"/>
        <v>276.67567567567568</v>
      </c>
      <c r="N19" s="30">
        <f>VLOOKUP(H19,клиенты!$A$1:$G$435,5,FALSE)</f>
        <v>44893</v>
      </c>
      <c r="O19">
        <f t="shared" si="4"/>
        <v>223</v>
      </c>
    </row>
    <row r="20" spans="1:15" x14ac:dyDescent="0.3">
      <c r="A20">
        <v>19</v>
      </c>
      <c r="B20">
        <v>226</v>
      </c>
      <c r="C20">
        <v>190</v>
      </c>
      <c r="D20">
        <v>5</v>
      </c>
      <c r="E20">
        <f t="shared" si="0"/>
        <v>950</v>
      </c>
      <c r="F20" s="30">
        <v>45058</v>
      </c>
      <c r="G20" t="s">
        <v>24</v>
      </c>
      <c r="H20">
        <v>204</v>
      </c>
      <c r="I20" t="str">
        <f>VLOOKUP(B20,товар!$A$1:$C$433,2,FALSE)</f>
        <v>Сыр</v>
      </c>
      <c r="J20" s="23">
        <f t="shared" si="1"/>
        <v>262.63492063492066</v>
      </c>
      <c r="K20" s="24">
        <f t="shared" si="2"/>
        <v>-0.2765623111326001</v>
      </c>
      <c r="L20" t="str">
        <f>VLOOKUP(B20,товар!$A$1:$C$433,3,FALSE)</f>
        <v>Карат</v>
      </c>
      <c r="M20">
        <f t="shared" si="3"/>
        <v>311.33333333333331</v>
      </c>
      <c r="N20" s="30">
        <f>VLOOKUP(H20,клиенты!$A$1:$G$435,5,FALSE)</f>
        <v>44867</v>
      </c>
      <c r="O20">
        <f t="shared" si="4"/>
        <v>191</v>
      </c>
    </row>
    <row r="21" spans="1:15" x14ac:dyDescent="0.3">
      <c r="A21">
        <v>20</v>
      </c>
      <c r="B21">
        <v>310</v>
      </c>
      <c r="C21">
        <v>458</v>
      </c>
      <c r="D21">
        <v>2</v>
      </c>
      <c r="E21">
        <f t="shared" si="0"/>
        <v>916</v>
      </c>
      <c r="F21" s="30">
        <v>45158</v>
      </c>
      <c r="G21" t="s">
        <v>24</v>
      </c>
      <c r="H21">
        <v>481</v>
      </c>
      <c r="I21" t="str">
        <f>VLOOKUP(B21,товар!$A$1:$C$433,2,FALSE)</f>
        <v>Макароны</v>
      </c>
      <c r="J21" s="23">
        <f t="shared" si="1"/>
        <v>265.47674418604652</v>
      </c>
      <c r="K21" s="24">
        <f t="shared" si="2"/>
        <v>0.72519819543603004</v>
      </c>
      <c r="L21" t="str">
        <f>VLOOKUP(B21,товар!$A$1:$C$433,3,FALSE)</f>
        <v>Паста Зара</v>
      </c>
      <c r="M21">
        <f t="shared" si="3"/>
        <v>276.67567567567568</v>
      </c>
      <c r="N21" s="30">
        <f>VLOOKUP(H21,клиенты!$A$1:$G$435,5,FALSE)</f>
        <v>44756</v>
      </c>
      <c r="O21">
        <f t="shared" si="4"/>
        <v>402</v>
      </c>
    </row>
    <row r="22" spans="1:15" x14ac:dyDescent="0.3">
      <c r="A22">
        <v>21</v>
      </c>
      <c r="B22">
        <v>137</v>
      </c>
      <c r="C22">
        <v>152</v>
      </c>
      <c r="D22">
        <v>2</v>
      </c>
      <c r="E22">
        <f t="shared" si="0"/>
        <v>304</v>
      </c>
      <c r="F22" s="30">
        <v>45244</v>
      </c>
      <c r="G22" t="s">
        <v>15</v>
      </c>
      <c r="H22">
        <v>363</v>
      </c>
      <c r="I22" t="str">
        <f>VLOOKUP(B22,товар!$A$1:$C$433,2,FALSE)</f>
        <v>Фрукты</v>
      </c>
      <c r="J22" s="23">
        <f t="shared" si="1"/>
        <v>274.16279069767444</v>
      </c>
      <c r="K22" s="24">
        <f t="shared" si="2"/>
        <v>-0.4455848672491306</v>
      </c>
      <c r="L22" t="str">
        <f>VLOOKUP(B22,товар!$A$1:$C$433,3,FALSE)</f>
        <v>Экзотик</v>
      </c>
      <c r="M22">
        <f t="shared" si="3"/>
        <v>253.6875</v>
      </c>
      <c r="N22" s="30">
        <f>VLOOKUP(H22,клиенты!$A$1:$G$435,5,FALSE)</f>
        <v>44675</v>
      </c>
      <c r="O22">
        <f t="shared" si="4"/>
        <v>569</v>
      </c>
    </row>
    <row r="23" spans="1:15" x14ac:dyDescent="0.3">
      <c r="A23">
        <v>22</v>
      </c>
      <c r="B23">
        <v>385</v>
      </c>
      <c r="C23">
        <v>352</v>
      </c>
      <c r="D23">
        <v>2</v>
      </c>
      <c r="E23">
        <f t="shared" si="0"/>
        <v>704</v>
      </c>
      <c r="F23" s="30">
        <v>45123</v>
      </c>
      <c r="G23" t="s">
        <v>21</v>
      </c>
      <c r="H23">
        <v>397</v>
      </c>
      <c r="I23" t="str">
        <f>VLOOKUP(B23,товар!$A$1:$C$433,2,FALSE)</f>
        <v>Макароны</v>
      </c>
      <c r="J23" s="23">
        <f t="shared" si="1"/>
        <v>265.47674418604652</v>
      </c>
      <c r="K23" s="24">
        <f t="shared" si="2"/>
        <v>0.32591651701633739</v>
      </c>
      <c r="L23" t="str">
        <f>VLOOKUP(B23,товар!$A$1:$C$433,3,FALSE)</f>
        <v>Макфа</v>
      </c>
      <c r="M23">
        <f t="shared" si="3"/>
        <v>329.27272727272725</v>
      </c>
      <c r="N23" s="30">
        <f>VLOOKUP(H23,клиенты!$A$1:$G$435,5,FALSE)</f>
        <v>44728</v>
      </c>
      <c r="O23">
        <f t="shared" si="4"/>
        <v>395</v>
      </c>
    </row>
    <row r="24" spans="1:15" x14ac:dyDescent="0.3">
      <c r="A24">
        <v>23</v>
      </c>
      <c r="B24">
        <v>226</v>
      </c>
      <c r="C24">
        <v>228</v>
      </c>
      <c r="D24">
        <v>2</v>
      </c>
      <c r="E24">
        <f t="shared" si="0"/>
        <v>456</v>
      </c>
      <c r="F24" s="30">
        <v>45027</v>
      </c>
      <c r="G24" t="s">
        <v>25</v>
      </c>
      <c r="H24">
        <v>280</v>
      </c>
      <c r="I24" t="str">
        <f>VLOOKUP(B24,товар!$A$1:$C$433,2,FALSE)</f>
        <v>Сыр</v>
      </c>
      <c r="J24" s="23">
        <f t="shared" si="1"/>
        <v>262.63492063492066</v>
      </c>
      <c r="K24" s="24">
        <f t="shared" si="2"/>
        <v>-0.13187477335912012</v>
      </c>
      <c r="L24" t="str">
        <f>VLOOKUP(B24,товар!$A$1:$C$433,3,FALSE)</f>
        <v>Карат</v>
      </c>
      <c r="M24">
        <f t="shared" si="3"/>
        <v>311.33333333333331</v>
      </c>
      <c r="N24" s="30">
        <f>VLOOKUP(H24,клиенты!$A$1:$G$435,5,FALSE)</f>
        <v>44563</v>
      </c>
      <c r="O24">
        <f t="shared" si="4"/>
        <v>464</v>
      </c>
    </row>
    <row r="25" spans="1:15" x14ac:dyDescent="0.3">
      <c r="A25">
        <v>24</v>
      </c>
      <c r="B25">
        <v>451</v>
      </c>
      <c r="C25">
        <v>161</v>
      </c>
      <c r="D25">
        <v>4</v>
      </c>
      <c r="E25">
        <f t="shared" si="0"/>
        <v>644</v>
      </c>
      <c r="F25" s="30">
        <v>44966</v>
      </c>
      <c r="G25" t="s">
        <v>22</v>
      </c>
      <c r="H25">
        <v>39</v>
      </c>
      <c r="I25" t="str">
        <f>VLOOKUP(B25,товар!$A$1:$C$433,2,FALSE)</f>
        <v>Рис</v>
      </c>
      <c r="J25" s="23">
        <f t="shared" si="1"/>
        <v>258.375</v>
      </c>
      <c r="K25" s="24">
        <f t="shared" si="2"/>
        <v>-0.37687469762941461</v>
      </c>
      <c r="L25" t="str">
        <f>VLOOKUP(B25,товар!$A$1:$C$433,3,FALSE)</f>
        <v>Белый Злат</v>
      </c>
      <c r="M25">
        <f t="shared" si="3"/>
        <v>269.70588235294116</v>
      </c>
      <c r="N25" s="30">
        <f>VLOOKUP(H25,клиенты!$A$1:$G$435,5,FALSE)</f>
        <v>44653</v>
      </c>
      <c r="O25">
        <f t="shared" si="4"/>
        <v>313</v>
      </c>
    </row>
    <row r="26" spans="1:15" x14ac:dyDescent="0.3">
      <c r="A26">
        <v>25</v>
      </c>
      <c r="B26">
        <v>7</v>
      </c>
      <c r="C26">
        <v>362</v>
      </c>
      <c r="D26">
        <v>1</v>
      </c>
      <c r="E26">
        <f t="shared" si="0"/>
        <v>362</v>
      </c>
      <c r="F26" s="30">
        <v>45326</v>
      </c>
      <c r="G26" t="s">
        <v>19</v>
      </c>
      <c r="H26">
        <v>303</v>
      </c>
      <c r="I26" t="str">
        <f>VLOOKUP(B26,товар!$A$1:$C$433,2,FALSE)</f>
        <v>Сыр</v>
      </c>
      <c r="J26" s="23">
        <f t="shared" si="1"/>
        <v>262.63492063492066</v>
      </c>
      <c r="K26" s="24">
        <f t="shared" si="2"/>
        <v>0.37833917563157238</v>
      </c>
      <c r="L26" t="str">
        <f>VLOOKUP(B26,товар!$A$1:$C$433,3,FALSE)</f>
        <v>President</v>
      </c>
      <c r="M26">
        <f t="shared" si="3"/>
        <v>238.72222222222223</v>
      </c>
      <c r="N26" s="30">
        <f>VLOOKUP(H26,клиенты!$A$1:$G$435,5,FALSE)</f>
        <v>44689</v>
      </c>
      <c r="O26">
        <f t="shared" si="4"/>
        <v>637</v>
      </c>
    </row>
    <row r="27" spans="1:15" x14ac:dyDescent="0.3">
      <c r="A27">
        <v>26</v>
      </c>
      <c r="B27">
        <v>495</v>
      </c>
      <c r="C27">
        <v>312</v>
      </c>
      <c r="D27">
        <v>1</v>
      </c>
      <c r="E27">
        <f t="shared" si="0"/>
        <v>312</v>
      </c>
      <c r="F27" s="30">
        <v>45174</v>
      </c>
      <c r="G27" t="s">
        <v>23</v>
      </c>
      <c r="H27">
        <v>422</v>
      </c>
      <c r="I27" t="str">
        <f>VLOOKUP(B27,товар!$A$1:$C$433,2,FALSE)</f>
        <v>Чай</v>
      </c>
      <c r="J27" s="23">
        <f t="shared" si="1"/>
        <v>271.18181818181819</v>
      </c>
      <c r="K27" s="24">
        <f t="shared" si="2"/>
        <v>0.15051961112973511</v>
      </c>
      <c r="L27" t="str">
        <f>VLOOKUP(B27,товар!$A$1:$C$433,3,FALSE)</f>
        <v>Greenfield</v>
      </c>
      <c r="M27">
        <f t="shared" si="3"/>
        <v>291.45454545454544</v>
      </c>
      <c r="N27" s="30">
        <f>VLOOKUP(H27,клиенты!$A$1:$G$435,5,FALSE)</f>
        <v>44784</v>
      </c>
      <c r="O27">
        <f t="shared" si="4"/>
        <v>390</v>
      </c>
    </row>
    <row r="28" spans="1:15" x14ac:dyDescent="0.3">
      <c r="A28">
        <v>27</v>
      </c>
      <c r="B28">
        <v>415</v>
      </c>
      <c r="C28">
        <v>311</v>
      </c>
      <c r="D28">
        <v>5</v>
      </c>
      <c r="E28">
        <f t="shared" si="0"/>
        <v>1555</v>
      </c>
      <c r="F28" s="30">
        <v>45099</v>
      </c>
      <c r="G28" t="s">
        <v>26</v>
      </c>
      <c r="H28">
        <v>24</v>
      </c>
      <c r="I28" t="str">
        <f>VLOOKUP(B28,товар!$A$1:$C$433,2,FALSE)</f>
        <v>Чипсы</v>
      </c>
      <c r="J28" s="23">
        <f t="shared" si="1"/>
        <v>273.72549019607845</v>
      </c>
      <c r="K28" s="24">
        <f t="shared" si="2"/>
        <v>0.13617478510028636</v>
      </c>
      <c r="L28" t="str">
        <f>VLOOKUP(B28,товар!$A$1:$C$433,3,FALSE)</f>
        <v>Pringles</v>
      </c>
      <c r="M28">
        <f t="shared" si="3"/>
        <v>280.23809523809524</v>
      </c>
      <c r="N28" s="30">
        <f>VLOOKUP(H28,клиенты!$A$1:$G$435,5,FALSE)</f>
        <v>44609</v>
      </c>
      <c r="O28">
        <f t="shared" si="4"/>
        <v>490</v>
      </c>
    </row>
    <row r="29" spans="1:15" x14ac:dyDescent="0.3">
      <c r="A29">
        <v>28</v>
      </c>
      <c r="B29">
        <v>176</v>
      </c>
      <c r="C29">
        <v>220</v>
      </c>
      <c r="D29">
        <v>1</v>
      </c>
      <c r="E29">
        <f t="shared" si="0"/>
        <v>220</v>
      </c>
      <c r="F29" s="30">
        <v>45368</v>
      </c>
      <c r="G29" t="s">
        <v>15</v>
      </c>
      <c r="H29">
        <v>112</v>
      </c>
      <c r="I29" t="str">
        <f>VLOOKUP(B29,товар!$A$1:$C$433,2,FALSE)</f>
        <v>Сахар</v>
      </c>
      <c r="J29" s="23">
        <f t="shared" si="1"/>
        <v>252.76271186440678</v>
      </c>
      <c r="K29" s="24">
        <f t="shared" si="2"/>
        <v>-0.12961845369811575</v>
      </c>
      <c r="L29" t="str">
        <f>VLOOKUP(B29,товар!$A$1:$C$433,3,FALSE)</f>
        <v>Продимекс</v>
      </c>
      <c r="M29">
        <f t="shared" si="3"/>
        <v>240.5</v>
      </c>
      <c r="N29" s="30">
        <f>VLOOKUP(H29,клиенты!$A$1:$G$435,5,FALSE)</f>
        <v>44652</v>
      </c>
      <c r="O29">
        <f t="shared" si="4"/>
        <v>716</v>
      </c>
    </row>
    <row r="30" spans="1:15" x14ac:dyDescent="0.3">
      <c r="A30">
        <v>29</v>
      </c>
      <c r="B30">
        <v>181</v>
      </c>
      <c r="C30">
        <v>476</v>
      </c>
      <c r="D30">
        <v>4</v>
      </c>
      <c r="E30">
        <f t="shared" si="0"/>
        <v>1904</v>
      </c>
      <c r="F30" s="30">
        <v>45040</v>
      </c>
      <c r="G30" t="s">
        <v>15</v>
      </c>
      <c r="H30">
        <v>451</v>
      </c>
      <c r="I30" t="str">
        <f>VLOOKUP(B30,товар!$A$1:$C$433,2,FALSE)</f>
        <v>Молоко</v>
      </c>
      <c r="J30" s="23">
        <f t="shared" si="1"/>
        <v>294.95238095238096</v>
      </c>
      <c r="K30" s="24">
        <f t="shared" si="2"/>
        <v>0.61381982563771387</v>
      </c>
      <c r="L30" t="str">
        <f>VLOOKUP(B30,товар!$A$1:$C$433,3,FALSE)</f>
        <v>Простоквашино</v>
      </c>
      <c r="M30">
        <f t="shared" si="3"/>
        <v>318.81818181818181</v>
      </c>
      <c r="N30" s="30">
        <f>VLOOKUP(H30,клиенты!$A$1:$G$435,5,FALSE)</f>
        <v>44584</v>
      </c>
      <c r="O30">
        <f t="shared" si="4"/>
        <v>456</v>
      </c>
    </row>
    <row r="31" spans="1:15" x14ac:dyDescent="0.3">
      <c r="A31">
        <v>30</v>
      </c>
      <c r="B31">
        <v>399</v>
      </c>
      <c r="C31">
        <v>190</v>
      </c>
      <c r="D31">
        <v>1</v>
      </c>
      <c r="E31">
        <f t="shared" si="0"/>
        <v>190</v>
      </c>
      <c r="F31" s="30">
        <v>45414</v>
      </c>
      <c r="G31" t="s">
        <v>17</v>
      </c>
      <c r="H31">
        <v>131</v>
      </c>
      <c r="I31" t="str">
        <f>VLOOKUP(B31,товар!$A$1:$C$433,2,FALSE)</f>
        <v>Хлеб</v>
      </c>
      <c r="J31" s="23">
        <f t="shared" si="1"/>
        <v>300.31818181818181</v>
      </c>
      <c r="K31" s="24">
        <f t="shared" si="2"/>
        <v>-0.36733767216588464</v>
      </c>
      <c r="L31" t="str">
        <f>VLOOKUP(B31,товар!$A$1:$C$433,3,FALSE)</f>
        <v>Хлебный Дом</v>
      </c>
      <c r="M31">
        <f t="shared" si="3"/>
        <v>281.73333333333335</v>
      </c>
      <c r="N31" s="30">
        <f>VLOOKUP(H31,клиенты!$A$1:$G$435,5,FALSE)</f>
        <v>44693</v>
      </c>
      <c r="O31">
        <f t="shared" si="4"/>
        <v>721</v>
      </c>
    </row>
    <row r="32" spans="1:15" x14ac:dyDescent="0.3">
      <c r="A32">
        <v>31</v>
      </c>
      <c r="B32">
        <v>382</v>
      </c>
      <c r="C32">
        <v>198</v>
      </c>
      <c r="D32">
        <v>5</v>
      </c>
      <c r="E32">
        <f t="shared" si="0"/>
        <v>990</v>
      </c>
      <c r="F32" s="30">
        <v>45125</v>
      </c>
      <c r="G32" t="s">
        <v>27</v>
      </c>
      <c r="H32">
        <v>160</v>
      </c>
      <c r="I32" t="str">
        <f>VLOOKUP(B32,товар!$A$1:$C$433,2,FALSE)</f>
        <v>Овощи</v>
      </c>
      <c r="J32" s="23">
        <f t="shared" si="1"/>
        <v>250.48780487804879</v>
      </c>
      <c r="K32" s="24">
        <f t="shared" si="2"/>
        <v>-0.2095423563777995</v>
      </c>
      <c r="L32" t="str">
        <f>VLOOKUP(B32,товар!$A$1:$C$433,3,FALSE)</f>
        <v>Овощной ряд</v>
      </c>
      <c r="M32">
        <f t="shared" si="3"/>
        <v>303.8235294117647</v>
      </c>
      <c r="N32" s="30">
        <f>VLOOKUP(H32,клиенты!$A$1:$G$435,5,FALSE)</f>
        <v>44649</v>
      </c>
      <c r="O32">
        <f t="shared" si="4"/>
        <v>476</v>
      </c>
    </row>
    <row r="33" spans="1:15" x14ac:dyDescent="0.3">
      <c r="A33">
        <v>32</v>
      </c>
      <c r="B33">
        <v>103</v>
      </c>
      <c r="C33">
        <v>254</v>
      </c>
      <c r="D33">
        <v>3</v>
      </c>
      <c r="E33">
        <f t="shared" si="0"/>
        <v>762</v>
      </c>
      <c r="F33" s="30">
        <v>45352</v>
      </c>
      <c r="G33" t="s">
        <v>28</v>
      </c>
      <c r="H33">
        <v>408</v>
      </c>
      <c r="I33" t="str">
        <f>VLOOKUP(B33,товар!$A$1:$C$433,2,FALSE)</f>
        <v>Рыба</v>
      </c>
      <c r="J33" s="23">
        <f t="shared" si="1"/>
        <v>258.5128205128205</v>
      </c>
      <c r="K33" s="24">
        <f t="shared" si="2"/>
        <v>-1.7456853798849425E-2</v>
      </c>
      <c r="L33" t="str">
        <f>VLOOKUP(B33,товар!$A$1:$C$433,3,FALSE)</f>
        <v>Санта Бремор</v>
      </c>
      <c r="M33">
        <f t="shared" si="3"/>
        <v>216.4</v>
      </c>
      <c r="N33" s="30">
        <f>VLOOKUP(H33,клиенты!$A$1:$G$435,5,FALSE)</f>
        <v>44857</v>
      </c>
      <c r="O33">
        <f t="shared" si="4"/>
        <v>495</v>
      </c>
    </row>
    <row r="34" spans="1:15" x14ac:dyDescent="0.3">
      <c r="A34">
        <v>33</v>
      </c>
      <c r="B34">
        <v>104</v>
      </c>
      <c r="C34">
        <v>351</v>
      </c>
      <c r="D34">
        <v>1</v>
      </c>
      <c r="E34">
        <f t="shared" si="0"/>
        <v>351</v>
      </c>
      <c r="F34" s="30">
        <v>44997</v>
      </c>
      <c r="G34" t="s">
        <v>27</v>
      </c>
      <c r="H34">
        <v>324</v>
      </c>
      <c r="I34" t="str">
        <f>VLOOKUP(B34,товар!$A$1:$C$433,2,FALSE)</f>
        <v>Йогурт</v>
      </c>
      <c r="J34" s="23">
        <f t="shared" si="1"/>
        <v>263.25423728813558</v>
      </c>
      <c r="K34" s="24">
        <f t="shared" si="2"/>
        <v>0.33331187226371362</v>
      </c>
      <c r="L34" t="str">
        <f>VLOOKUP(B34,товар!$A$1:$C$433,3,FALSE)</f>
        <v>Ростагроэкспорт</v>
      </c>
      <c r="M34">
        <f t="shared" si="3"/>
        <v>257.78260869565219</v>
      </c>
      <c r="N34" s="30">
        <f>VLOOKUP(H34,клиенты!$A$1:$G$435,5,FALSE)</f>
        <v>44761</v>
      </c>
      <c r="O34">
        <f t="shared" si="4"/>
        <v>236</v>
      </c>
    </row>
    <row r="35" spans="1:15" x14ac:dyDescent="0.3">
      <c r="A35">
        <v>34</v>
      </c>
      <c r="B35">
        <v>213</v>
      </c>
      <c r="C35">
        <v>387</v>
      </c>
      <c r="D35">
        <v>1</v>
      </c>
      <c r="E35">
        <f t="shared" si="0"/>
        <v>387</v>
      </c>
      <c r="F35" s="30">
        <v>45267</v>
      </c>
      <c r="G35" t="s">
        <v>20</v>
      </c>
      <c r="H35">
        <v>310</v>
      </c>
      <c r="I35" t="str">
        <f>VLOOKUP(B35,товар!$A$1:$C$433,2,FALSE)</f>
        <v>Сахар</v>
      </c>
      <c r="J35" s="23">
        <f t="shared" si="1"/>
        <v>252.76271186440678</v>
      </c>
      <c r="K35" s="24">
        <f t="shared" si="2"/>
        <v>0.53108026554013277</v>
      </c>
      <c r="L35" t="str">
        <f>VLOOKUP(B35,товар!$A$1:$C$433,3,FALSE)</f>
        <v>Продимекс</v>
      </c>
      <c r="M35">
        <f t="shared" si="3"/>
        <v>240.5</v>
      </c>
      <c r="N35" s="30">
        <f>VLOOKUP(H35,клиенты!$A$1:$G$435,5,FALSE)</f>
        <v>44807</v>
      </c>
      <c r="O35">
        <f t="shared" si="4"/>
        <v>460</v>
      </c>
    </row>
    <row r="36" spans="1:15" x14ac:dyDescent="0.3">
      <c r="A36">
        <v>35</v>
      </c>
      <c r="B36">
        <v>157</v>
      </c>
      <c r="C36">
        <v>55</v>
      </c>
      <c r="D36">
        <v>2</v>
      </c>
      <c r="E36">
        <f t="shared" si="0"/>
        <v>110</v>
      </c>
      <c r="F36" s="30">
        <v>45381</v>
      </c>
      <c r="G36" t="s">
        <v>17</v>
      </c>
      <c r="H36">
        <v>179</v>
      </c>
      <c r="I36" t="str">
        <f>VLOOKUP(B36,товар!$A$1:$C$433,2,FALSE)</f>
        <v>Сыр</v>
      </c>
      <c r="J36" s="23">
        <f t="shared" si="1"/>
        <v>262.63492063492066</v>
      </c>
      <c r="K36" s="24">
        <f t="shared" si="2"/>
        <v>-0.79058382690680529</v>
      </c>
      <c r="L36" t="str">
        <f>VLOOKUP(B36,товар!$A$1:$C$433,3,FALSE)</f>
        <v>President</v>
      </c>
      <c r="M36">
        <f t="shared" si="3"/>
        <v>238.72222222222223</v>
      </c>
      <c r="N36" s="30">
        <f>VLOOKUP(H36,клиенты!$A$1:$G$435,5,FALSE)</f>
        <v>44833</v>
      </c>
      <c r="O36">
        <f t="shared" si="4"/>
        <v>548</v>
      </c>
    </row>
    <row r="37" spans="1:15" x14ac:dyDescent="0.3">
      <c r="A37">
        <v>36</v>
      </c>
      <c r="B37">
        <v>237</v>
      </c>
      <c r="C37">
        <v>336</v>
      </c>
      <c r="D37">
        <v>1</v>
      </c>
      <c r="E37">
        <f t="shared" si="0"/>
        <v>336</v>
      </c>
      <c r="F37" s="30">
        <v>44971</v>
      </c>
      <c r="G37" t="s">
        <v>24</v>
      </c>
      <c r="H37">
        <v>64</v>
      </c>
      <c r="I37" t="str">
        <f>VLOOKUP(B37,товар!$A$1:$C$433,2,FALSE)</f>
        <v>Конфеты</v>
      </c>
      <c r="J37" s="23">
        <f t="shared" si="1"/>
        <v>267.85483870967744</v>
      </c>
      <c r="K37" s="24">
        <f t="shared" si="2"/>
        <v>0.25441079063045691</v>
      </c>
      <c r="L37" t="str">
        <f>VLOOKUP(B37,товар!$A$1:$C$433,3,FALSE)</f>
        <v>Рот Фронт</v>
      </c>
      <c r="M37">
        <f t="shared" si="3"/>
        <v>288.23809523809524</v>
      </c>
      <c r="N37" s="30">
        <f>VLOOKUP(H37,клиенты!$A$1:$G$435,5,FALSE)</f>
        <v>44707</v>
      </c>
      <c r="O37">
        <f t="shared" si="4"/>
        <v>264</v>
      </c>
    </row>
    <row r="38" spans="1:15" x14ac:dyDescent="0.3">
      <c r="A38">
        <v>37</v>
      </c>
      <c r="B38">
        <v>8</v>
      </c>
      <c r="C38">
        <v>480</v>
      </c>
      <c r="D38">
        <v>4</v>
      </c>
      <c r="E38">
        <f t="shared" si="0"/>
        <v>1920</v>
      </c>
      <c r="F38" s="30">
        <v>44947</v>
      </c>
      <c r="G38" t="s">
        <v>29</v>
      </c>
      <c r="H38">
        <v>318</v>
      </c>
      <c r="I38" t="str">
        <f>VLOOKUP(B38,товар!$A$1:$C$433,2,FALSE)</f>
        <v>Макароны</v>
      </c>
      <c r="J38" s="23">
        <f t="shared" si="1"/>
        <v>265.47674418604652</v>
      </c>
      <c r="K38" s="24">
        <f t="shared" si="2"/>
        <v>0.80806797774955097</v>
      </c>
      <c r="L38" t="str">
        <f>VLOOKUP(B38,товар!$A$1:$C$433,3,FALSE)</f>
        <v>Паста Зара</v>
      </c>
      <c r="M38">
        <f t="shared" si="3"/>
        <v>276.67567567567568</v>
      </c>
      <c r="N38" s="30">
        <f>VLOOKUP(H38,клиенты!$A$1:$G$435,5,FALSE)</f>
        <v>44892</v>
      </c>
      <c r="O38">
        <f t="shared" si="4"/>
        <v>55</v>
      </c>
    </row>
    <row r="39" spans="1:15" x14ac:dyDescent="0.3">
      <c r="A39">
        <v>38</v>
      </c>
      <c r="B39">
        <v>65</v>
      </c>
      <c r="C39">
        <v>214</v>
      </c>
      <c r="D39">
        <v>3</v>
      </c>
      <c r="E39">
        <f t="shared" si="0"/>
        <v>642</v>
      </c>
      <c r="F39" s="30">
        <v>45129</v>
      </c>
      <c r="G39" t="s">
        <v>15</v>
      </c>
      <c r="H39">
        <v>239</v>
      </c>
      <c r="I39" t="str">
        <f>VLOOKUP(B39,товар!$A$1:$C$433,2,FALSE)</f>
        <v>Хлеб</v>
      </c>
      <c r="J39" s="23">
        <f t="shared" si="1"/>
        <v>300.31818181818181</v>
      </c>
      <c r="K39" s="24">
        <f t="shared" si="2"/>
        <v>-0.28742243075525953</v>
      </c>
      <c r="L39" t="str">
        <f>VLOOKUP(B39,товар!$A$1:$C$433,3,FALSE)</f>
        <v>Хлебный Дом</v>
      </c>
      <c r="M39">
        <f t="shared" si="3"/>
        <v>281.73333333333335</v>
      </c>
      <c r="N39" s="30">
        <f>VLOOKUP(H39,клиенты!$A$1:$G$435,5,FALSE)</f>
        <v>44767</v>
      </c>
      <c r="O39">
        <f t="shared" si="4"/>
        <v>362</v>
      </c>
    </row>
    <row r="40" spans="1:15" x14ac:dyDescent="0.3">
      <c r="A40">
        <v>39</v>
      </c>
      <c r="B40">
        <v>45</v>
      </c>
      <c r="C40">
        <v>60</v>
      </c>
      <c r="D40">
        <v>2</v>
      </c>
      <c r="E40">
        <f t="shared" si="0"/>
        <v>120</v>
      </c>
      <c r="F40" s="30">
        <v>45406</v>
      </c>
      <c r="G40" t="s">
        <v>30</v>
      </c>
      <c r="H40">
        <v>194</v>
      </c>
      <c r="I40" t="str">
        <f>VLOOKUP(B40,товар!$A$1:$C$433,2,FALSE)</f>
        <v>Сок</v>
      </c>
      <c r="J40" s="23">
        <f t="shared" si="1"/>
        <v>268.60344827586209</v>
      </c>
      <c r="K40" s="24">
        <f t="shared" si="2"/>
        <v>-0.77662237627575581</v>
      </c>
      <c r="L40" t="str">
        <f>VLOOKUP(B40,товар!$A$1:$C$433,3,FALSE)</f>
        <v>Добрый</v>
      </c>
      <c r="M40">
        <f t="shared" si="3"/>
        <v>242.81818181818181</v>
      </c>
      <c r="N40" s="30">
        <f>VLOOKUP(H40,клиенты!$A$1:$G$435,5,FALSE)</f>
        <v>44924</v>
      </c>
      <c r="O40">
        <f t="shared" si="4"/>
        <v>482</v>
      </c>
    </row>
    <row r="41" spans="1:15" x14ac:dyDescent="0.3">
      <c r="A41">
        <v>40</v>
      </c>
      <c r="B41">
        <v>36</v>
      </c>
      <c r="C41">
        <v>414</v>
      </c>
      <c r="D41">
        <v>3</v>
      </c>
      <c r="E41">
        <f t="shared" si="0"/>
        <v>1242</v>
      </c>
      <c r="F41" s="30">
        <v>45117</v>
      </c>
      <c r="G41" t="s">
        <v>21</v>
      </c>
      <c r="H41">
        <v>267</v>
      </c>
      <c r="I41" t="str">
        <f>VLOOKUP(B41,товар!$A$1:$C$433,2,FALSE)</f>
        <v>Макароны</v>
      </c>
      <c r="J41" s="23">
        <f t="shared" si="1"/>
        <v>265.47674418604652</v>
      </c>
      <c r="K41" s="24">
        <f t="shared" si="2"/>
        <v>0.55945863080898772</v>
      </c>
      <c r="L41" t="str">
        <f>VLOOKUP(B41,товар!$A$1:$C$433,3,FALSE)</f>
        <v>Роллтон</v>
      </c>
      <c r="M41">
        <f t="shared" si="3"/>
        <v>235.55555555555554</v>
      </c>
      <c r="N41" s="30">
        <f>VLOOKUP(H41,клиенты!$A$1:$G$435,5,FALSE)</f>
        <v>44910</v>
      </c>
      <c r="O41">
        <f t="shared" si="4"/>
        <v>207</v>
      </c>
    </row>
    <row r="42" spans="1:15" x14ac:dyDescent="0.3">
      <c r="A42">
        <v>41</v>
      </c>
      <c r="B42">
        <v>443</v>
      </c>
      <c r="C42">
        <v>62</v>
      </c>
      <c r="D42">
        <v>3</v>
      </c>
      <c r="E42">
        <f t="shared" si="0"/>
        <v>186</v>
      </c>
      <c r="F42" s="30">
        <v>45194</v>
      </c>
      <c r="G42" t="s">
        <v>19</v>
      </c>
      <c r="H42">
        <v>334</v>
      </c>
      <c r="I42" t="str">
        <f>VLOOKUP(B42,товар!$A$1:$C$433,2,FALSE)</f>
        <v>Кофе</v>
      </c>
      <c r="J42" s="23">
        <f t="shared" si="1"/>
        <v>249.02380952380952</v>
      </c>
      <c r="K42" s="24">
        <f t="shared" si="2"/>
        <v>-0.75102782292762216</v>
      </c>
      <c r="L42" t="str">
        <f>VLOOKUP(B42,товар!$A$1:$C$433,3,FALSE)</f>
        <v>Jacobs</v>
      </c>
      <c r="M42">
        <f t="shared" si="3"/>
        <v>276.21052631578948</v>
      </c>
      <c r="N42" s="30">
        <f>VLOOKUP(H42,клиенты!$A$1:$G$435,5,FALSE)</f>
        <v>44881</v>
      </c>
      <c r="O42">
        <f t="shared" si="4"/>
        <v>313</v>
      </c>
    </row>
    <row r="43" spans="1:15" x14ac:dyDescent="0.3">
      <c r="A43">
        <v>42</v>
      </c>
      <c r="B43">
        <v>384</v>
      </c>
      <c r="C43">
        <v>357</v>
      </c>
      <c r="D43">
        <v>1</v>
      </c>
      <c r="E43">
        <f t="shared" si="0"/>
        <v>357</v>
      </c>
      <c r="F43" s="30">
        <v>45196</v>
      </c>
      <c r="G43" t="s">
        <v>31</v>
      </c>
      <c r="H43">
        <v>47</v>
      </c>
      <c r="I43" t="str">
        <f>VLOOKUP(B43,товар!$A$1:$C$433,2,FALSE)</f>
        <v>Сахар</v>
      </c>
      <c r="J43" s="23">
        <f t="shared" si="1"/>
        <v>252.76271186440678</v>
      </c>
      <c r="K43" s="24">
        <f t="shared" si="2"/>
        <v>0.41239187286260304</v>
      </c>
      <c r="L43" t="str">
        <f>VLOOKUP(B43,товар!$A$1:$C$433,3,FALSE)</f>
        <v>Сладов</v>
      </c>
      <c r="M43">
        <f t="shared" si="3"/>
        <v>240.26666666666668</v>
      </c>
      <c r="N43" s="30">
        <f>VLOOKUP(H43,клиенты!$A$1:$G$435,5,FALSE)</f>
        <v>44693</v>
      </c>
      <c r="O43">
        <f t="shared" si="4"/>
        <v>503</v>
      </c>
    </row>
    <row r="44" spans="1:15" x14ac:dyDescent="0.3">
      <c r="A44">
        <v>43</v>
      </c>
      <c r="B44">
        <v>41</v>
      </c>
      <c r="C44">
        <v>493</v>
      </c>
      <c r="D44">
        <v>3</v>
      </c>
      <c r="E44">
        <f t="shared" si="0"/>
        <v>1479</v>
      </c>
      <c r="F44" s="30">
        <v>45104</v>
      </c>
      <c r="G44" t="s">
        <v>16</v>
      </c>
      <c r="H44">
        <v>287</v>
      </c>
      <c r="I44" t="str">
        <f>VLOOKUP(B44,товар!$A$1:$C$433,2,FALSE)</f>
        <v>Рис</v>
      </c>
      <c r="J44" s="23">
        <f t="shared" si="1"/>
        <v>258.375</v>
      </c>
      <c r="K44" s="24">
        <f t="shared" si="2"/>
        <v>0.90807934204160623</v>
      </c>
      <c r="L44" t="str">
        <f>VLOOKUP(B44,товар!$A$1:$C$433,3,FALSE)</f>
        <v>Агро-Альянс</v>
      </c>
      <c r="M44">
        <f t="shared" si="3"/>
        <v>317.85714285714283</v>
      </c>
      <c r="N44" s="30">
        <f>VLOOKUP(H44,клиенты!$A$1:$G$435,5,FALSE)</f>
        <v>44608</v>
      </c>
      <c r="O44">
        <f t="shared" si="4"/>
        <v>496</v>
      </c>
    </row>
    <row r="45" spans="1:15" x14ac:dyDescent="0.3">
      <c r="A45">
        <v>44</v>
      </c>
      <c r="B45">
        <v>484</v>
      </c>
      <c r="C45">
        <v>305</v>
      </c>
      <c r="D45">
        <v>2</v>
      </c>
      <c r="E45">
        <f t="shared" si="0"/>
        <v>610</v>
      </c>
      <c r="F45" s="30">
        <v>45234</v>
      </c>
      <c r="G45" t="s">
        <v>26</v>
      </c>
      <c r="H45">
        <v>145</v>
      </c>
      <c r="I45" t="str">
        <f>VLOOKUP(B45,товар!$A$1:$C$433,2,FALSE)</f>
        <v>Печенье</v>
      </c>
      <c r="J45" s="23">
        <f t="shared" si="1"/>
        <v>283.468085106383</v>
      </c>
      <c r="K45" s="24">
        <f t="shared" si="2"/>
        <v>7.5958868122795176E-2</v>
      </c>
      <c r="L45" t="str">
        <f>VLOOKUP(B45,товар!$A$1:$C$433,3,FALSE)</f>
        <v>КДВ</v>
      </c>
      <c r="M45">
        <f t="shared" si="3"/>
        <v>323.07692307692309</v>
      </c>
      <c r="N45" s="30">
        <f>VLOOKUP(H45,клиенты!$A$1:$G$435,5,FALSE)</f>
        <v>44653</v>
      </c>
      <c r="O45">
        <f t="shared" si="4"/>
        <v>581</v>
      </c>
    </row>
    <row r="46" spans="1:15" x14ac:dyDescent="0.3">
      <c r="A46">
        <v>45</v>
      </c>
      <c r="B46">
        <v>7</v>
      </c>
      <c r="C46">
        <v>162</v>
      </c>
      <c r="D46">
        <v>4</v>
      </c>
      <c r="E46">
        <f t="shared" si="0"/>
        <v>648</v>
      </c>
      <c r="F46" s="30">
        <v>45387</v>
      </c>
      <c r="G46" t="s">
        <v>23</v>
      </c>
      <c r="H46">
        <v>270</v>
      </c>
      <c r="I46" t="str">
        <f>VLOOKUP(B46,товар!$A$1:$C$433,2,FALSE)</f>
        <v>Сыр</v>
      </c>
      <c r="J46" s="23">
        <f t="shared" si="1"/>
        <v>262.63492063492066</v>
      </c>
      <c r="K46" s="24">
        <f t="shared" si="2"/>
        <v>-0.3831741810709538</v>
      </c>
      <c r="L46" t="str">
        <f>VLOOKUP(B46,товар!$A$1:$C$433,3,FALSE)</f>
        <v>President</v>
      </c>
      <c r="M46">
        <f t="shared" si="3"/>
        <v>238.72222222222223</v>
      </c>
      <c r="N46" s="30">
        <f>VLOOKUP(H46,клиенты!$A$1:$G$435,5,FALSE)</f>
        <v>44827</v>
      </c>
      <c r="O46">
        <f t="shared" si="4"/>
        <v>560</v>
      </c>
    </row>
    <row r="47" spans="1:15" x14ac:dyDescent="0.3">
      <c r="A47">
        <v>46</v>
      </c>
      <c r="B47">
        <v>390</v>
      </c>
      <c r="C47">
        <v>78</v>
      </c>
      <c r="D47">
        <v>1</v>
      </c>
      <c r="E47">
        <f t="shared" si="0"/>
        <v>78</v>
      </c>
      <c r="F47" s="30">
        <v>44976</v>
      </c>
      <c r="G47" t="s">
        <v>22</v>
      </c>
      <c r="H47">
        <v>64</v>
      </c>
      <c r="I47" t="str">
        <f>VLOOKUP(B47,товар!$A$1:$C$433,2,FALSE)</f>
        <v>Сок</v>
      </c>
      <c r="J47" s="23">
        <f t="shared" si="1"/>
        <v>268.60344827586209</v>
      </c>
      <c r="K47" s="24">
        <f t="shared" si="2"/>
        <v>-0.70960908915848253</v>
      </c>
      <c r="L47" t="str">
        <f>VLOOKUP(B47,товар!$A$1:$C$433,3,FALSE)</f>
        <v>Сады Придонья</v>
      </c>
      <c r="M47">
        <f t="shared" si="3"/>
        <v>254.18181818181819</v>
      </c>
      <c r="N47" s="30">
        <f>VLOOKUP(H47,клиенты!$A$1:$G$435,5,FALSE)</f>
        <v>44707</v>
      </c>
      <c r="O47">
        <f t="shared" si="4"/>
        <v>269</v>
      </c>
    </row>
    <row r="48" spans="1:15" x14ac:dyDescent="0.3">
      <c r="A48">
        <v>47</v>
      </c>
      <c r="B48">
        <v>57</v>
      </c>
      <c r="C48">
        <v>343</v>
      </c>
      <c r="D48">
        <v>5</v>
      </c>
      <c r="E48">
        <f t="shared" si="0"/>
        <v>1715</v>
      </c>
      <c r="F48" s="30">
        <v>45063</v>
      </c>
      <c r="G48" t="s">
        <v>16</v>
      </c>
      <c r="H48">
        <v>183</v>
      </c>
      <c r="I48" t="str">
        <f>VLOOKUP(B48,товар!$A$1:$C$433,2,FALSE)</f>
        <v>Печенье</v>
      </c>
      <c r="J48" s="23">
        <f t="shared" si="1"/>
        <v>283.468085106383</v>
      </c>
      <c r="K48" s="24">
        <f t="shared" si="2"/>
        <v>0.21001275988891388</v>
      </c>
      <c r="L48" t="str">
        <f>VLOOKUP(B48,товар!$A$1:$C$433,3,FALSE)</f>
        <v>Юбилейное</v>
      </c>
      <c r="M48">
        <f t="shared" si="3"/>
        <v>232.44444444444446</v>
      </c>
      <c r="N48" s="30">
        <f>VLOOKUP(H48,клиенты!$A$1:$G$435,5,FALSE)</f>
        <v>44900</v>
      </c>
      <c r="O48">
        <f t="shared" si="4"/>
        <v>163</v>
      </c>
    </row>
    <row r="49" spans="1:15" x14ac:dyDescent="0.3">
      <c r="A49">
        <v>48</v>
      </c>
      <c r="B49">
        <v>285</v>
      </c>
      <c r="C49">
        <v>498</v>
      </c>
      <c r="D49">
        <v>4</v>
      </c>
      <c r="E49">
        <f t="shared" si="0"/>
        <v>1992</v>
      </c>
      <c r="F49" s="30">
        <v>45208</v>
      </c>
      <c r="G49" t="s">
        <v>24</v>
      </c>
      <c r="H49">
        <v>2</v>
      </c>
      <c r="I49" t="str">
        <f>VLOOKUP(B49,товар!$A$1:$C$433,2,FALSE)</f>
        <v>Макароны</v>
      </c>
      <c r="J49" s="23">
        <f t="shared" si="1"/>
        <v>265.47674418604652</v>
      </c>
      <c r="K49" s="24">
        <f t="shared" si="2"/>
        <v>0.87587052691515921</v>
      </c>
      <c r="L49" t="str">
        <f>VLOOKUP(B49,товар!$A$1:$C$433,3,FALSE)</f>
        <v>Паста Зара</v>
      </c>
      <c r="M49">
        <f t="shared" si="3"/>
        <v>276.67567567567568</v>
      </c>
      <c r="N49" s="30">
        <f>VLOOKUP(H49,клиенты!$A$1:$G$435,5,FALSE)</f>
        <v>44775</v>
      </c>
      <c r="O49">
        <f t="shared" si="4"/>
        <v>433</v>
      </c>
    </row>
    <row r="50" spans="1:15" x14ac:dyDescent="0.3">
      <c r="A50">
        <v>49</v>
      </c>
      <c r="B50">
        <v>299</v>
      </c>
      <c r="C50">
        <v>133</v>
      </c>
      <c r="D50">
        <v>1</v>
      </c>
      <c r="E50">
        <f t="shared" si="0"/>
        <v>133</v>
      </c>
      <c r="F50" s="30">
        <v>45104</v>
      </c>
      <c r="G50" t="s">
        <v>23</v>
      </c>
      <c r="H50">
        <v>204</v>
      </c>
      <c r="I50" t="str">
        <f>VLOOKUP(B50,товар!$A$1:$C$433,2,FALSE)</f>
        <v>Чай</v>
      </c>
      <c r="J50" s="23">
        <f t="shared" si="1"/>
        <v>271.18181818181819</v>
      </c>
      <c r="K50" s="24">
        <f t="shared" si="2"/>
        <v>-0.50955414012738853</v>
      </c>
      <c r="L50" t="str">
        <f>VLOOKUP(B50,товар!$A$1:$C$433,3,FALSE)</f>
        <v>Lipton</v>
      </c>
      <c r="M50">
        <f t="shared" si="3"/>
        <v>260.15789473684208</v>
      </c>
      <c r="N50" s="30">
        <f>VLOOKUP(H50,клиенты!$A$1:$G$435,5,FALSE)</f>
        <v>44867</v>
      </c>
      <c r="O50">
        <f t="shared" si="4"/>
        <v>237</v>
      </c>
    </row>
    <row r="51" spans="1:15" x14ac:dyDescent="0.3">
      <c r="A51">
        <v>50</v>
      </c>
      <c r="B51">
        <v>444</v>
      </c>
      <c r="C51">
        <v>311</v>
      </c>
      <c r="D51">
        <v>4</v>
      </c>
      <c r="E51">
        <f t="shared" si="0"/>
        <v>1244</v>
      </c>
      <c r="F51" s="30">
        <v>45398</v>
      </c>
      <c r="G51" t="s">
        <v>30</v>
      </c>
      <c r="H51">
        <v>229</v>
      </c>
      <c r="I51" t="str">
        <f>VLOOKUP(B51,товар!$A$1:$C$433,2,FALSE)</f>
        <v>Йогурт</v>
      </c>
      <c r="J51" s="23">
        <f t="shared" si="1"/>
        <v>263.25423728813558</v>
      </c>
      <c r="K51" s="24">
        <f t="shared" si="2"/>
        <v>0.18136749935616803</v>
      </c>
      <c r="L51" t="str">
        <f>VLOOKUP(B51,товар!$A$1:$C$433,3,FALSE)</f>
        <v>Эрманн</v>
      </c>
      <c r="M51">
        <f t="shared" si="3"/>
        <v>248.5</v>
      </c>
      <c r="N51" s="30">
        <f>VLOOKUP(H51,клиенты!$A$1:$G$435,5,FALSE)</f>
        <v>44766</v>
      </c>
      <c r="O51">
        <f t="shared" si="4"/>
        <v>632</v>
      </c>
    </row>
    <row r="52" spans="1:15" x14ac:dyDescent="0.3">
      <c r="A52">
        <v>51</v>
      </c>
      <c r="B52">
        <v>35</v>
      </c>
      <c r="C52">
        <v>242</v>
      </c>
      <c r="D52">
        <v>2</v>
      </c>
      <c r="E52">
        <f t="shared" si="0"/>
        <v>484</v>
      </c>
      <c r="F52" s="30">
        <v>45239</v>
      </c>
      <c r="G52" t="s">
        <v>29</v>
      </c>
      <c r="H52">
        <v>385</v>
      </c>
      <c r="I52" t="str">
        <f>VLOOKUP(B52,товар!$A$1:$C$433,2,FALSE)</f>
        <v>Крупа</v>
      </c>
      <c r="J52" s="23">
        <f t="shared" si="1"/>
        <v>255.11627906976744</v>
      </c>
      <c r="K52" s="24">
        <f t="shared" si="2"/>
        <v>-5.1412944393801285E-2</v>
      </c>
      <c r="L52" t="str">
        <f>VLOOKUP(B52,товар!$A$1:$C$433,3,FALSE)</f>
        <v>Мистраль</v>
      </c>
      <c r="M52">
        <f t="shared" si="3"/>
        <v>250.30769230769232</v>
      </c>
      <c r="N52" s="30">
        <f>VLOOKUP(H52,клиенты!$A$1:$G$435,5,FALSE)</f>
        <v>44753</v>
      </c>
      <c r="O52">
        <f t="shared" si="4"/>
        <v>486</v>
      </c>
    </row>
    <row r="53" spans="1:15" x14ac:dyDescent="0.3">
      <c r="A53">
        <v>52</v>
      </c>
      <c r="B53">
        <v>296</v>
      </c>
      <c r="C53">
        <v>101</v>
      </c>
      <c r="D53">
        <v>3</v>
      </c>
      <c r="E53">
        <f t="shared" si="0"/>
        <v>303</v>
      </c>
      <c r="F53" s="30">
        <v>45080</v>
      </c>
      <c r="G53" t="s">
        <v>26</v>
      </c>
      <c r="H53">
        <v>407</v>
      </c>
      <c r="I53" t="str">
        <f>VLOOKUP(B53,товар!$A$1:$C$433,2,FALSE)</f>
        <v>Крупа</v>
      </c>
      <c r="J53" s="23">
        <f t="shared" si="1"/>
        <v>255.11627906976744</v>
      </c>
      <c r="K53" s="24">
        <f t="shared" si="2"/>
        <v>-0.60410209662716507</v>
      </c>
      <c r="L53" t="str">
        <f>VLOOKUP(B53,товар!$A$1:$C$433,3,FALSE)</f>
        <v>Мистраль</v>
      </c>
      <c r="M53">
        <f t="shared" si="3"/>
        <v>250.30769230769232</v>
      </c>
      <c r="N53" s="30">
        <f>VLOOKUP(H53,клиенты!$A$1:$G$435,5,FALSE)</f>
        <v>44621</v>
      </c>
      <c r="O53">
        <f t="shared" si="4"/>
        <v>459</v>
      </c>
    </row>
    <row r="54" spans="1:15" x14ac:dyDescent="0.3">
      <c r="A54">
        <v>53</v>
      </c>
      <c r="B54">
        <v>227</v>
      </c>
      <c r="C54">
        <v>65</v>
      </c>
      <c r="D54">
        <v>1</v>
      </c>
      <c r="E54">
        <f t="shared" si="0"/>
        <v>65</v>
      </c>
      <c r="F54" s="30">
        <v>45308</v>
      </c>
      <c r="G54" t="s">
        <v>17</v>
      </c>
      <c r="H54">
        <v>493</v>
      </c>
      <c r="I54" t="str">
        <f>VLOOKUP(B54,товар!$A$1:$C$433,2,FALSE)</f>
        <v>Макароны</v>
      </c>
      <c r="J54" s="23">
        <f t="shared" si="1"/>
        <v>265.47674418604652</v>
      </c>
      <c r="K54" s="24">
        <f t="shared" si="2"/>
        <v>-0.75515746134641493</v>
      </c>
      <c r="L54" t="str">
        <f>VLOOKUP(B54,товар!$A$1:$C$433,3,FALSE)</f>
        <v>Макфа</v>
      </c>
      <c r="M54">
        <f t="shared" si="3"/>
        <v>329.27272727272725</v>
      </c>
      <c r="N54" s="30">
        <f>VLOOKUP(H54,клиенты!$A$1:$G$435,5,FALSE)</f>
        <v>44855</v>
      </c>
      <c r="O54">
        <f t="shared" si="4"/>
        <v>453</v>
      </c>
    </row>
    <row r="55" spans="1:15" x14ac:dyDescent="0.3">
      <c r="A55">
        <v>54</v>
      </c>
      <c r="B55">
        <v>167</v>
      </c>
      <c r="C55">
        <v>143</v>
      </c>
      <c r="D55">
        <v>3</v>
      </c>
      <c r="E55">
        <f t="shared" si="0"/>
        <v>429</v>
      </c>
      <c r="F55" s="30">
        <v>45246</v>
      </c>
      <c r="G55" t="s">
        <v>29</v>
      </c>
      <c r="H55">
        <v>34</v>
      </c>
      <c r="I55" t="str">
        <f>VLOOKUP(B55,товар!$A$1:$C$433,2,FALSE)</f>
        <v>Мясо</v>
      </c>
      <c r="J55" s="23">
        <f t="shared" si="1"/>
        <v>271.74545454545455</v>
      </c>
      <c r="K55" s="24">
        <f t="shared" si="2"/>
        <v>-0.47377224675498464</v>
      </c>
      <c r="L55" t="str">
        <f>VLOOKUP(B55,товар!$A$1:$C$433,3,FALSE)</f>
        <v>Сава</v>
      </c>
      <c r="M55">
        <f t="shared" si="3"/>
        <v>212.8125</v>
      </c>
      <c r="N55" s="30">
        <f>VLOOKUP(H55,клиенты!$A$1:$G$435,5,FALSE)</f>
        <v>44654</v>
      </c>
      <c r="O55">
        <f t="shared" si="4"/>
        <v>592</v>
      </c>
    </row>
    <row r="56" spans="1:15" x14ac:dyDescent="0.3">
      <c r="A56">
        <v>55</v>
      </c>
      <c r="B56">
        <v>146</v>
      </c>
      <c r="C56">
        <v>402</v>
      </c>
      <c r="D56">
        <v>5</v>
      </c>
      <c r="E56">
        <f t="shared" si="0"/>
        <v>2010</v>
      </c>
      <c r="F56" s="30">
        <v>45356</v>
      </c>
      <c r="G56" t="s">
        <v>20</v>
      </c>
      <c r="H56">
        <v>190</v>
      </c>
      <c r="I56" t="str">
        <f>VLOOKUP(B56,товар!$A$1:$C$433,2,FALSE)</f>
        <v>Сок</v>
      </c>
      <c r="J56" s="23">
        <f t="shared" si="1"/>
        <v>268.60344827586209</v>
      </c>
      <c r="K56" s="24">
        <f t="shared" si="2"/>
        <v>0.49663007895243583</v>
      </c>
      <c r="L56" t="str">
        <f>VLOOKUP(B56,товар!$A$1:$C$433,3,FALSE)</f>
        <v>Добрый</v>
      </c>
      <c r="M56">
        <f t="shared" si="3"/>
        <v>242.81818181818181</v>
      </c>
      <c r="N56" s="30">
        <f>VLOOKUP(H56,клиенты!$A$1:$G$435,5,FALSE)</f>
        <v>44689</v>
      </c>
      <c r="O56">
        <f t="shared" si="4"/>
        <v>667</v>
      </c>
    </row>
    <row r="57" spans="1:15" x14ac:dyDescent="0.3">
      <c r="A57">
        <v>56</v>
      </c>
      <c r="B57">
        <v>338</v>
      </c>
      <c r="C57">
        <v>97</v>
      </c>
      <c r="D57">
        <v>1</v>
      </c>
      <c r="E57">
        <f t="shared" si="0"/>
        <v>97</v>
      </c>
      <c r="F57" s="30">
        <v>45234</v>
      </c>
      <c r="G57" t="s">
        <v>24</v>
      </c>
      <c r="H57">
        <v>266</v>
      </c>
      <c r="I57" t="str">
        <f>VLOOKUP(B57,товар!$A$1:$C$433,2,FALSE)</f>
        <v>Сыр</v>
      </c>
      <c r="J57" s="23">
        <f t="shared" si="1"/>
        <v>262.63492063492066</v>
      </c>
      <c r="K57" s="24">
        <f t="shared" si="2"/>
        <v>-0.6306660219992748</v>
      </c>
      <c r="L57" t="str">
        <f>VLOOKUP(B57,товар!$A$1:$C$433,3,FALSE)</f>
        <v>President</v>
      </c>
      <c r="M57">
        <f t="shared" si="3"/>
        <v>238.72222222222223</v>
      </c>
      <c r="N57" s="30">
        <f>VLOOKUP(H57,клиенты!$A$1:$G$435,5,FALSE)</f>
        <v>44795</v>
      </c>
      <c r="O57">
        <f t="shared" si="4"/>
        <v>439</v>
      </c>
    </row>
    <row r="58" spans="1:15" x14ac:dyDescent="0.3">
      <c r="A58">
        <v>57</v>
      </c>
      <c r="B58">
        <v>155</v>
      </c>
      <c r="C58">
        <v>482</v>
      </c>
      <c r="D58">
        <v>1</v>
      </c>
      <c r="E58">
        <f t="shared" si="0"/>
        <v>482</v>
      </c>
      <c r="F58" s="30">
        <v>45400</v>
      </c>
      <c r="G58" t="s">
        <v>21</v>
      </c>
      <c r="H58">
        <v>222</v>
      </c>
      <c r="I58" t="str">
        <f>VLOOKUP(B58,товар!$A$1:$C$433,2,FALSE)</f>
        <v>Йогурт</v>
      </c>
      <c r="J58" s="23">
        <f t="shared" si="1"/>
        <v>263.25423728813558</v>
      </c>
      <c r="K58" s="24">
        <f t="shared" si="2"/>
        <v>0.83092969353592583</v>
      </c>
      <c r="L58" t="str">
        <f>VLOOKUP(B58,товар!$A$1:$C$433,3,FALSE)</f>
        <v>Эрманн</v>
      </c>
      <c r="M58">
        <f t="shared" si="3"/>
        <v>248.5</v>
      </c>
      <c r="N58" s="30">
        <f>VLOOKUP(H58,клиенты!$A$1:$G$435,5,FALSE)</f>
        <v>44694</v>
      </c>
      <c r="O58">
        <f t="shared" si="4"/>
        <v>706</v>
      </c>
    </row>
    <row r="59" spans="1:15" x14ac:dyDescent="0.3">
      <c r="A59">
        <v>58</v>
      </c>
      <c r="B59">
        <v>239</v>
      </c>
      <c r="C59">
        <v>59</v>
      </c>
      <c r="D59">
        <v>1</v>
      </c>
      <c r="E59">
        <f t="shared" si="0"/>
        <v>59</v>
      </c>
      <c r="F59" s="30">
        <v>45214</v>
      </c>
      <c r="G59" t="s">
        <v>32</v>
      </c>
      <c r="H59">
        <v>382</v>
      </c>
      <c r="I59" t="str">
        <f>VLOOKUP(B59,товар!$A$1:$C$433,2,FALSE)</f>
        <v>Йогурт</v>
      </c>
      <c r="J59" s="23">
        <f t="shared" si="1"/>
        <v>263.25423728813558</v>
      </c>
      <c r="K59" s="24">
        <f t="shared" si="2"/>
        <v>-0.77588204996137011</v>
      </c>
      <c r="L59" t="str">
        <f>VLOOKUP(B59,товар!$A$1:$C$433,3,FALSE)</f>
        <v>Эрманн</v>
      </c>
      <c r="M59">
        <f t="shared" si="3"/>
        <v>248.5</v>
      </c>
      <c r="N59" s="30">
        <f>VLOOKUP(H59,клиенты!$A$1:$G$435,5,FALSE)</f>
        <v>44850</v>
      </c>
      <c r="O59">
        <f t="shared" si="4"/>
        <v>364</v>
      </c>
    </row>
    <row r="60" spans="1:15" x14ac:dyDescent="0.3">
      <c r="A60">
        <v>59</v>
      </c>
      <c r="B60">
        <v>158</v>
      </c>
      <c r="C60">
        <v>87</v>
      </c>
      <c r="D60">
        <v>4</v>
      </c>
      <c r="E60">
        <f t="shared" si="0"/>
        <v>348</v>
      </c>
      <c r="F60" s="30">
        <v>45423</v>
      </c>
      <c r="G60" t="s">
        <v>23</v>
      </c>
      <c r="H60">
        <v>142</v>
      </c>
      <c r="I60" t="str">
        <f>VLOOKUP(B60,товар!$A$1:$C$433,2,FALSE)</f>
        <v>Сахар</v>
      </c>
      <c r="J60" s="23">
        <f t="shared" si="1"/>
        <v>252.76271186440678</v>
      </c>
      <c r="K60" s="24">
        <f t="shared" si="2"/>
        <v>-0.65580366123516398</v>
      </c>
      <c r="L60" t="str">
        <f>VLOOKUP(B60,товар!$A$1:$C$433,3,FALSE)</f>
        <v>Сладов</v>
      </c>
      <c r="M60">
        <f t="shared" si="3"/>
        <v>240.26666666666668</v>
      </c>
      <c r="N60" s="30">
        <f>VLOOKUP(H60,клиенты!$A$1:$G$435,5,FALSE)</f>
        <v>44683</v>
      </c>
      <c r="O60">
        <f t="shared" si="4"/>
        <v>740</v>
      </c>
    </row>
    <row r="61" spans="1:15" x14ac:dyDescent="0.3">
      <c r="A61">
        <v>60</v>
      </c>
      <c r="B61">
        <v>147</v>
      </c>
      <c r="C61">
        <v>238</v>
      </c>
      <c r="D61">
        <v>5</v>
      </c>
      <c r="E61">
        <f t="shared" si="0"/>
        <v>1190</v>
      </c>
      <c r="F61" s="30">
        <v>44981</v>
      </c>
      <c r="G61" t="s">
        <v>22</v>
      </c>
      <c r="H61">
        <v>270</v>
      </c>
      <c r="I61" t="str">
        <f>VLOOKUP(B61,товар!$A$1:$C$433,2,FALSE)</f>
        <v>Конфеты</v>
      </c>
      <c r="J61" s="23">
        <f t="shared" si="1"/>
        <v>267.85483870967744</v>
      </c>
      <c r="K61" s="24">
        <f t="shared" si="2"/>
        <v>-0.11145902330342627</v>
      </c>
      <c r="L61" t="str">
        <f>VLOOKUP(B61,товар!$A$1:$C$433,3,FALSE)</f>
        <v>Бабаевский</v>
      </c>
      <c r="M61">
        <f t="shared" si="3"/>
        <v>250.25925925925927</v>
      </c>
      <c r="N61" s="30">
        <f>VLOOKUP(H61,клиенты!$A$1:$G$435,5,FALSE)</f>
        <v>44827</v>
      </c>
      <c r="O61">
        <f t="shared" si="4"/>
        <v>154</v>
      </c>
    </row>
    <row r="62" spans="1:15" x14ac:dyDescent="0.3">
      <c r="A62">
        <v>61</v>
      </c>
      <c r="B62">
        <v>311</v>
      </c>
      <c r="C62">
        <v>238</v>
      </c>
      <c r="D62">
        <v>5</v>
      </c>
      <c r="E62">
        <f t="shared" si="0"/>
        <v>1190</v>
      </c>
      <c r="F62" s="30">
        <v>45245</v>
      </c>
      <c r="G62" t="s">
        <v>22</v>
      </c>
      <c r="H62">
        <v>150</v>
      </c>
      <c r="I62" t="str">
        <f>VLOOKUP(B62,товар!$A$1:$C$433,2,FALSE)</f>
        <v>Макароны</v>
      </c>
      <c r="J62" s="23">
        <f t="shared" si="1"/>
        <v>265.47674418604652</v>
      </c>
      <c r="K62" s="24">
        <f t="shared" si="2"/>
        <v>-0.10349962769918097</v>
      </c>
      <c r="L62" t="str">
        <f>VLOOKUP(B62,товар!$A$1:$C$433,3,FALSE)</f>
        <v>Паста Зара</v>
      </c>
      <c r="M62">
        <f t="shared" si="3"/>
        <v>276.67567567567568</v>
      </c>
      <c r="N62" s="30">
        <f>VLOOKUP(H62,клиенты!$A$1:$G$435,5,FALSE)</f>
        <v>44622</v>
      </c>
      <c r="O62">
        <f t="shared" si="4"/>
        <v>623</v>
      </c>
    </row>
    <row r="63" spans="1:15" x14ac:dyDescent="0.3">
      <c r="A63">
        <v>62</v>
      </c>
      <c r="B63">
        <v>465</v>
      </c>
      <c r="C63">
        <v>311</v>
      </c>
      <c r="D63">
        <v>2</v>
      </c>
      <c r="E63">
        <f t="shared" si="0"/>
        <v>622</v>
      </c>
      <c r="F63" s="30">
        <v>44934</v>
      </c>
      <c r="G63" t="s">
        <v>16</v>
      </c>
      <c r="H63">
        <v>14</v>
      </c>
      <c r="I63" t="str">
        <f>VLOOKUP(B63,товар!$A$1:$C$433,2,FALSE)</f>
        <v>Йогурт</v>
      </c>
      <c r="J63" s="23">
        <f t="shared" si="1"/>
        <v>263.25423728813558</v>
      </c>
      <c r="K63" s="24">
        <f t="shared" si="2"/>
        <v>0.18136749935616803</v>
      </c>
      <c r="L63" t="str">
        <f>VLOOKUP(B63,товар!$A$1:$C$433,3,FALSE)</f>
        <v>Ростагроэкспорт</v>
      </c>
      <c r="M63">
        <f t="shared" si="3"/>
        <v>257.78260869565219</v>
      </c>
      <c r="N63" s="30">
        <f>VLOOKUP(H63,клиенты!$A$1:$G$435,5,FALSE)</f>
        <v>44775</v>
      </c>
      <c r="O63">
        <f t="shared" si="4"/>
        <v>159</v>
      </c>
    </row>
    <row r="64" spans="1:15" x14ac:dyDescent="0.3">
      <c r="A64">
        <v>63</v>
      </c>
      <c r="B64">
        <v>449</v>
      </c>
      <c r="C64">
        <v>392</v>
      </c>
      <c r="D64">
        <v>3</v>
      </c>
      <c r="E64">
        <f t="shared" si="0"/>
        <v>1176</v>
      </c>
      <c r="F64" s="30">
        <v>45267</v>
      </c>
      <c r="G64" t="s">
        <v>26</v>
      </c>
      <c r="H64">
        <v>371</v>
      </c>
      <c r="I64" t="str">
        <f>VLOOKUP(B64,товар!$A$1:$C$433,2,FALSE)</f>
        <v>Мясо</v>
      </c>
      <c r="J64" s="23">
        <f t="shared" si="1"/>
        <v>271.74545454545455</v>
      </c>
      <c r="K64" s="24">
        <f t="shared" si="2"/>
        <v>0.44252642847584633</v>
      </c>
      <c r="L64" t="str">
        <f>VLOOKUP(B64,товар!$A$1:$C$433,3,FALSE)</f>
        <v>Агрокомплекс</v>
      </c>
      <c r="M64">
        <f t="shared" si="3"/>
        <v>311.2</v>
      </c>
      <c r="N64" s="30">
        <f>VLOOKUP(H64,клиенты!$A$1:$G$435,5,FALSE)</f>
        <v>44844</v>
      </c>
      <c r="O64">
        <f t="shared" si="4"/>
        <v>423</v>
      </c>
    </row>
    <row r="65" spans="1:15" x14ac:dyDescent="0.3">
      <c r="A65">
        <v>64</v>
      </c>
      <c r="B65">
        <v>144</v>
      </c>
      <c r="C65">
        <v>473</v>
      </c>
      <c r="D65">
        <v>5</v>
      </c>
      <c r="E65">
        <f t="shared" si="0"/>
        <v>2365</v>
      </c>
      <c r="F65" s="30">
        <v>45280</v>
      </c>
      <c r="G65" t="s">
        <v>24</v>
      </c>
      <c r="H65">
        <v>328</v>
      </c>
      <c r="I65" t="str">
        <f>VLOOKUP(B65,товар!$A$1:$C$433,2,FALSE)</f>
        <v>Макароны</v>
      </c>
      <c r="J65" s="23">
        <f t="shared" si="1"/>
        <v>265.47674418604652</v>
      </c>
      <c r="K65" s="24">
        <f t="shared" si="2"/>
        <v>0.78170031974070331</v>
      </c>
      <c r="L65" t="str">
        <f>VLOOKUP(B65,товар!$A$1:$C$433,3,FALSE)</f>
        <v>Роллтон</v>
      </c>
      <c r="M65">
        <f t="shared" si="3"/>
        <v>235.55555555555554</v>
      </c>
      <c r="N65" s="30">
        <f>VLOOKUP(H65,клиенты!$A$1:$G$435,5,FALSE)</f>
        <v>44568</v>
      </c>
      <c r="O65">
        <f t="shared" si="4"/>
        <v>712</v>
      </c>
    </row>
    <row r="66" spans="1:15" x14ac:dyDescent="0.3">
      <c r="A66">
        <v>65</v>
      </c>
      <c r="B66">
        <v>375</v>
      </c>
      <c r="C66">
        <v>231</v>
      </c>
      <c r="D66">
        <v>2</v>
      </c>
      <c r="E66">
        <f t="shared" ref="E66:E129" si="5">C66*D66</f>
        <v>462</v>
      </c>
      <c r="F66" s="30">
        <v>45114</v>
      </c>
      <c r="G66" t="s">
        <v>25</v>
      </c>
      <c r="H66">
        <v>171</v>
      </c>
      <c r="I66" t="str">
        <f>VLOOKUP(B66,товар!$A$1:$C$433,2,FALSE)</f>
        <v>Макароны</v>
      </c>
      <c r="J66" s="23">
        <f t="shared" ref="J66:J129" si="6">AVERAGEIF($I$2:$I$1001,I66,$C$2:$C$1001)</f>
        <v>265.47674418604652</v>
      </c>
      <c r="K66" s="24">
        <f t="shared" ref="K66:K129" si="7">C66/J66-1</f>
        <v>-0.12986728570802852</v>
      </c>
      <c r="L66" t="str">
        <f>VLOOKUP(B66,товар!$A$1:$C$433,3,FALSE)</f>
        <v>Борилла</v>
      </c>
      <c r="M66">
        <f t="shared" ref="M66:M129" si="8">AVERAGEIFS($C$2:$C$1001,$I$2:$I$1001,I66,$L$2:$L$1001,L66)</f>
        <v>236.27586206896552</v>
      </c>
      <c r="N66" s="30">
        <f>VLOOKUP(H66,клиенты!$A$1:$G$435,5,FALSE)</f>
        <v>44710</v>
      </c>
      <c r="O66">
        <f t="shared" ref="O66:O129" si="9">F66-N66</f>
        <v>404</v>
      </c>
    </row>
    <row r="67" spans="1:15" x14ac:dyDescent="0.3">
      <c r="A67">
        <v>66</v>
      </c>
      <c r="B67">
        <v>408</v>
      </c>
      <c r="C67">
        <v>438</v>
      </c>
      <c r="D67">
        <v>3</v>
      </c>
      <c r="E67">
        <f t="shared" si="5"/>
        <v>1314</v>
      </c>
      <c r="F67" s="30">
        <v>44973</v>
      </c>
      <c r="G67" t="s">
        <v>26</v>
      </c>
      <c r="H67">
        <v>68</v>
      </c>
      <c r="I67" t="str">
        <f>VLOOKUP(B67,товар!$A$1:$C$433,2,FALSE)</f>
        <v>Йогурт</v>
      </c>
      <c r="J67" s="23">
        <f t="shared" si="6"/>
        <v>263.25423728813558</v>
      </c>
      <c r="K67" s="24">
        <f t="shared" si="7"/>
        <v>0.66379088333762559</v>
      </c>
      <c r="L67" t="str">
        <f>VLOOKUP(B67,товар!$A$1:$C$433,3,FALSE)</f>
        <v>Эрманн</v>
      </c>
      <c r="M67">
        <f t="shared" si="8"/>
        <v>248.5</v>
      </c>
      <c r="N67" s="30">
        <f>VLOOKUP(H67,клиенты!$A$1:$G$435,5,FALSE)</f>
        <v>44882</v>
      </c>
      <c r="O67">
        <f t="shared" si="9"/>
        <v>91</v>
      </c>
    </row>
    <row r="68" spans="1:15" x14ac:dyDescent="0.3">
      <c r="A68">
        <v>67</v>
      </c>
      <c r="B68">
        <v>425</v>
      </c>
      <c r="C68">
        <v>365</v>
      </c>
      <c r="D68">
        <v>2</v>
      </c>
      <c r="E68">
        <f t="shared" si="5"/>
        <v>730</v>
      </c>
      <c r="F68" s="30">
        <v>44989</v>
      </c>
      <c r="G68" t="s">
        <v>28</v>
      </c>
      <c r="H68">
        <v>346</v>
      </c>
      <c r="I68" t="str">
        <f>VLOOKUP(B68,товар!$A$1:$C$433,2,FALSE)</f>
        <v>Соль</v>
      </c>
      <c r="J68" s="23">
        <f t="shared" si="6"/>
        <v>264.8679245283019</v>
      </c>
      <c r="K68" s="24">
        <f t="shared" si="7"/>
        <v>0.37804530559908822</v>
      </c>
      <c r="L68" t="str">
        <f>VLOOKUP(B68,товар!$A$1:$C$433,3,FALSE)</f>
        <v>Экстра</v>
      </c>
      <c r="M68">
        <f t="shared" si="8"/>
        <v>320.84615384615387</v>
      </c>
      <c r="N68" s="30">
        <f>VLOOKUP(H68,клиенты!$A$1:$G$435,5,FALSE)</f>
        <v>44636</v>
      </c>
      <c r="O68">
        <f t="shared" si="9"/>
        <v>353</v>
      </c>
    </row>
    <row r="69" spans="1:15" x14ac:dyDescent="0.3">
      <c r="A69">
        <v>68</v>
      </c>
      <c r="B69">
        <v>277</v>
      </c>
      <c r="C69">
        <v>324</v>
      </c>
      <c r="D69">
        <v>2</v>
      </c>
      <c r="E69">
        <f t="shared" si="5"/>
        <v>648</v>
      </c>
      <c r="F69" s="30">
        <v>45287</v>
      </c>
      <c r="G69" t="s">
        <v>28</v>
      </c>
      <c r="H69">
        <v>415</v>
      </c>
      <c r="I69" t="str">
        <f>VLOOKUP(B69,товар!$A$1:$C$433,2,FALSE)</f>
        <v>Чай</v>
      </c>
      <c r="J69" s="23">
        <f t="shared" si="6"/>
        <v>271.18181818181819</v>
      </c>
      <c r="K69" s="24">
        <f t="shared" si="7"/>
        <v>0.19477036540395565</v>
      </c>
      <c r="L69" t="str">
        <f>VLOOKUP(B69,товар!$A$1:$C$433,3,FALSE)</f>
        <v>Greenfield</v>
      </c>
      <c r="M69">
        <f t="shared" si="8"/>
        <v>291.45454545454544</v>
      </c>
      <c r="N69" s="30">
        <f>VLOOKUP(H69,клиенты!$A$1:$G$435,5,FALSE)</f>
        <v>44661</v>
      </c>
      <c r="O69">
        <f t="shared" si="9"/>
        <v>626</v>
      </c>
    </row>
    <row r="70" spans="1:15" x14ac:dyDescent="0.3">
      <c r="A70">
        <v>69</v>
      </c>
      <c r="B70">
        <v>130</v>
      </c>
      <c r="C70">
        <v>208</v>
      </c>
      <c r="D70">
        <v>5</v>
      </c>
      <c r="E70">
        <f t="shared" si="5"/>
        <v>1040</v>
      </c>
      <c r="F70" s="30">
        <v>44975</v>
      </c>
      <c r="G70" t="s">
        <v>22</v>
      </c>
      <c r="H70">
        <v>115</v>
      </c>
      <c r="I70" t="str">
        <f>VLOOKUP(B70,товар!$A$1:$C$433,2,FALSE)</f>
        <v>Соль</v>
      </c>
      <c r="J70" s="23">
        <f t="shared" si="6"/>
        <v>264.8679245283019</v>
      </c>
      <c r="K70" s="24">
        <f t="shared" si="7"/>
        <v>-0.21470294913805388</v>
      </c>
      <c r="L70" t="str">
        <f>VLOOKUP(B70,товар!$A$1:$C$433,3,FALSE)</f>
        <v>Илецкая</v>
      </c>
      <c r="M70">
        <f t="shared" si="8"/>
        <v>238.16666666666666</v>
      </c>
      <c r="N70" s="30">
        <f>VLOOKUP(H70,клиенты!$A$1:$G$435,5,FALSE)</f>
        <v>44832</v>
      </c>
      <c r="O70">
        <f t="shared" si="9"/>
        <v>143</v>
      </c>
    </row>
    <row r="71" spans="1:15" x14ac:dyDescent="0.3">
      <c r="A71">
        <v>70</v>
      </c>
      <c r="B71">
        <v>337</v>
      </c>
      <c r="C71">
        <v>115</v>
      </c>
      <c r="D71">
        <v>3</v>
      </c>
      <c r="E71">
        <f t="shared" si="5"/>
        <v>345</v>
      </c>
      <c r="F71" s="30">
        <v>45046</v>
      </c>
      <c r="G71" t="s">
        <v>15</v>
      </c>
      <c r="H71">
        <v>42</v>
      </c>
      <c r="I71" t="str">
        <f>VLOOKUP(B71,товар!$A$1:$C$433,2,FALSE)</f>
        <v>Макароны</v>
      </c>
      <c r="J71" s="23">
        <f t="shared" si="6"/>
        <v>265.47674418604652</v>
      </c>
      <c r="K71" s="24">
        <f t="shared" si="7"/>
        <v>-0.56681704699750335</v>
      </c>
      <c r="L71" t="str">
        <f>VLOOKUP(B71,товар!$A$1:$C$433,3,FALSE)</f>
        <v>Паста Зара</v>
      </c>
      <c r="M71">
        <f t="shared" si="8"/>
        <v>276.67567567567568</v>
      </c>
      <c r="N71" s="30">
        <f>VLOOKUP(H71,клиенты!$A$1:$G$435,5,FALSE)</f>
        <v>44783</v>
      </c>
      <c r="O71">
        <f t="shared" si="9"/>
        <v>263</v>
      </c>
    </row>
    <row r="72" spans="1:15" x14ac:dyDescent="0.3">
      <c r="A72">
        <v>71</v>
      </c>
      <c r="B72">
        <v>30</v>
      </c>
      <c r="C72">
        <v>261</v>
      </c>
      <c r="D72">
        <v>1</v>
      </c>
      <c r="E72">
        <f t="shared" si="5"/>
        <v>261</v>
      </c>
      <c r="F72" s="30">
        <v>45000</v>
      </c>
      <c r="G72" t="s">
        <v>29</v>
      </c>
      <c r="H72">
        <v>378</v>
      </c>
      <c r="I72" t="str">
        <f>VLOOKUP(B72,товар!$A$1:$C$433,2,FALSE)</f>
        <v>Чипсы</v>
      </c>
      <c r="J72" s="23">
        <f t="shared" si="6"/>
        <v>273.72549019607845</v>
      </c>
      <c r="K72" s="24">
        <f t="shared" si="7"/>
        <v>-4.6489971346704961E-2</v>
      </c>
      <c r="L72" t="str">
        <f>VLOOKUP(B72,товар!$A$1:$C$433,3,FALSE)</f>
        <v>Pringles</v>
      </c>
      <c r="M72">
        <f t="shared" si="8"/>
        <v>280.23809523809524</v>
      </c>
      <c r="N72" s="30">
        <f>VLOOKUP(H72,клиенты!$A$1:$G$435,5,FALSE)</f>
        <v>44710</v>
      </c>
      <c r="O72">
        <f t="shared" si="9"/>
        <v>290</v>
      </c>
    </row>
    <row r="73" spans="1:15" x14ac:dyDescent="0.3">
      <c r="A73">
        <v>72</v>
      </c>
      <c r="B73">
        <v>75</v>
      </c>
      <c r="C73">
        <v>257</v>
      </c>
      <c r="D73">
        <v>2</v>
      </c>
      <c r="E73">
        <f t="shared" si="5"/>
        <v>514</v>
      </c>
      <c r="F73" s="30">
        <v>45306</v>
      </c>
      <c r="G73" t="s">
        <v>32</v>
      </c>
      <c r="H73">
        <v>449</v>
      </c>
      <c r="I73" t="str">
        <f>VLOOKUP(B73,товар!$A$1:$C$433,2,FALSE)</f>
        <v>Печенье</v>
      </c>
      <c r="J73" s="23">
        <f t="shared" si="6"/>
        <v>283.468085106383</v>
      </c>
      <c r="K73" s="24">
        <f t="shared" si="7"/>
        <v>-9.3372363581775919E-2</v>
      </c>
      <c r="L73" t="str">
        <f>VLOOKUP(B73,товар!$A$1:$C$433,3,FALSE)</f>
        <v>Белогорье</v>
      </c>
      <c r="M73">
        <f t="shared" si="8"/>
        <v>249.5</v>
      </c>
      <c r="N73" s="30">
        <f>VLOOKUP(H73,клиенты!$A$1:$G$435,5,FALSE)</f>
        <v>44645</v>
      </c>
      <c r="O73">
        <f t="shared" si="9"/>
        <v>661</v>
      </c>
    </row>
    <row r="74" spans="1:15" x14ac:dyDescent="0.3">
      <c r="A74">
        <v>73</v>
      </c>
      <c r="B74">
        <v>118</v>
      </c>
      <c r="C74">
        <v>459</v>
      </c>
      <c r="D74">
        <v>2</v>
      </c>
      <c r="E74">
        <f t="shared" si="5"/>
        <v>918</v>
      </c>
      <c r="F74" s="30">
        <v>44993</v>
      </c>
      <c r="G74" t="s">
        <v>24</v>
      </c>
      <c r="H74">
        <v>318</v>
      </c>
      <c r="I74" t="str">
        <f>VLOOKUP(B74,товар!$A$1:$C$433,2,FALSE)</f>
        <v>Сахар</v>
      </c>
      <c r="J74" s="23">
        <f t="shared" si="6"/>
        <v>252.76271186440678</v>
      </c>
      <c r="K74" s="24">
        <f t="shared" si="7"/>
        <v>0.81593240796620403</v>
      </c>
      <c r="L74" t="str">
        <f>VLOOKUP(B74,товар!$A$1:$C$433,3,FALSE)</f>
        <v>Продимекс</v>
      </c>
      <c r="M74">
        <f t="shared" si="8"/>
        <v>240.5</v>
      </c>
      <c r="N74" s="30">
        <f>VLOOKUP(H74,клиенты!$A$1:$G$435,5,FALSE)</f>
        <v>44892</v>
      </c>
      <c r="O74">
        <f t="shared" si="9"/>
        <v>101</v>
      </c>
    </row>
    <row r="75" spans="1:15" x14ac:dyDescent="0.3">
      <c r="A75">
        <v>74</v>
      </c>
      <c r="B75">
        <v>19</v>
      </c>
      <c r="C75">
        <v>112</v>
      </c>
      <c r="D75">
        <v>4</v>
      </c>
      <c r="E75">
        <f t="shared" si="5"/>
        <v>448</v>
      </c>
      <c r="F75" s="30">
        <v>45360</v>
      </c>
      <c r="G75" t="s">
        <v>24</v>
      </c>
      <c r="H75">
        <v>317</v>
      </c>
      <c r="I75" t="str">
        <f>VLOOKUP(B75,товар!$A$1:$C$433,2,FALSE)</f>
        <v>Мясо</v>
      </c>
      <c r="J75" s="23">
        <f t="shared" si="6"/>
        <v>271.74545454545455</v>
      </c>
      <c r="K75" s="24">
        <f t="shared" si="7"/>
        <v>-0.58784959186404384</v>
      </c>
      <c r="L75" t="str">
        <f>VLOOKUP(B75,товар!$A$1:$C$433,3,FALSE)</f>
        <v>Снежана</v>
      </c>
      <c r="M75">
        <f t="shared" si="8"/>
        <v>272.35294117647061</v>
      </c>
      <c r="N75" s="30">
        <f>VLOOKUP(H75,клиенты!$A$1:$G$435,5,FALSE)</f>
        <v>44770</v>
      </c>
      <c r="O75">
        <f t="shared" si="9"/>
        <v>590</v>
      </c>
    </row>
    <row r="76" spans="1:15" x14ac:dyDescent="0.3">
      <c r="A76">
        <v>75</v>
      </c>
      <c r="B76">
        <v>204</v>
      </c>
      <c r="C76">
        <v>491</v>
      </c>
      <c r="D76">
        <v>4</v>
      </c>
      <c r="E76">
        <f t="shared" si="5"/>
        <v>1964</v>
      </c>
      <c r="F76" s="30">
        <v>44930</v>
      </c>
      <c r="G76" t="s">
        <v>25</v>
      </c>
      <c r="H76">
        <v>426</v>
      </c>
      <c r="I76" t="str">
        <f>VLOOKUP(B76,товар!$A$1:$C$433,2,FALSE)</f>
        <v>Печенье</v>
      </c>
      <c r="J76" s="23">
        <f t="shared" si="6"/>
        <v>283.468085106383</v>
      </c>
      <c r="K76" s="24">
        <f t="shared" si="7"/>
        <v>0.73211739097800788</v>
      </c>
      <c r="L76" t="str">
        <f>VLOOKUP(B76,товар!$A$1:$C$433,3,FALSE)</f>
        <v>Юбилейное</v>
      </c>
      <c r="M76">
        <f t="shared" si="8"/>
        <v>232.44444444444446</v>
      </c>
      <c r="N76" s="30">
        <f>VLOOKUP(H76,клиенты!$A$1:$G$435,5,FALSE)</f>
        <v>44768</v>
      </c>
      <c r="O76">
        <f t="shared" si="9"/>
        <v>162</v>
      </c>
    </row>
    <row r="77" spans="1:15" x14ac:dyDescent="0.3">
      <c r="A77">
        <v>76</v>
      </c>
      <c r="B77">
        <v>304</v>
      </c>
      <c r="C77">
        <v>162</v>
      </c>
      <c r="D77">
        <v>1</v>
      </c>
      <c r="E77">
        <f t="shared" si="5"/>
        <v>162</v>
      </c>
      <c r="F77" s="30">
        <v>45316</v>
      </c>
      <c r="G77" t="s">
        <v>22</v>
      </c>
      <c r="H77">
        <v>25</v>
      </c>
      <c r="I77" t="str">
        <f>VLOOKUP(B77,товар!$A$1:$C$433,2,FALSE)</f>
        <v>Конфеты</v>
      </c>
      <c r="J77" s="23">
        <f t="shared" si="6"/>
        <v>267.85483870967744</v>
      </c>
      <c r="K77" s="24">
        <f t="shared" si="7"/>
        <v>-0.39519479737460106</v>
      </c>
      <c r="L77" t="str">
        <f>VLOOKUP(B77,товар!$A$1:$C$433,3,FALSE)</f>
        <v>Рот Фронт</v>
      </c>
      <c r="M77">
        <f t="shared" si="8"/>
        <v>288.23809523809524</v>
      </c>
      <c r="N77" s="30">
        <f>VLOOKUP(H77,клиенты!$A$1:$G$435,5,FALSE)</f>
        <v>44582</v>
      </c>
      <c r="O77">
        <f t="shared" si="9"/>
        <v>734</v>
      </c>
    </row>
    <row r="78" spans="1:15" x14ac:dyDescent="0.3">
      <c r="A78">
        <v>77</v>
      </c>
      <c r="B78">
        <v>189</v>
      </c>
      <c r="C78">
        <v>278</v>
      </c>
      <c r="D78">
        <v>2</v>
      </c>
      <c r="E78">
        <f t="shared" si="5"/>
        <v>556</v>
      </c>
      <c r="F78" s="30">
        <v>45109</v>
      </c>
      <c r="G78" t="s">
        <v>30</v>
      </c>
      <c r="H78">
        <v>462</v>
      </c>
      <c r="I78" t="str">
        <f>VLOOKUP(B78,товар!$A$1:$C$433,2,FALSE)</f>
        <v>Хлеб</v>
      </c>
      <c r="J78" s="23">
        <f t="shared" si="6"/>
        <v>300.31818181818181</v>
      </c>
      <c r="K78" s="24">
        <f t="shared" si="7"/>
        <v>-7.4315120326925999E-2</v>
      </c>
      <c r="L78" t="str">
        <f>VLOOKUP(B78,товар!$A$1:$C$433,3,FALSE)</f>
        <v>Дарница</v>
      </c>
      <c r="M78">
        <f t="shared" si="8"/>
        <v>264</v>
      </c>
      <c r="N78" s="30">
        <f>VLOOKUP(H78,клиенты!$A$1:$G$435,5,FALSE)</f>
        <v>44751</v>
      </c>
      <c r="O78">
        <f t="shared" si="9"/>
        <v>358</v>
      </c>
    </row>
    <row r="79" spans="1:15" x14ac:dyDescent="0.3">
      <c r="A79">
        <v>78</v>
      </c>
      <c r="B79">
        <v>392</v>
      </c>
      <c r="C79">
        <v>484</v>
      </c>
      <c r="D79">
        <v>4</v>
      </c>
      <c r="E79">
        <f t="shared" si="5"/>
        <v>1936</v>
      </c>
      <c r="F79" s="30">
        <v>45302</v>
      </c>
      <c r="G79" t="s">
        <v>17</v>
      </c>
      <c r="H79">
        <v>252</v>
      </c>
      <c r="I79" t="str">
        <f>VLOOKUP(B79,товар!$A$1:$C$433,2,FALSE)</f>
        <v>Кофе</v>
      </c>
      <c r="J79" s="23">
        <f t="shared" si="6"/>
        <v>249.02380952380952</v>
      </c>
      <c r="K79" s="24">
        <f t="shared" si="7"/>
        <v>0.94358925327469167</v>
      </c>
      <c r="L79" t="str">
        <f>VLOOKUP(B79,товар!$A$1:$C$433,3,FALSE)</f>
        <v>Черная Карта</v>
      </c>
      <c r="M79">
        <f t="shared" si="8"/>
        <v>222.2</v>
      </c>
      <c r="N79" s="30">
        <f>VLOOKUP(H79,клиенты!$A$1:$G$435,5,FALSE)</f>
        <v>44643</v>
      </c>
      <c r="O79">
        <f t="shared" si="9"/>
        <v>659</v>
      </c>
    </row>
    <row r="80" spans="1:15" x14ac:dyDescent="0.3">
      <c r="A80">
        <v>79</v>
      </c>
      <c r="B80">
        <v>10</v>
      </c>
      <c r="C80">
        <v>53</v>
      </c>
      <c r="D80">
        <v>1</v>
      </c>
      <c r="E80">
        <f t="shared" si="5"/>
        <v>53</v>
      </c>
      <c r="F80" s="30">
        <v>45164</v>
      </c>
      <c r="G80" t="s">
        <v>32</v>
      </c>
      <c r="H80">
        <v>392</v>
      </c>
      <c r="I80" t="str">
        <f>VLOOKUP(B80,товар!$A$1:$C$433,2,FALSE)</f>
        <v>Сок</v>
      </c>
      <c r="J80" s="23">
        <f t="shared" si="6"/>
        <v>268.60344827586209</v>
      </c>
      <c r="K80" s="24">
        <f t="shared" si="7"/>
        <v>-0.80268309904358437</v>
      </c>
      <c r="L80" t="str">
        <f>VLOOKUP(B80,товар!$A$1:$C$433,3,FALSE)</f>
        <v>Фруктовый сад</v>
      </c>
      <c r="M80">
        <f t="shared" si="8"/>
        <v>281.96875</v>
      </c>
      <c r="N80" s="30">
        <f>VLOOKUP(H80,клиенты!$A$1:$G$435,5,FALSE)</f>
        <v>44919</v>
      </c>
      <c r="O80">
        <f t="shared" si="9"/>
        <v>245</v>
      </c>
    </row>
    <row r="81" spans="1:15" x14ac:dyDescent="0.3">
      <c r="A81">
        <v>80</v>
      </c>
      <c r="B81">
        <v>64</v>
      </c>
      <c r="C81">
        <v>131</v>
      </c>
      <c r="D81">
        <v>5</v>
      </c>
      <c r="E81">
        <f t="shared" si="5"/>
        <v>655</v>
      </c>
      <c r="F81" s="30">
        <v>44946</v>
      </c>
      <c r="G81" t="s">
        <v>22</v>
      </c>
      <c r="H81">
        <v>487</v>
      </c>
      <c r="I81" t="str">
        <f>VLOOKUP(B81,товар!$A$1:$C$433,2,FALSE)</f>
        <v>Колбаса</v>
      </c>
      <c r="J81" s="23">
        <f t="shared" si="6"/>
        <v>286.92307692307691</v>
      </c>
      <c r="K81" s="24">
        <f t="shared" si="7"/>
        <v>-0.54343163538873984</v>
      </c>
      <c r="L81" t="str">
        <f>VLOOKUP(B81,товар!$A$1:$C$433,3,FALSE)</f>
        <v>Окраина</v>
      </c>
      <c r="M81">
        <f t="shared" si="8"/>
        <v>273.58333333333331</v>
      </c>
      <c r="N81" s="30">
        <f>VLOOKUP(H81,клиенты!$A$1:$G$435,5,FALSE)</f>
        <v>44815</v>
      </c>
      <c r="O81">
        <f t="shared" si="9"/>
        <v>131</v>
      </c>
    </row>
    <row r="82" spans="1:15" x14ac:dyDescent="0.3">
      <c r="A82">
        <v>81</v>
      </c>
      <c r="B82">
        <v>116</v>
      </c>
      <c r="C82">
        <v>120</v>
      </c>
      <c r="D82">
        <v>2</v>
      </c>
      <c r="E82">
        <f t="shared" si="5"/>
        <v>240</v>
      </c>
      <c r="F82" s="30">
        <v>45326</v>
      </c>
      <c r="G82" t="s">
        <v>33</v>
      </c>
      <c r="H82">
        <v>332</v>
      </c>
      <c r="I82" t="str">
        <f>VLOOKUP(B82,товар!$A$1:$C$433,2,FALSE)</f>
        <v>Соль</v>
      </c>
      <c r="J82" s="23">
        <f t="shared" si="6"/>
        <v>264.8679245283019</v>
      </c>
      <c r="K82" s="24">
        <f t="shared" si="7"/>
        <v>-0.54694400911810803</v>
      </c>
      <c r="L82" t="str">
        <f>VLOOKUP(B82,товар!$A$1:$C$433,3,FALSE)</f>
        <v>Экстра</v>
      </c>
      <c r="M82">
        <f t="shared" si="8"/>
        <v>320.84615384615387</v>
      </c>
      <c r="N82" s="30">
        <f>VLOOKUP(H82,клиенты!$A$1:$G$435,5,FALSE)</f>
        <v>44858</v>
      </c>
      <c r="O82">
        <f t="shared" si="9"/>
        <v>468</v>
      </c>
    </row>
    <row r="83" spans="1:15" x14ac:dyDescent="0.3">
      <c r="A83">
        <v>82</v>
      </c>
      <c r="B83">
        <v>334</v>
      </c>
      <c r="C83">
        <v>396</v>
      </c>
      <c r="D83">
        <v>4</v>
      </c>
      <c r="E83">
        <f t="shared" si="5"/>
        <v>1584</v>
      </c>
      <c r="F83" s="30">
        <v>45173</v>
      </c>
      <c r="G83" t="s">
        <v>32</v>
      </c>
      <c r="H83">
        <v>134</v>
      </c>
      <c r="I83" t="str">
        <f>VLOOKUP(B83,товар!$A$1:$C$433,2,FALSE)</f>
        <v>Молоко</v>
      </c>
      <c r="J83" s="23">
        <f t="shared" si="6"/>
        <v>294.95238095238096</v>
      </c>
      <c r="K83" s="24">
        <f t="shared" si="7"/>
        <v>0.34258960284145945</v>
      </c>
      <c r="L83" t="str">
        <f>VLOOKUP(B83,товар!$A$1:$C$433,3,FALSE)</f>
        <v>Домик в деревне</v>
      </c>
      <c r="M83">
        <f t="shared" si="8"/>
        <v>274.77777777777777</v>
      </c>
      <c r="N83" s="30">
        <f>VLOOKUP(H83,клиенты!$A$1:$G$435,5,FALSE)</f>
        <v>44753</v>
      </c>
      <c r="O83">
        <f t="shared" si="9"/>
        <v>420</v>
      </c>
    </row>
    <row r="84" spans="1:15" x14ac:dyDescent="0.3">
      <c r="A84">
        <v>83</v>
      </c>
      <c r="B84">
        <v>345</v>
      </c>
      <c r="C84">
        <v>267</v>
      </c>
      <c r="D84">
        <v>5</v>
      </c>
      <c r="E84">
        <f t="shared" si="5"/>
        <v>1335</v>
      </c>
      <c r="F84" s="30">
        <v>45004</v>
      </c>
      <c r="G84" t="s">
        <v>16</v>
      </c>
      <c r="H84">
        <v>287</v>
      </c>
      <c r="I84" t="str">
        <f>VLOOKUP(B84,товар!$A$1:$C$433,2,FALSE)</f>
        <v>Конфеты</v>
      </c>
      <c r="J84" s="23">
        <f t="shared" si="6"/>
        <v>267.85483870967744</v>
      </c>
      <c r="K84" s="24">
        <f t="shared" si="7"/>
        <v>-3.1914253025833172E-3</v>
      </c>
      <c r="L84" t="str">
        <f>VLOOKUP(B84,товар!$A$1:$C$433,3,FALSE)</f>
        <v>Рот Фронт</v>
      </c>
      <c r="M84">
        <f t="shared" si="8"/>
        <v>288.23809523809524</v>
      </c>
      <c r="N84" s="30">
        <f>VLOOKUP(H84,клиенты!$A$1:$G$435,5,FALSE)</f>
        <v>44608</v>
      </c>
      <c r="O84">
        <f t="shared" si="9"/>
        <v>396</v>
      </c>
    </row>
    <row r="85" spans="1:15" x14ac:dyDescent="0.3">
      <c r="A85">
        <v>84</v>
      </c>
      <c r="B85">
        <v>281</v>
      </c>
      <c r="C85">
        <v>371</v>
      </c>
      <c r="D85">
        <v>1</v>
      </c>
      <c r="E85">
        <f t="shared" si="5"/>
        <v>371</v>
      </c>
      <c r="F85" s="30">
        <v>44993</v>
      </c>
      <c r="G85" t="s">
        <v>29</v>
      </c>
      <c r="H85">
        <v>11</v>
      </c>
      <c r="I85" t="str">
        <f>VLOOKUP(B85,товар!$A$1:$C$433,2,FALSE)</f>
        <v>Чай</v>
      </c>
      <c r="J85" s="23">
        <f t="shared" si="6"/>
        <v>271.18181818181819</v>
      </c>
      <c r="K85" s="24">
        <f t="shared" si="7"/>
        <v>0.36808581964465303</v>
      </c>
      <c r="L85" t="str">
        <f>VLOOKUP(B85,товар!$A$1:$C$433,3,FALSE)</f>
        <v>Lipton</v>
      </c>
      <c r="M85">
        <f t="shared" si="8"/>
        <v>260.15789473684208</v>
      </c>
      <c r="N85" s="30">
        <f>VLOOKUP(H85,клиенты!$A$1:$G$435,5,FALSE)</f>
        <v>44690</v>
      </c>
      <c r="O85">
        <f t="shared" si="9"/>
        <v>303</v>
      </c>
    </row>
    <row r="86" spans="1:15" x14ac:dyDescent="0.3">
      <c r="A86">
        <v>85</v>
      </c>
      <c r="B86">
        <v>276</v>
      </c>
      <c r="C86">
        <v>295</v>
      </c>
      <c r="D86">
        <v>1</v>
      </c>
      <c r="E86">
        <f t="shared" si="5"/>
        <v>295</v>
      </c>
      <c r="F86" s="30">
        <v>45272</v>
      </c>
      <c r="G86" t="s">
        <v>24</v>
      </c>
      <c r="H86">
        <v>458</v>
      </c>
      <c r="I86" t="str">
        <f>VLOOKUP(B86,товар!$A$1:$C$433,2,FALSE)</f>
        <v>Колбаса</v>
      </c>
      <c r="J86" s="23">
        <f t="shared" si="6"/>
        <v>286.92307692307691</v>
      </c>
      <c r="K86" s="24">
        <f t="shared" si="7"/>
        <v>2.8150134048257502E-2</v>
      </c>
      <c r="L86" t="str">
        <f>VLOOKUP(B86,товар!$A$1:$C$433,3,FALSE)</f>
        <v>Дымов</v>
      </c>
      <c r="M86">
        <f t="shared" si="8"/>
        <v>312.66666666666669</v>
      </c>
      <c r="N86" s="30">
        <f>VLOOKUP(H86,клиенты!$A$1:$G$435,5,FALSE)</f>
        <v>44694</v>
      </c>
      <c r="O86">
        <f t="shared" si="9"/>
        <v>578</v>
      </c>
    </row>
    <row r="87" spans="1:15" x14ac:dyDescent="0.3">
      <c r="A87">
        <v>86</v>
      </c>
      <c r="B87">
        <v>234</v>
      </c>
      <c r="C87">
        <v>75</v>
      </c>
      <c r="D87">
        <v>5</v>
      </c>
      <c r="E87">
        <f t="shared" si="5"/>
        <v>375</v>
      </c>
      <c r="F87" s="30">
        <v>44939</v>
      </c>
      <c r="G87" t="s">
        <v>30</v>
      </c>
      <c r="H87">
        <v>130</v>
      </c>
      <c r="I87" t="str">
        <f>VLOOKUP(B87,товар!$A$1:$C$433,2,FALSE)</f>
        <v>Чай</v>
      </c>
      <c r="J87" s="23">
        <f t="shared" si="6"/>
        <v>271.18181818181819</v>
      </c>
      <c r="K87" s="24">
        <f t="shared" si="7"/>
        <v>-0.72343278578612136</v>
      </c>
      <c r="L87" t="str">
        <f>VLOOKUP(B87,товар!$A$1:$C$433,3,FALSE)</f>
        <v>Greenfield</v>
      </c>
      <c r="M87">
        <f t="shared" si="8"/>
        <v>291.45454545454544</v>
      </c>
      <c r="N87" s="30">
        <f>VLOOKUP(H87,клиенты!$A$1:$G$435,5,FALSE)</f>
        <v>44863</v>
      </c>
      <c r="O87">
        <f t="shared" si="9"/>
        <v>76</v>
      </c>
    </row>
    <row r="88" spans="1:15" x14ac:dyDescent="0.3">
      <c r="A88">
        <v>87</v>
      </c>
      <c r="B88">
        <v>319</v>
      </c>
      <c r="C88">
        <v>247</v>
      </c>
      <c r="D88">
        <v>2</v>
      </c>
      <c r="E88">
        <f t="shared" si="5"/>
        <v>494</v>
      </c>
      <c r="F88" s="30">
        <v>45189</v>
      </c>
      <c r="G88" t="s">
        <v>15</v>
      </c>
      <c r="H88">
        <v>330</v>
      </c>
      <c r="I88" t="str">
        <f>VLOOKUP(B88,товар!$A$1:$C$433,2,FALSE)</f>
        <v>Йогурт</v>
      </c>
      <c r="J88" s="23">
        <f t="shared" si="6"/>
        <v>263.25423728813558</v>
      </c>
      <c r="K88" s="24">
        <f t="shared" si="7"/>
        <v>-6.1743497295905225E-2</v>
      </c>
      <c r="L88" t="str">
        <f>VLOOKUP(B88,товар!$A$1:$C$433,3,FALSE)</f>
        <v>Эрманн</v>
      </c>
      <c r="M88">
        <f t="shared" si="8"/>
        <v>248.5</v>
      </c>
      <c r="N88" s="30">
        <f>VLOOKUP(H88,клиенты!$A$1:$G$435,5,FALSE)</f>
        <v>44815</v>
      </c>
      <c r="O88">
        <f t="shared" si="9"/>
        <v>374</v>
      </c>
    </row>
    <row r="89" spans="1:15" x14ac:dyDescent="0.3">
      <c r="A89">
        <v>88</v>
      </c>
      <c r="B89">
        <v>375</v>
      </c>
      <c r="C89">
        <v>281</v>
      </c>
      <c r="D89">
        <v>2</v>
      </c>
      <c r="E89">
        <f t="shared" si="5"/>
        <v>562</v>
      </c>
      <c r="F89" s="30">
        <v>45079</v>
      </c>
      <c r="G89" t="s">
        <v>24</v>
      </c>
      <c r="H89">
        <v>167</v>
      </c>
      <c r="I89" t="str">
        <f>VLOOKUP(B89,товар!$A$1:$C$433,2,FALSE)</f>
        <v>Макароны</v>
      </c>
      <c r="J89" s="23">
        <f t="shared" si="6"/>
        <v>265.47674418604652</v>
      </c>
      <c r="K89" s="24">
        <f t="shared" si="7"/>
        <v>5.8473128640883054E-2</v>
      </c>
      <c r="L89" t="str">
        <f>VLOOKUP(B89,товар!$A$1:$C$433,3,FALSE)</f>
        <v>Борилла</v>
      </c>
      <c r="M89">
        <f t="shared" si="8"/>
        <v>236.27586206896552</v>
      </c>
      <c r="N89" s="30">
        <f>VLOOKUP(H89,клиенты!$A$1:$G$435,5,FALSE)</f>
        <v>44563</v>
      </c>
      <c r="O89">
        <f t="shared" si="9"/>
        <v>516</v>
      </c>
    </row>
    <row r="90" spans="1:15" x14ac:dyDescent="0.3">
      <c r="A90">
        <v>89</v>
      </c>
      <c r="B90">
        <v>443</v>
      </c>
      <c r="C90">
        <v>136</v>
      </c>
      <c r="D90">
        <v>2</v>
      </c>
      <c r="E90">
        <f t="shared" si="5"/>
        <v>272</v>
      </c>
      <c r="F90" s="30">
        <v>44927</v>
      </c>
      <c r="G90" t="s">
        <v>32</v>
      </c>
      <c r="H90">
        <v>140</v>
      </c>
      <c r="I90" t="str">
        <f>VLOOKUP(B90,товар!$A$1:$C$433,2,FALSE)</f>
        <v>Кофе</v>
      </c>
      <c r="J90" s="23">
        <f t="shared" si="6"/>
        <v>249.02380952380952</v>
      </c>
      <c r="K90" s="24">
        <f t="shared" si="7"/>
        <v>-0.45386748255091303</v>
      </c>
      <c r="L90" t="str">
        <f>VLOOKUP(B90,товар!$A$1:$C$433,3,FALSE)</f>
        <v>Jacobs</v>
      </c>
      <c r="M90">
        <f t="shared" si="8"/>
        <v>276.21052631578948</v>
      </c>
      <c r="N90" s="30">
        <f>VLOOKUP(H90,клиенты!$A$1:$G$435,5,FALSE)</f>
        <v>44627</v>
      </c>
      <c r="O90">
        <f t="shared" si="9"/>
        <v>300</v>
      </c>
    </row>
    <row r="91" spans="1:15" x14ac:dyDescent="0.3">
      <c r="A91">
        <v>90</v>
      </c>
      <c r="B91">
        <v>30</v>
      </c>
      <c r="C91">
        <v>142</v>
      </c>
      <c r="D91">
        <v>5</v>
      </c>
      <c r="E91">
        <f t="shared" si="5"/>
        <v>710</v>
      </c>
      <c r="F91" s="30">
        <v>45226</v>
      </c>
      <c r="G91" t="s">
        <v>30</v>
      </c>
      <c r="H91">
        <v>423</v>
      </c>
      <c r="I91" t="str">
        <f>VLOOKUP(B91,товар!$A$1:$C$433,2,FALSE)</f>
        <v>Чипсы</v>
      </c>
      <c r="J91" s="23">
        <f t="shared" si="6"/>
        <v>273.72549019607845</v>
      </c>
      <c r="K91" s="24">
        <f t="shared" si="7"/>
        <v>-0.48123209169054448</v>
      </c>
      <c r="L91" t="str">
        <f>VLOOKUP(B91,товар!$A$1:$C$433,3,FALSE)</f>
        <v>Pringles</v>
      </c>
      <c r="M91">
        <f t="shared" si="8"/>
        <v>280.23809523809524</v>
      </c>
      <c r="N91" s="30">
        <f>VLOOKUP(H91,клиенты!$A$1:$G$435,5,FALSE)</f>
        <v>44841</v>
      </c>
      <c r="O91">
        <f t="shared" si="9"/>
        <v>385</v>
      </c>
    </row>
    <row r="92" spans="1:15" x14ac:dyDescent="0.3">
      <c r="A92">
        <v>91</v>
      </c>
      <c r="B92">
        <v>24</v>
      </c>
      <c r="C92">
        <v>414</v>
      </c>
      <c r="D92">
        <v>1</v>
      </c>
      <c r="E92">
        <f t="shared" si="5"/>
        <v>414</v>
      </c>
      <c r="F92" s="30">
        <v>45388</v>
      </c>
      <c r="G92" t="s">
        <v>19</v>
      </c>
      <c r="H92">
        <v>365</v>
      </c>
      <c r="I92" t="str">
        <f>VLOOKUP(B92,товар!$A$1:$C$433,2,FALSE)</f>
        <v>Йогурт</v>
      </c>
      <c r="J92" s="23">
        <f t="shared" si="6"/>
        <v>263.25423728813558</v>
      </c>
      <c r="K92" s="24">
        <f t="shared" si="7"/>
        <v>0.57262425959309815</v>
      </c>
      <c r="L92" t="str">
        <f>VLOOKUP(B92,товар!$A$1:$C$433,3,FALSE)</f>
        <v>Чудо</v>
      </c>
      <c r="M92">
        <f t="shared" si="8"/>
        <v>287.10000000000002</v>
      </c>
      <c r="N92" s="30">
        <f>VLOOKUP(H92,клиенты!$A$1:$G$435,5,FALSE)</f>
        <v>44841</v>
      </c>
      <c r="O92">
        <f t="shared" si="9"/>
        <v>547</v>
      </c>
    </row>
    <row r="93" spans="1:15" x14ac:dyDescent="0.3">
      <c r="A93">
        <v>92</v>
      </c>
      <c r="B93">
        <v>357</v>
      </c>
      <c r="C93">
        <v>206</v>
      </c>
      <c r="D93">
        <v>2</v>
      </c>
      <c r="E93">
        <f t="shared" si="5"/>
        <v>412</v>
      </c>
      <c r="F93" s="30">
        <v>45424</v>
      </c>
      <c r="G93" t="s">
        <v>33</v>
      </c>
      <c r="H93">
        <v>452</v>
      </c>
      <c r="I93" t="str">
        <f>VLOOKUP(B93,товар!$A$1:$C$433,2,FALSE)</f>
        <v>Мясо</v>
      </c>
      <c r="J93" s="23">
        <f t="shared" si="6"/>
        <v>271.74545454545455</v>
      </c>
      <c r="K93" s="24">
        <f t="shared" si="7"/>
        <v>-0.24193764217850933</v>
      </c>
      <c r="L93" t="str">
        <f>VLOOKUP(B93,товар!$A$1:$C$433,3,FALSE)</f>
        <v>Снежана</v>
      </c>
      <c r="M93">
        <f t="shared" si="8"/>
        <v>272.35294117647061</v>
      </c>
      <c r="N93" s="30">
        <f>VLOOKUP(H93,клиенты!$A$1:$G$435,5,FALSE)</f>
        <v>44769</v>
      </c>
      <c r="O93">
        <f t="shared" si="9"/>
        <v>655</v>
      </c>
    </row>
    <row r="94" spans="1:15" x14ac:dyDescent="0.3">
      <c r="A94">
        <v>93</v>
      </c>
      <c r="B94">
        <v>265</v>
      </c>
      <c r="C94">
        <v>66</v>
      </c>
      <c r="D94">
        <v>1</v>
      </c>
      <c r="E94">
        <f t="shared" si="5"/>
        <v>66</v>
      </c>
      <c r="F94" s="30">
        <v>45183</v>
      </c>
      <c r="G94" t="s">
        <v>31</v>
      </c>
      <c r="H94">
        <v>424</v>
      </c>
      <c r="I94" t="str">
        <f>VLOOKUP(B94,товар!$A$1:$C$433,2,FALSE)</f>
        <v>Мясо</v>
      </c>
      <c r="J94" s="23">
        <f t="shared" si="6"/>
        <v>271.74545454545455</v>
      </c>
      <c r="K94" s="24">
        <f t="shared" si="7"/>
        <v>-0.75712565234845441</v>
      </c>
      <c r="L94" t="str">
        <f>VLOOKUP(B94,товар!$A$1:$C$433,3,FALSE)</f>
        <v>Мираторг</v>
      </c>
      <c r="M94">
        <f t="shared" si="8"/>
        <v>316.58333333333331</v>
      </c>
      <c r="N94" s="30">
        <f>VLOOKUP(H94,клиенты!$A$1:$G$435,5,FALSE)</f>
        <v>44585</v>
      </c>
      <c r="O94">
        <f t="shared" si="9"/>
        <v>598</v>
      </c>
    </row>
    <row r="95" spans="1:15" x14ac:dyDescent="0.3">
      <c r="A95">
        <v>94</v>
      </c>
      <c r="B95">
        <v>102</v>
      </c>
      <c r="C95">
        <v>452</v>
      </c>
      <c r="D95">
        <v>1</v>
      </c>
      <c r="E95">
        <f t="shared" si="5"/>
        <v>452</v>
      </c>
      <c r="F95" s="30">
        <v>45218</v>
      </c>
      <c r="G95" t="s">
        <v>28</v>
      </c>
      <c r="H95">
        <v>75</v>
      </c>
      <c r="I95" t="str">
        <f>VLOOKUP(B95,товар!$A$1:$C$433,2,FALSE)</f>
        <v>Печенье</v>
      </c>
      <c r="J95" s="23">
        <f t="shared" si="6"/>
        <v>283.468085106383</v>
      </c>
      <c r="K95" s="24">
        <f t="shared" si="7"/>
        <v>0.59453576521804385</v>
      </c>
      <c r="L95" t="str">
        <f>VLOOKUP(B95,товар!$A$1:$C$433,3,FALSE)</f>
        <v>Белогорье</v>
      </c>
      <c r="M95">
        <f t="shared" si="8"/>
        <v>249.5</v>
      </c>
      <c r="N95" s="30">
        <f>VLOOKUP(H95,клиенты!$A$1:$G$435,5,FALSE)</f>
        <v>44796</v>
      </c>
      <c r="O95">
        <f t="shared" si="9"/>
        <v>422</v>
      </c>
    </row>
    <row r="96" spans="1:15" x14ac:dyDescent="0.3">
      <c r="A96">
        <v>95</v>
      </c>
      <c r="B96">
        <v>212</v>
      </c>
      <c r="C96">
        <v>175</v>
      </c>
      <c r="D96">
        <v>1</v>
      </c>
      <c r="E96">
        <f t="shared" si="5"/>
        <v>175</v>
      </c>
      <c r="F96" s="30">
        <v>45290</v>
      </c>
      <c r="G96" t="s">
        <v>34</v>
      </c>
      <c r="H96">
        <v>385</v>
      </c>
      <c r="I96" t="str">
        <f>VLOOKUP(B96,товар!$A$1:$C$433,2,FALSE)</f>
        <v>Чипсы</v>
      </c>
      <c r="J96" s="23">
        <f t="shared" si="6"/>
        <v>273.72549019607845</v>
      </c>
      <c r="K96" s="24">
        <f t="shared" si="7"/>
        <v>-0.36067335243553011</v>
      </c>
      <c r="L96" t="str">
        <f>VLOOKUP(B96,товар!$A$1:$C$433,3,FALSE)</f>
        <v>Lay's</v>
      </c>
      <c r="M96">
        <f t="shared" si="8"/>
        <v>320.57142857142856</v>
      </c>
      <c r="N96" s="30">
        <f>VLOOKUP(H96,клиенты!$A$1:$G$435,5,FALSE)</f>
        <v>44753</v>
      </c>
      <c r="O96">
        <f t="shared" si="9"/>
        <v>537</v>
      </c>
    </row>
    <row r="97" spans="1:15" x14ac:dyDescent="0.3">
      <c r="A97">
        <v>96</v>
      </c>
      <c r="B97">
        <v>215</v>
      </c>
      <c r="C97">
        <v>109</v>
      </c>
      <c r="D97">
        <v>1</v>
      </c>
      <c r="E97">
        <f t="shared" si="5"/>
        <v>109</v>
      </c>
      <c r="F97" s="30">
        <v>45235</v>
      </c>
      <c r="G97" t="s">
        <v>24</v>
      </c>
      <c r="H97">
        <v>71</v>
      </c>
      <c r="I97" t="str">
        <f>VLOOKUP(B97,товар!$A$1:$C$433,2,FALSE)</f>
        <v>Сок</v>
      </c>
      <c r="J97" s="23">
        <f t="shared" si="6"/>
        <v>268.60344827586209</v>
      </c>
      <c r="K97" s="24">
        <f t="shared" si="7"/>
        <v>-0.59419731690095645</v>
      </c>
      <c r="L97" t="str">
        <f>VLOOKUP(B97,товар!$A$1:$C$433,3,FALSE)</f>
        <v>Фруктовый сад</v>
      </c>
      <c r="M97">
        <f t="shared" si="8"/>
        <v>281.96875</v>
      </c>
      <c r="N97" s="30">
        <f>VLOOKUP(H97,клиенты!$A$1:$G$435,5,FALSE)</f>
        <v>44762</v>
      </c>
      <c r="O97">
        <f t="shared" si="9"/>
        <v>473</v>
      </c>
    </row>
    <row r="98" spans="1:15" x14ac:dyDescent="0.3">
      <c r="A98">
        <v>97</v>
      </c>
      <c r="B98">
        <v>364</v>
      </c>
      <c r="C98">
        <v>323</v>
      </c>
      <c r="D98">
        <v>2</v>
      </c>
      <c r="E98">
        <f t="shared" si="5"/>
        <v>646</v>
      </c>
      <c r="F98" s="30">
        <v>45197</v>
      </c>
      <c r="G98" t="s">
        <v>32</v>
      </c>
      <c r="H98">
        <v>313</v>
      </c>
      <c r="I98" t="str">
        <f>VLOOKUP(B98,товар!$A$1:$C$433,2,FALSE)</f>
        <v>Сахар</v>
      </c>
      <c r="J98" s="23">
        <f t="shared" si="6"/>
        <v>252.76271186440678</v>
      </c>
      <c r="K98" s="24">
        <f t="shared" si="7"/>
        <v>0.27787836116140285</v>
      </c>
      <c r="L98" t="str">
        <f>VLOOKUP(B98,товар!$A$1:$C$433,3,FALSE)</f>
        <v>Русский сахар</v>
      </c>
      <c r="M98">
        <f t="shared" si="8"/>
        <v>293.41176470588238</v>
      </c>
      <c r="N98" s="30">
        <f>VLOOKUP(H98,клиенты!$A$1:$G$435,5,FALSE)</f>
        <v>44896</v>
      </c>
      <c r="O98">
        <f t="shared" si="9"/>
        <v>301</v>
      </c>
    </row>
    <row r="99" spans="1:15" x14ac:dyDescent="0.3">
      <c r="A99">
        <v>98</v>
      </c>
      <c r="B99">
        <v>499</v>
      </c>
      <c r="C99">
        <v>96</v>
      </c>
      <c r="D99">
        <v>1</v>
      </c>
      <c r="E99">
        <f t="shared" si="5"/>
        <v>96</v>
      </c>
      <c r="F99" s="30">
        <v>44942</v>
      </c>
      <c r="G99" t="s">
        <v>20</v>
      </c>
      <c r="H99">
        <v>239</v>
      </c>
      <c r="I99" t="str">
        <f>VLOOKUP(B99,товар!$A$1:$C$433,2,FALSE)</f>
        <v>Печенье</v>
      </c>
      <c r="J99" s="23">
        <f t="shared" si="6"/>
        <v>283.468085106383</v>
      </c>
      <c r="K99" s="24">
        <f t="shared" si="7"/>
        <v>-0.66133753659085792</v>
      </c>
      <c r="L99" t="str">
        <f>VLOOKUP(B99,товар!$A$1:$C$433,3,FALSE)</f>
        <v>Посиделкино</v>
      </c>
      <c r="M99">
        <f t="shared" si="8"/>
        <v>321.63636363636363</v>
      </c>
      <c r="N99" s="30">
        <f>VLOOKUP(H99,клиенты!$A$1:$G$435,5,FALSE)</f>
        <v>44767</v>
      </c>
      <c r="O99">
        <f t="shared" si="9"/>
        <v>175</v>
      </c>
    </row>
    <row r="100" spans="1:15" x14ac:dyDescent="0.3">
      <c r="A100">
        <v>99</v>
      </c>
      <c r="B100">
        <v>202</v>
      </c>
      <c r="C100">
        <v>422</v>
      </c>
      <c r="D100">
        <v>2</v>
      </c>
      <c r="E100">
        <f t="shared" si="5"/>
        <v>844</v>
      </c>
      <c r="F100" s="30">
        <v>45077</v>
      </c>
      <c r="G100" t="s">
        <v>20</v>
      </c>
      <c r="H100">
        <v>301</v>
      </c>
      <c r="I100" t="str">
        <f>VLOOKUP(B100,товар!$A$1:$C$433,2,FALSE)</f>
        <v>Овощи</v>
      </c>
      <c r="J100" s="23">
        <f t="shared" si="6"/>
        <v>250.48780487804879</v>
      </c>
      <c r="K100" s="24">
        <f t="shared" si="7"/>
        <v>0.68471275559883149</v>
      </c>
      <c r="L100" t="str">
        <f>VLOOKUP(B100,товар!$A$1:$C$433,3,FALSE)</f>
        <v>Овощной ряд</v>
      </c>
      <c r="M100">
        <f t="shared" si="8"/>
        <v>303.8235294117647</v>
      </c>
      <c r="N100" s="30">
        <f>VLOOKUP(H100,клиенты!$A$1:$G$435,5,FALSE)</f>
        <v>44714</v>
      </c>
      <c r="O100">
        <f t="shared" si="9"/>
        <v>363</v>
      </c>
    </row>
    <row r="101" spans="1:15" x14ac:dyDescent="0.3">
      <c r="A101">
        <v>100</v>
      </c>
      <c r="B101">
        <v>244</v>
      </c>
      <c r="C101">
        <v>57</v>
      </c>
      <c r="D101">
        <v>3</v>
      </c>
      <c r="E101">
        <f t="shared" si="5"/>
        <v>171</v>
      </c>
      <c r="F101" s="30">
        <v>45331</v>
      </c>
      <c r="G101" t="s">
        <v>33</v>
      </c>
      <c r="H101">
        <v>359</v>
      </c>
      <c r="I101" t="str">
        <f>VLOOKUP(B101,товар!$A$1:$C$433,2,FALSE)</f>
        <v>Мясо</v>
      </c>
      <c r="J101" s="23">
        <f t="shared" si="6"/>
        <v>271.74545454545455</v>
      </c>
      <c r="K101" s="24">
        <f t="shared" si="7"/>
        <v>-0.79024488157366524</v>
      </c>
      <c r="L101" t="str">
        <f>VLOOKUP(B101,товар!$A$1:$C$433,3,FALSE)</f>
        <v>Сава</v>
      </c>
      <c r="M101">
        <f t="shared" si="8"/>
        <v>212.8125</v>
      </c>
      <c r="N101" s="30">
        <f>VLOOKUP(H101,клиенты!$A$1:$G$435,5,FALSE)</f>
        <v>44584</v>
      </c>
      <c r="O101">
        <f t="shared" si="9"/>
        <v>747</v>
      </c>
    </row>
    <row r="102" spans="1:15" x14ac:dyDescent="0.3">
      <c r="A102">
        <v>101</v>
      </c>
      <c r="B102">
        <v>363</v>
      </c>
      <c r="C102">
        <v>414</v>
      </c>
      <c r="D102">
        <v>4</v>
      </c>
      <c r="E102">
        <f t="shared" si="5"/>
        <v>1656</v>
      </c>
      <c r="F102" s="30">
        <v>45210</v>
      </c>
      <c r="G102" t="s">
        <v>32</v>
      </c>
      <c r="H102">
        <v>474</v>
      </c>
      <c r="I102" t="str">
        <f>VLOOKUP(B102,товар!$A$1:$C$433,2,FALSE)</f>
        <v>Хлеб</v>
      </c>
      <c r="J102" s="23">
        <f t="shared" si="6"/>
        <v>300.31818181818181</v>
      </c>
      <c r="K102" s="24">
        <f t="shared" si="7"/>
        <v>0.37853791433328299</v>
      </c>
      <c r="L102" t="str">
        <f>VLOOKUP(B102,товар!$A$1:$C$433,3,FALSE)</f>
        <v>Дарница</v>
      </c>
      <c r="M102">
        <f t="shared" si="8"/>
        <v>264</v>
      </c>
      <c r="N102" s="30">
        <f>VLOOKUP(H102,клиенты!$A$1:$G$435,5,FALSE)</f>
        <v>44605</v>
      </c>
      <c r="O102">
        <f t="shared" si="9"/>
        <v>605</v>
      </c>
    </row>
    <row r="103" spans="1:15" x14ac:dyDescent="0.3">
      <c r="A103">
        <v>102</v>
      </c>
      <c r="B103">
        <v>212</v>
      </c>
      <c r="C103">
        <v>320</v>
      </c>
      <c r="D103">
        <v>5</v>
      </c>
      <c r="E103">
        <f t="shared" si="5"/>
        <v>1600</v>
      </c>
      <c r="F103" s="30">
        <v>45082</v>
      </c>
      <c r="G103" t="s">
        <v>17</v>
      </c>
      <c r="H103">
        <v>111</v>
      </c>
      <c r="I103" t="str">
        <f>VLOOKUP(B103,товар!$A$1:$C$433,2,FALSE)</f>
        <v>Чипсы</v>
      </c>
      <c r="J103" s="23">
        <f t="shared" si="6"/>
        <v>273.72549019607845</v>
      </c>
      <c r="K103" s="24">
        <f t="shared" si="7"/>
        <v>0.16905444126074487</v>
      </c>
      <c r="L103" t="str">
        <f>VLOOKUP(B103,товар!$A$1:$C$433,3,FALSE)</f>
        <v>Lay's</v>
      </c>
      <c r="M103">
        <f t="shared" si="8"/>
        <v>320.57142857142856</v>
      </c>
      <c r="N103" s="30">
        <f>VLOOKUP(H103,клиенты!$A$1:$G$435,5,FALSE)</f>
        <v>44804</v>
      </c>
      <c r="O103">
        <f t="shared" si="9"/>
        <v>278</v>
      </c>
    </row>
    <row r="104" spans="1:15" x14ac:dyDescent="0.3">
      <c r="A104">
        <v>103</v>
      </c>
      <c r="B104">
        <v>434</v>
      </c>
      <c r="C104">
        <v>272</v>
      </c>
      <c r="D104">
        <v>2</v>
      </c>
      <c r="E104">
        <f t="shared" si="5"/>
        <v>544</v>
      </c>
      <c r="F104" s="30">
        <v>45174</v>
      </c>
      <c r="G104" t="s">
        <v>20</v>
      </c>
      <c r="H104">
        <v>126</v>
      </c>
      <c r="I104" t="str">
        <f>VLOOKUP(B104,товар!$A$1:$C$433,2,FALSE)</f>
        <v>Сыр</v>
      </c>
      <c r="J104" s="23">
        <f t="shared" si="6"/>
        <v>262.63492063492066</v>
      </c>
      <c r="K104" s="24">
        <f t="shared" si="7"/>
        <v>3.5658165115435736E-2</v>
      </c>
      <c r="L104" t="str">
        <f>VLOOKUP(B104,товар!$A$1:$C$433,3,FALSE)</f>
        <v>Сырная долина</v>
      </c>
      <c r="M104">
        <f t="shared" si="8"/>
        <v>271</v>
      </c>
      <c r="N104" s="30">
        <f>VLOOKUP(H104,клиенты!$A$1:$G$435,5,FALSE)</f>
        <v>44822</v>
      </c>
      <c r="O104">
        <f t="shared" si="9"/>
        <v>352</v>
      </c>
    </row>
    <row r="105" spans="1:15" x14ac:dyDescent="0.3">
      <c r="A105">
        <v>104</v>
      </c>
      <c r="B105">
        <v>305</v>
      </c>
      <c r="C105">
        <v>419</v>
      </c>
      <c r="D105">
        <v>4</v>
      </c>
      <c r="E105">
        <f t="shared" si="5"/>
        <v>1676</v>
      </c>
      <c r="F105" s="30">
        <v>45171</v>
      </c>
      <c r="G105" t="s">
        <v>34</v>
      </c>
      <c r="H105">
        <v>356</v>
      </c>
      <c r="I105" t="str">
        <f>VLOOKUP(B105,товар!$A$1:$C$433,2,FALSE)</f>
        <v>Печенье</v>
      </c>
      <c r="J105" s="23">
        <f t="shared" si="6"/>
        <v>283.468085106383</v>
      </c>
      <c r="K105" s="24">
        <f t="shared" si="7"/>
        <v>0.47812054342115129</v>
      </c>
      <c r="L105" t="str">
        <f>VLOOKUP(B105,товар!$A$1:$C$433,3,FALSE)</f>
        <v>Посиделкино</v>
      </c>
      <c r="M105">
        <f t="shared" si="8"/>
        <v>321.63636363636363</v>
      </c>
      <c r="N105" s="30">
        <f>VLOOKUP(H105,клиенты!$A$1:$G$435,5,FALSE)</f>
        <v>44570</v>
      </c>
      <c r="O105">
        <f t="shared" si="9"/>
        <v>601</v>
      </c>
    </row>
    <row r="106" spans="1:15" x14ac:dyDescent="0.3">
      <c r="A106">
        <v>105</v>
      </c>
      <c r="B106">
        <v>37</v>
      </c>
      <c r="C106">
        <v>478</v>
      </c>
      <c r="D106">
        <v>4</v>
      </c>
      <c r="E106">
        <f t="shared" si="5"/>
        <v>1912</v>
      </c>
      <c r="F106" s="30">
        <v>45259</v>
      </c>
      <c r="G106" t="s">
        <v>19</v>
      </c>
      <c r="H106">
        <v>166</v>
      </c>
      <c r="I106" t="str">
        <f>VLOOKUP(B106,товар!$A$1:$C$433,2,FALSE)</f>
        <v>Соль</v>
      </c>
      <c r="J106" s="23">
        <f t="shared" si="6"/>
        <v>264.8679245283019</v>
      </c>
      <c r="K106" s="24">
        <f t="shared" si="7"/>
        <v>0.80467303034620308</v>
      </c>
      <c r="L106" t="str">
        <f>VLOOKUP(B106,товар!$A$1:$C$433,3,FALSE)</f>
        <v>Илецкая</v>
      </c>
      <c r="M106">
        <f t="shared" si="8"/>
        <v>238.16666666666666</v>
      </c>
      <c r="N106" s="30">
        <f>VLOOKUP(H106,клиенты!$A$1:$G$435,5,FALSE)</f>
        <v>44796</v>
      </c>
      <c r="O106">
        <f t="shared" si="9"/>
        <v>463</v>
      </c>
    </row>
    <row r="107" spans="1:15" x14ac:dyDescent="0.3">
      <c r="A107">
        <v>106</v>
      </c>
      <c r="B107">
        <v>242</v>
      </c>
      <c r="C107">
        <v>333</v>
      </c>
      <c r="D107">
        <v>3</v>
      </c>
      <c r="E107">
        <f t="shared" si="5"/>
        <v>999</v>
      </c>
      <c r="F107" s="30">
        <v>45287</v>
      </c>
      <c r="G107" t="s">
        <v>17</v>
      </c>
      <c r="H107">
        <v>162</v>
      </c>
      <c r="I107" t="str">
        <f>VLOOKUP(B107,товар!$A$1:$C$433,2,FALSE)</f>
        <v>Овощи</v>
      </c>
      <c r="J107" s="23">
        <f t="shared" si="6"/>
        <v>250.48780487804879</v>
      </c>
      <c r="K107" s="24">
        <f t="shared" si="7"/>
        <v>0.32940603700097371</v>
      </c>
      <c r="L107" t="str">
        <f>VLOOKUP(B107,товар!$A$1:$C$433,3,FALSE)</f>
        <v>Овощной ряд</v>
      </c>
      <c r="M107">
        <f t="shared" si="8"/>
        <v>303.8235294117647</v>
      </c>
      <c r="N107" s="30">
        <f>VLOOKUP(H107,клиенты!$A$1:$G$435,5,FALSE)</f>
        <v>44639</v>
      </c>
      <c r="O107">
        <f t="shared" si="9"/>
        <v>648</v>
      </c>
    </row>
    <row r="108" spans="1:15" x14ac:dyDescent="0.3">
      <c r="A108">
        <v>107</v>
      </c>
      <c r="B108">
        <v>332</v>
      </c>
      <c r="C108">
        <v>327</v>
      </c>
      <c r="D108">
        <v>2</v>
      </c>
      <c r="E108">
        <f t="shared" si="5"/>
        <v>654</v>
      </c>
      <c r="F108" s="30">
        <v>45095</v>
      </c>
      <c r="G108" t="s">
        <v>26</v>
      </c>
      <c r="H108">
        <v>459</v>
      </c>
      <c r="I108" t="str">
        <f>VLOOKUP(B108,товар!$A$1:$C$433,2,FALSE)</f>
        <v>Чай</v>
      </c>
      <c r="J108" s="23">
        <f t="shared" si="6"/>
        <v>271.18181818181819</v>
      </c>
      <c r="K108" s="24">
        <f t="shared" si="7"/>
        <v>0.20583305397251084</v>
      </c>
      <c r="L108" t="str">
        <f>VLOOKUP(B108,товар!$A$1:$C$433,3,FALSE)</f>
        <v>Тесс</v>
      </c>
      <c r="M108">
        <f t="shared" si="8"/>
        <v>281.75</v>
      </c>
      <c r="N108" s="30">
        <f>VLOOKUP(H108,клиенты!$A$1:$G$435,5,FALSE)</f>
        <v>44743</v>
      </c>
      <c r="O108">
        <f t="shared" si="9"/>
        <v>352</v>
      </c>
    </row>
    <row r="109" spans="1:15" x14ac:dyDescent="0.3">
      <c r="A109">
        <v>108</v>
      </c>
      <c r="B109">
        <v>452</v>
      </c>
      <c r="C109">
        <v>89</v>
      </c>
      <c r="D109">
        <v>3</v>
      </c>
      <c r="E109">
        <f t="shared" si="5"/>
        <v>267</v>
      </c>
      <c r="F109" s="30">
        <v>45033</v>
      </c>
      <c r="G109" t="s">
        <v>29</v>
      </c>
      <c r="H109">
        <v>211</v>
      </c>
      <c r="I109" t="str">
        <f>VLOOKUP(B109,товар!$A$1:$C$433,2,FALSE)</f>
        <v>Фрукты</v>
      </c>
      <c r="J109" s="23">
        <f t="shared" si="6"/>
        <v>274.16279069767444</v>
      </c>
      <c r="K109" s="24">
        <f t="shared" si="7"/>
        <v>-0.67537534990245152</v>
      </c>
      <c r="L109" t="str">
        <f>VLOOKUP(B109,товар!$A$1:$C$433,3,FALSE)</f>
        <v>Экзотик</v>
      </c>
      <c r="M109">
        <f t="shared" si="8"/>
        <v>253.6875</v>
      </c>
      <c r="N109" s="30">
        <f>VLOOKUP(H109,клиенты!$A$1:$G$435,5,FALSE)</f>
        <v>44621</v>
      </c>
      <c r="O109">
        <f t="shared" si="9"/>
        <v>412</v>
      </c>
    </row>
    <row r="110" spans="1:15" x14ac:dyDescent="0.3">
      <c r="A110">
        <v>109</v>
      </c>
      <c r="B110">
        <v>452</v>
      </c>
      <c r="C110">
        <v>78</v>
      </c>
      <c r="D110">
        <v>3</v>
      </c>
      <c r="E110">
        <f t="shared" si="5"/>
        <v>234</v>
      </c>
      <c r="F110" s="30">
        <v>45285</v>
      </c>
      <c r="G110" t="s">
        <v>17</v>
      </c>
      <c r="H110">
        <v>132</v>
      </c>
      <c r="I110" t="str">
        <f>VLOOKUP(B110,товар!$A$1:$C$433,2,FALSE)</f>
        <v>Фрукты</v>
      </c>
      <c r="J110" s="23">
        <f t="shared" si="6"/>
        <v>274.16279069767444</v>
      </c>
      <c r="K110" s="24">
        <f t="shared" si="7"/>
        <v>-0.71549749766731696</v>
      </c>
      <c r="L110" t="str">
        <f>VLOOKUP(B110,товар!$A$1:$C$433,3,FALSE)</f>
        <v>Экзотик</v>
      </c>
      <c r="M110">
        <f t="shared" si="8"/>
        <v>253.6875</v>
      </c>
      <c r="N110" s="30">
        <f>VLOOKUP(H110,клиенты!$A$1:$G$435,5,FALSE)</f>
        <v>44601</v>
      </c>
      <c r="O110">
        <f t="shared" si="9"/>
        <v>684</v>
      </c>
    </row>
    <row r="111" spans="1:15" x14ac:dyDescent="0.3">
      <c r="A111">
        <v>110</v>
      </c>
      <c r="B111">
        <v>132</v>
      </c>
      <c r="C111">
        <v>278</v>
      </c>
      <c r="D111">
        <v>3</v>
      </c>
      <c r="E111">
        <f t="shared" si="5"/>
        <v>834</v>
      </c>
      <c r="F111" s="30">
        <v>45013</v>
      </c>
      <c r="G111" t="s">
        <v>18</v>
      </c>
      <c r="H111">
        <v>236</v>
      </c>
      <c r="I111" t="str">
        <f>VLOOKUP(B111,товар!$A$1:$C$433,2,FALSE)</f>
        <v>Рыба</v>
      </c>
      <c r="J111" s="23">
        <f t="shared" si="6"/>
        <v>258.5128205128205</v>
      </c>
      <c r="K111" s="24">
        <f t="shared" si="7"/>
        <v>7.5381868676849928E-2</v>
      </c>
      <c r="L111" t="str">
        <f>VLOOKUP(B111,товар!$A$1:$C$433,3,FALSE)</f>
        <v>Меридиан</v>
      </c>
      <c r="M111">
        <f t="shared" si="8"/>
        <v>260.64705882352939</v>
      </c>
      <c r="N111" s="30">
        <f>VLOOKUP(H111,клиенты!$A$1:$G$435,5,FALSE)</f>
        <v>44820</v>
      </c>
      <c r="O111">
        <f t="shared" si="9"/>
        <v>193</v>
      </c>
    </row>
    <row r="112" spans="1:15" x14ac:dyDescent="0.3">
      <c r="A112">
        <v>111</v>
      </c>
      <c r="B112">
        <v>457</v>
      </c>
      <c r="C112">
        <v>211</v>
      </c>
      <c r="D112">
        <v>4</v>
      </c>
      <c r="E112">
        <f t="shared" si="5"/>
        <v>844</v>
      </c>
      <c r="F112" s="30">
        <v>45039</v>
      </c>
      <c r="G112" t="s">
        <v>24</v>
      </c>
      <c r="H112">
        <v>333</v>
      </c>
      <c r="I112" t="str">
        <f>VLOOKUP(B112,товар!$A$1:$C$433,2,FALSE)</f>
        <v>Сок</v>
      </c>
      <c r="J112" s="23">
        <f t="shared" si="6"/>
        <v>268.60344827586209</v>
      </c>
      <c r="K112" s="24">
        <f t="shared" si="7"/>
        <v>-0.21445535656974135</v>
      </c>
      <c r="L112" t="str">
        <f>VLOOKUP(B112,товар!$A$1:$C$433,3,FALSE)</f>
        <v>Rich</v>
      </c>
      <c r="M112">
        <f t="shared" si="8"/>
        <v>272.25</v>
      </c>
      <c r="N112" s="30">
        <f>VLOOKUP(H112,клиенты!$A$1:$G$435,5,FALSE)</f>
        <v>44857</v>
      </c>
      <c r="O112">
        <f t="shared" si="9"/>
        <v>182</v>
      </c>
    </row>
    <row r="113" spans="1:15" x14ac:dyDescent="0.3">
      <c r="A113">
        <v>112</v>
      </c>
      <c r="B113">
        <v>250</v>
      </c>
      <c r="C113">
        <v>97</v>
      </c>
      <c r="D113">
        <v>5</v>
      </c>
      <c r="E113">
        <f t="shared" si="5"/>
        <v>485</v>
      </c>
      <c r="F113" s="30">
        <v>45214</v>
      </c>
      <c r="G113" t="s">
        <v>34</v>
      </c>
      <c r="H113">
        <v>298</v>
      </c>
      <c r="I113" t="str">
        <f>VLOOKUP(B113,товар!$A$1:$C$433,2,FALSE)</f>
        <v>Фрукты</v>
      </c>
      <c r="J113" s="23">
        <f t="shared" si="6"/>
        <v>274.16279069767444</v>
      </c>
      <c r="K113" s="24">
        <f t="shared" si="7"/>
        <v>-0.64619560607345838</v>
      </c>
      <c r="L113" t="str">
        <f>VLOOKUP(B113,товар!$A$1:$C$433,3,FALSE)</f>
        <v>Фрукты-Ягоды</v>
      </c>
      <c r="M113">
        <f t="shared" si="8"/>
        <v>280.66666666666669</v>
      </c>
      <c r="N113" s="30">
        <f>VLOOKUP(H113,клиенты!$A$1:$G$435,5,FALSE)</f>
        <v>44821</v>
      </c>
      <c r="O113">
        <f t="shared" si="9"/>
        <v>393</v>
      </c>
    </row>
    <row r="114" spans="1:15" x14ac:dyDescent="0.3">
      <c r="A114">
        <v>113</v>
      </c>
      <c r="B114">
        <v>195</v>
      </c>
      <c r="C114">
        <v>240</v>
      </c>
      <c r="D114">
        <v>2</v>
      </c>
      <c r="E114">
        <f t="shared" si="5"/>
        <v>480</v>
      </c>
      <c r="F114" s="30">
        <v>45277</v>
      </c>
      <c r="G114" t="s">
        <v>21</v>
      </c>
      <c r="H114">
        <v>273</v>
      </c>
      <c r="I114" t="str">
        <f>VLOOKUP(B114,товар!$A$1:$C$433,2,FALSE)</f>
        <v>Хлеб</v>
      </c>
      <c r="J114" s="23">
        <f t="shared" si="6"/>
        <v>300.31818181818181</v>
      </c>
      <c r="K114" s="24">
        <f t="shared" si="7"/>
        <v>-0.20084758589374907</v>
      </c>
      <c r="L114" t="str">
        <f>VLOOKUP(B114,товар!$A$1:$C$433,3,FALSE)</f>
        <v>Каравай</v>
      </c>
      <c r="M114">
        <f t="shared" si="8"/>
        <v>331.16666666666669</v>
      </c>
      <c r="N114" s="30">
        <f>VLOOKUP(H114,клиенты!$A$1:$G$435,5,FALSE)</f>
        <v>44599</v>
      </c>
      <c r="O114">
        <f t="shared" si="9"/>
        <v>678</v>
      </c>
    </row>
    <row r="115" spans="1:15" x14ac:dyDescent="0.3">
      <c r="A115">
        <v>114</v>
      </c>
      <c r="B115">
        <v>186</v>
      </c>
      <c r="C115">
        <v>244</v>
      </c>
      <c r="D115">
        <v>1</v>
      </c>
      <c r="E115">
        <f t="shared" si="5"/>
        <v>244</v>
      </c>
      <c r="F115" s="30">
        <v>45176</v>
      </c>
      <c r="G115" t="s">
        <v>24</v>
      </c>
      <c r="H115">
        <v>321</v>
      </c>
      <c r="I115" t="str">
        <f>VLOOKUP(B115,товар!$A$1:$C$433,2,FALSE)</f>
        <v>Сыр</v>
      </c>
      <c r="J115" s="23">
        <f t="shared" si="6"/>
        <v>262.63492063492066</v>
      </c>
      <c r="K115" s="24">
        <f t="shared" si="7"/>
        <v>-7.0953704822918073E-2</v>
      </c>
      <c r="L115" t="str">
        <f>VLOOKUP(B115,товар!$A$1:$C$433,3,FALSE)</f>
        <v>President</v>
      </c>
      <c r="M115">
        <f t="shared" si="8"/>
        <v>238.72222222222223</v>
      </c>
      <c r="N115" s="30">
        <f>VLOOKUP(H115,клиенты!$A$1:$G$435,5,FALSE)</f>
        <v>44756</v>
      </c>
      <c r="O115">
        <f t="shared" si="9"/>
        <v>420</v>
      </c>
    </row>
    <row r="116" spans="1:15" x14ac:dyDescent="0.3">
      <c r="A116">
        <v>115</v>
      </c>
      <c r="B116">
        <v>490</v>
      </c>
      <c r="C116">
        <v>219</v>
      </c>
      <c r="D116">
        <v>1</v>
      </c>
      <c r="E116">
        <f t="shared" si="5"/>
        <v>219</v>
      </c>
      <c r="F116" s="30">
        <v>44948</v>
      </c>
      <c r="G116" t="s">
        <v>27</v>
      </c>
      <c r="H116">
        <v>119</v>
      </c>
      <c r="I116" t="str">
        <f>VLOOKUP(B116,товар!$A$1:$C$433,2,FALSE)</f>
        <v>Сыр</v>
      </c>
      <c r="J116" s="23">
        <f t="shared" si="6"/>
        <v>262.63492063492066</v>
      </c>
      <c r="K116" s="24">
        <f t="shared" si="7"/>
        <v>-0.16614287441073383</v>
      </c>
      <c r="L116" t="str">
        <f>VLOOKUP(B116,товар!$A$1:$C$433,3,FALSE)</f>
        <v>Сырная долина</v>
      </c>
      <c r="M116">
        <f t="shared" si="8"/>
        <v>271</v>
      </c>
      <c r="N116" s="30">
        <f>VLOOKUP(H116,клиенты!$A$1:$G$435,5,FALSE)</f>
        <v>44690</v>
      </c>
      <c r="O116">
        <f t="shared" si="9"/>
        <v>258</v>
      </c>
    </row>
    <row r="117" spans="1:15" x14ac:dyDescent="0.3">
      <c r="A117">
        <v>116</v>
      </c>
      <c r="B117">
        <v>72</v>
      </c>
      <c r="C117">
        <v>162</v>
      </c>
      <c r="D117">
        <v>1</v>
      </c>
      <c r="E117">
        <f t="shared" si="5"/>
        <v>162</v>
      </c>
      <c r="F117" s="30">
        <v>44959</v>
      </c>
      <c r="G117" t="s">
        <v>24</v>
      </c>
      <c r="H117">
        <v>472</v>
      </c>
      <c r="I117" t="str">
        <f>VLOOKUP(B117,товар!$A$1:$C$433,2,FALSE)</f>
        <v>Конфеты</v>
      </c>
      <c r="J117" s="23">
        <f t="shared" si="6"/>
        <v>267.85483870967744</v>
      </c>
      <c r="K117" s="24">
        <f t="shared" si="7"/>
        <v>-0.39519479737460106</v>
      </c>
      <c r="L117" t="str">
        <f>VLOOKUP(B117,товар!$A$1:$C$433,3,FALSE)</f>
        <v>Бабаевский</v>
      </c>
      <c r="M117">
        <f t="shared" si="8"/>
        <v>250.25925925925927</v>
      </c>
      <c r="N117" s="30">
        <f>VLOOKUP(H117,клиенты!$A$1:$G$435,5,FALSE)</f>
        <v>44901</v>
      </c>
      <c r="O117">
        <f t="shared" si="9"/>
        <v>58</v>
      </c>
    </row>
    <row r="118" spans="1:15" x14ac:dyDescent="0.3">
      <c r="A118">
        <v>117</v>
      </c>
      <c r="B118">
        <v>430</v>
      </c>
      <c r="C118">
        <v>119</v>
      </c>
      <c r="D118">
        <v>3</v>
      </c>
      <c r="E118">
        <f t="shared" si="5"/>
        <v>357</v>
      </c>
      <c r="F118" s="30">
        <v>45241</v>
      </c>
      <c r="G118" t="s">
        <v>31</v>
      </c>
      <c r="H118">
        <v>396</v>
      </c>
      <c r="I118" t="str">
        <f>VLOOKUP(B118,товар!$A$1:$C$433,2,FALSE)</f>
        <v>Чай</v>
      </c>
      <c r="J118" s="23">
        <f t="shared" si="6"/>
        <v>271.18181818181819</v>
      </c>
      <c r="K118" s="24">
        <f t="shared" si="7"/>
        <v>-0.56118002011397916</v>
      </c>
      <c r="L118" t="str">
        <f>VLOOKUP(B118,товар!$A$1:$C$433,3,FALSE)</f>
        <v>Ахмад</v>
      </c>
      <c r="M118">
        <f t="shared" si="8"/>
        <v>243.3</v>
      </c>
      <c r="N118" s="30">
        <f>VLOOKUP(H118,клиенты!$A$1:$G$435,5,FALSE)</f>
        <v>44871</v>
      </c>
      <c r="O118">
        <f t="shared" si="9"/>
        <v>370</v>
      </c>
    </row>
    <row r="119" spans="1:15" x14ac:dyDescent="0.3">
      <c r="A119">
        <v>118</v>
      </c>
      <c r="B119">
        <v>223</v>
      </c>
      <c r="C119">
        <v>174</v>
      </c>
      <c r="D119">
        <v>2</v>
      </c>
      <c r="E119">
        <f t="shared" si="5"/>
        <v>348</v>
      </c>
      <c r="F119" s="30">
        <v>45338</v>
      </c>
      <c r="G119" t="s">
        <v>21</v>
      </c>
      <c r="H119">
        <v>269</v>
      </c>
      <c r="I119" t="str">
        <f>VLOOKUP(B119,товар!$A$1:$C$433,2,FALSE)</f>
        <v>Чай</v>
      </c>
      <c r="J119" s="23">
        <f t="shared" si="6"/>
        <v>271.18181818181819</v>
      </c>
      <c r="K119" s="24">
        <f t="shared" si="7"/>
        <v>-0.35836406302380153</v>
      </c>
      <c r="L119" t="str">
        <f>VLOOKUP(B119,товар!$A$1:$C$433,3,FALSE)</f>
        <v>Greenfield</v>
      </c>
      <c r="M119">
        <f t="shared" si="8"/>
        <v>291.45454545454544</v>
      </c>
      <c r="N119" s="30">
        <f>VLOOKUP(H119,клиенты!$A$1:$G$435,5,FALSE)</f>
        <v>44720</v>
      </c>
      <c r="O119">
        <f t="shared" si="9"/>
        <v>618</v>
      </c>
    </row>
    <row r="120" spans="1:15" x14ac:dyDescent="0.3">
      <c r="A120">
        <v>119</v>
      </c>
      <c r="B120">
        <v>164</v>
      </c>
      <c r="C120">
        <v>229</v>
      </c>
      <c r="D120">
        <v>3</v>
      </c>
      <c r="E120">
        <f t="shared" si="5"/>
        <v>687</v>
      </c>
      <c r="F120" s="30">
        <v>45343</v>
      </c>
      <c r="G120" t="s">
        <v>29</v>
      </c>
      <c r="H120">
        <v>16</v>
      </c>
      <c r="I120" t="str">
        <f>VLOOKUP(B120,товар!$A$1:$C$433,2,FALSE)</f>
        <v>Молоко</v>
      </c>
      <c r="J120" s="23">
        <f t="shared" si="6"/>
        <v>294.95238095238096</v>
      </c>
      <c r="K120" s="24">
        <f t="shared" si="7"/>
        <v>-0.22360348724572165</v>
      </c>
      <c r="L120" t="str">
        <f>VLOOKUP(B120,товар!$A$1:$C$433,3,FALSE)</f>
        <v>Беллакт</v>
      </c>
      <c r="M120">
        <f t="shared" si="8"/>
        <v>322.54545454545456</v>
      </c>
      <c r="N120" s="30">
        <f>VLOOKUP(H120,клиенты!$A$1:$G$435,5,FALSE)</f>
        <v>44713</v>
      </c>
      <c r="O120">
        <f t="shared" si="9"/>
        <v>630</v>
      </c>
    </row>
    <row r="121" spans="1:15" x14ac:dyDescent="0.3">
      <c r="A121">
        <v>120</v>
      </c>
      <c r="B121">
        <v>223</v>
      </c>
      <c r="C121">
        <v>411</v>
      </c>
      <c r="D121">
        <v>5</v>
      </c>
      <c r="E121">
        <f t="shared" si="5"/>
        <v>2055</v>
      </c>
      <c r="F121" s="30">
        <v>45244</v>
      </c>
      <c r="G121" t="s">
        <v>30</v>
      </c>
      <c r="H121">
        <v>281</v>
      </c>
      <c r="I121" t="str">
        <f>VLOOKUP(B121,товар!$A$1:$C$433,2,FALSE)</f>
        <v>Чай</v>
      </c>
      <c r="J121" s="23">
        <f t="shared" si="6"/>
        <v>271.18181818181819</v>
      </c>
      <c r="K121" s="24">
        <f t="shared" si="7"/>
        <v>0.51558833389205505</v>
      </c>
      <c r="L121" t="str">
        <f>VLOOKUP(B121,товар!$A$1:$C$433,3,FALSE)</f>
        <v>Greenfield</v>
      </c>
      <c r="M121">
        <f t="shared" si="8"/>
        <v>291.45454545454544</v>
      </c>
      <c r="N121" s="30">
        <f>VLOOKUP(H121,клиенты!$A$1:$G$435,5,FALSE)</f>
        <v>44711</v>
      </c>
      <c r="O121">
        <f t="shared" si="9"/>
        <v>533</v>
      </c>
    </row>
    <row r="122" spans="1:15" x14ac:dyDescent="0.3">
      <c r="A122">
        <v>121</v>
      </c>
      <c r="B122">
        <v>244</v>
      </c>
      <c r="C122">
        <v>245</v>
      </c>
      <c r="D122">
        <v>4</v>
      </c>
      <c r="E122">
        <f t="shared" si="5"/>
        <v>980</v>
      </c>
      <c r="F122" s="30">
        <v>44960</v>
      </c>
      <c r="G122" t="s">
        <v>32</v>
      </c>
      <c r="H122">
        <v>149</v>
      </c>
      <c r="I122" t="str">
        <f>VLOOKUP(B122,товар!$A$1:$C$433,2,FALSE)</f>
        <v>Мясо</v>
      </c>
      <c r="J122" s="23">
        <f t="shared" si="6"/>
        <v>271.74545454545455</v>
      </c>
      <c r="K122" s="24">
        <f t="shared" si="7"/>
        <v>-9.8420982202595986E-2</v>
      </c>
      <c r="L122" t="str">
        <f>VLOOKUP(B122,товар!$A$1:$C$433,3,FALSE)</f>
        <v>Сава</v>
      </c>
      <c r="M122">
        <f t="shared" si="8"/>
        <v>212.8125</v>
      </c>
      <c r="N122" s="30">
        <f>VLOOKUP(H122,клиенты!$A$1:$G$435,5,FALSE)</f>
        <v>44882</v>
      </c>
      <c r="O122">
        <f t="shared" si="9"/>
        <v>78</v>
      </c>
    </row>
    <row r="123" spans="1:15" x14ac:dyDescent="0.3">
      <c r="A123">
        <v>122</v>
      </c>
      <c r="B123">
        <v>393</v>
      </c>
      <c r="C123">
        <v>113</v>
      </c>
      <c r="D123">
        <v>5</v>
      </c>
      <c r="E123">
        <f t="shared" si="5"/>
        <v>565</v>
      </c>
      <c r="F123" s="30">
        <v>45433</v>
      </c>
      <c r="G123" t="s">
        <v>26</v>
      </c>
      <c r="H123">
        <v>71</v>
      </c>
      <c r="I123" t="str">
        <f>VLOOKUP(B123,товар!$A$1:$C$433,2,FALSE)</f>
        <v>Рыба</v>
      </c>
      <c r="J123" s="23">
        <f t="shared" si="6"/>
        <v>258.5128205128205</v>
      </c>
      <c r="K123" s="24">
        <f t="shared" si="7"/>
        <v>-0.56288434834358259</v>
      </c>
      <c r="L123" t="str">
        <f>VLOOKUP(B123,товар!$A$1:$C$433,3,FALSE)</f>
        <v>Русское море</v>
      </c>
      <c r="M123">
        <f t="shared" si="8"/>
        <v>292.66666666666669</v>
      </c>
      <c r="N123" s="30">
        <f>VLOOKUP(H123,клиенты!$A$1:$G$435,5,FALSE)</f>
        <v>44762</v>
      </c>
      <c r="O123">
        <f t="shared" si="9"/>
        <v>671</v>
      </c>
    </row>
    <row r="124" spans="1:15" x14ac:dyDescent="0.3">
      <c r="A124">
        <v>123</v>
      </c>
      <c r="B124">
        <v>166</v>
      </c>
      <c r="C124">
        <v>73</v>
      </c>
      <c r="D124">
        <v>4</v>
      </c>
      <c r="E124">
        <f t="shared" si="5"/>
        <v>292</v>
      </c>
      <c r="F124" s="30">
        <v>45316</v>
      </c>
      <c r="G124" t="s">
        <v>31</v>
      </c>
      <c r="H124">
        <v>126</v>
      </c>
      <c r="I124" t="str">
        <f>VLOOKUP(B124,товар!$A$1:$C$433,2,FALSE)</f>
        <v>Сок</v>
      </c>
      <c r="J124" s="23">
        <f t="shared" si="6"/>
        <v>268.60344827586209</v>
      </c>
      <c r="K124" s="24">
        <f t="shared" si="7"/>
        <v>-0.72822389113550301</v>
      </c>
      <c r="L124" t="str">
        <f>VLOOKUP(B124,товар!$A$1:$C$433,3,FALSE)</f>
        <v>Добрый</v>
      </c>
      <c r="M124">
        <f t="shared" si="8"/>
        <v>242.81818181818181</v>
      </c>
      <c r="N124" s="30">
        <f>VLOOKUP(H124,клиенты!$A$1:$G$435,5,FALSE)</f>
        <v>44822</v>
      </c>
      <c r="O124">
        <f t="shared" si="9"/>
        <v>494</v>
      </c>
    </row>
    <row r="125" spans="1:15" x14ac:dyDescent="0.3">
      <c r="A125">
        <v>124</v>
      </c>
      <c r="B125">
        <v>249</v>
      </c>
      <c r="C125">
        <v>368</v>
      </c>
      <c r="D125">
        <v>2</v>
      </c>
      <c r="E125">
        <f t="shared" si="5"/>
        <v>736</v>
      </c>
      <c r="F125" s="30">
        <v>45313</v>
      </c>
      <c r="G125" t="s">
        <v>29</v>
      </c>
      <c r="H125">
        <v>380</v>
      </c>
      <c r="I125" t="str">
        <f>VLOOKUP(B125,товар!$A$1:$C$433,2,FALSE)</f>
        <v>Чай</v>
      </c>
      <c r="J125" s="23">
        <f t="shared" si="6"/>
        <v>271.18181818181819</v>
      </c>
      <c r="K125" s="24">
        <f t="shared" si="7"/>
        <v>0.35702313107609784</v>
      </c>
      <c r="L125" t="str">
        <f>VLOOKUP(B125,товар!$A$1:$C$433,3,FALSE)</f>
        <v>Lipton</v>
      </c>
      <c r="M125">
        <f t="shared" si="8"/>
        <v>260.15789473684208</v>
      </c>
      <c r="N125" s="30">
        <f>VLOOKUP(H125,клиенты!$A$1:$G$435,5,FALSE)</f>
        <v>44563</v>
      </c>
      <c r="O125">
        <f t="shared" si="9"/>
        <v>750</v>
      </c>
    </row>
    <row r="126" spans="1:15" x14ac:dyDescent="0.3">
      <c r="A126">
        <v>125</v>
      </c>
      <c r="B126">
        <v>83</v>
      </c>
      <c r="C126">
        <v>351</v>
      </c>
      <c r="D126">
        <v>1</v>
      </c>
      <c r="E126">
        <f t="shared" si="5"/>
        <v>351</v>
      </c>
      <c r="F126" s="30">
        <v>45361</v>
      </c>
      <c r="G126" t="s">
        <v>22</v>
      </c>
      <c r="H126">
        <v>11</v>
      </c>
      <c r="I126" t="str">
        <f>VLOOKUP(B126,товар!$A$1:$C$433,2,FALSE)</f>
        <v>Сок</v>
      </c>
      <c r="J126" s="23">
        <f t="shared" si="6"/>
        <v>268.60344827586209</v>
      </c>
      <c r="K126" s="24">
        <f t="shared" si="7"/>
        <v>0.30675909878682828</v>
      </c>
      <c r="L126" t="str">
        <f>VLOOKUP(B126,товар!$A$1:$C$433,3,FALSE)</f>
        <v>Сады Придонья</v>
      </c>
      <c r="M126">
        <f t="shared" si="8"/>
        <v>254.18181818181819</v>
      </c>
      <c r="N126" s="30">
        <f>VLOOKUP(H126,клиенты!$A$1:$G$435,5,FALSE)</f>
        <v>44690</v>
      </c>
      <c r="O126">
        <f t="shared" si="9"/>
        <v>671</v>
      </c>
    </row>
    <row r="127" spans="1:15" x14ac:dyDescent="0.3">
      <c r="A127">
        <v>126</v>
      </c>
      <c r="B127">
        <v>242</v>
      </c>
      <c r="C127">
        <v>221</v>
      </c>
      <c r="D127">
        <v>5</v>
      </c>
      <c r="E127">
        <f t="shared" si="5"/>
        <v>1105</v>
      </c>
      <c r="F127" s="30">
        <v>45025</v>
      </c>
      <c r="G127" t="s">
        <v>27</v>
      </c>
      <c r="H127">
        <v>114</v>
      </c>
      <c r="I127" t="str">
        <f>VLOOKUP(B127,товар!$A$1:$C$433,2,FALSE)</f>
        <v>Овощи</v>
      </c>
      <c r="J127" s="23">
        <f t="shared" si="6"/>
        <v>250.48780487804879</v>
      </c>
      <c r="K127" s="24">
        <f t="shared" si="7"/>
        <v>-0.11772151898734184</v>
      </c>
      <c r="L127" t="str">
        <f>VLOOKUP(B127,товар!$A$1:$C$433,3,FALSE)</f>
        <v>Овощной ряд</v>
      </c>
      <c r="M127">
        <f t="shared" si="8"/>
        <v>303.8235294117647</v>
      </c>
      <c r="N127" s="30">
        <f>VLOOKUP(H127,клиенты!$A$1:$G$435,5,FALSE)</f>
        <v>44889</v>
      </c>
      <c r="O127">
        <f t="shared" si="9"/>
        <v>136</v>
      </c>
    </row>
    <row r="128" spans="1:15" x14ac:dyDescent="0.3">
      <c r="A128">
        <v>127</v>
      </c>
      <c r="B128">
        <v>281</v>
      </c>
      <c r="C128">
        <v>442</v>
      </c>
      <c r="D128">
        <v>5</v>
      </c>
      <c r="E128">
        <f t="shared" si="5"/>
        <v>2210</v>
      </c>
      <c r="F128" s="30">
        <v>45379</v>
      </c>
      <c r="G128" t="s">
        <v>17</v>
      </c>
      <c r="H128">
        <v>381</v>
      </c>
      <c r="I128" t="str">
        <f>VLOOKUP(B128,товар!$A$1:$C$433,2,FALSE)</f>
        <v>Чай</v>
      </c>
      <c r="J128" s="23">
        <f t="shared" si="6"/>
        <v>271.18181818181819</v>
      </c>
      <c r="K128" s="24">
        <f t="shared" si="7"/>
        <v>0.6299027824337915</v>
      </c>
      <c r="L128" t="str">
        <f>VLOOKUP(B128,товар!$A$1:$C$433,3,FALSE)</f>
        <v>Lipton</v>
      </c>
      <c r="M128">
        <f t="shared" si="8"/>
        <v>260.15789473684208</v>
      </c>
      <c r="N128" s="30">
        <f>VLOOKUP(H128,клиенты!$A$1:$G$435,5,FALSE)</f>
        <v>44714</v>
      </c>
      <c r="O128">
        <f t="shared" si="9"/>
        <v>665</v>
      </c>
    </row>
    <row r="129" spans="1:15" x14ac:dyDescent="0.3">
      <c r="A129">
        <v>128</v>
      </c>
      <c r="B129">
        <v>236</v>
      </c>
      <c r="C129">
        <v>465</v>
      </c>
      <c r="D129">
        <v>1</v>
      </c>
      <c r="E129">
        <f t="shared" si="5"/>
        <v>465</v>
      </c>
      <c r="F129" s="30">
        <v>45176</v>
      </c>
      <c r="G129" t="s">
        <v>33</v>
      </c>
      <c r="H129">
        <v>342</v>
      </c>
      <c r="I129" t="str">
        <f>VLOOKUP(B129,товар!$A$1:$C$433,2,FALSE)</f>
        <v>Печенье</v>
      </c>
      <c r="J129" s="23">
        <f t="shared" si="6"/>
        <v>283.468085106383</v>
      </c>
      <c r="K129" s="24">
        <f t="shared" si="7"/>
        <v>0.64039630713803186</v>
      </c>
      <c r="L129" t="str">
        <f>VLOOKUP(B129,товар!$A$1:$C$433,3,FALSE)</f>
        <v>Посиделкино</v>
      </c>
      <c r="M129">
        <f t="shared" si="8"/>
        <v>321.63636363636363</v>
      </c>
      <c r="N129" s="30">
        <f>VLOOKUP(H129,клиенты!$A$1:$G$435,5,FALSE)</f>
        <v>44570</v>
      </c>
      <c r="O129">
        <f t="shared" si="9"/>
        <v>606</v>
      </c>
    </row>
    <row r="130" spans="1:15" x14ac:dyDescent="0.3">
      <c r="A130">
        <v>129</v>
      </c>
      <c r="B130">
        <v>379</v>
      </c>
      <c r="C130">
        <v>380</v>
      </c>
      <c r="D130">
        <v>1</v>
      </c>
      <c r="E130">
        <f t="shared" ref="E130:E193" si="10">C130*D130</f>
        <v>380</v>
      </c>
      <c r="F130" s="30">
        <v>45260</v>
      </c>
      <c r="G130" t="s">
        <v>33</v>
      </c>
      <c r="H130">
        <v>276</v>
      </c>
      <c r="I130" t="str">
        <f>VLOOKUP(B130,товар!$A$1:$C$433,2,FALSE)</f>
        <v>Йогурт</v>
      </c>
      <c r="J130" s="23">
        <f t="shared" ref="J130:J193" si="11">AVERAGEIF($I$2:$I$1001,I130,$C$2:$C$1001)</f>
        <v>263.25423728813558</v>
      </c>
      <c r="K130" s="24">
        <f t="shared" ref="K130:K193" si="12">C130/J130-1</f>
        <v>0.44347154262168442</v>
      </c>
      <c r="L130" t="str">
        <f>VLOOKUP(B130,товар!$A$1:$C$433,3,FALSE)</f>
        <v>Активиа</v>
      </c>
      <c r="M130">
        <f t="shared" ref="M130:M193" si="13">AVERAGEIFS($C$2:$C$1001,$I$2:$I$1001,I130,$L$2:$L$1001,L130)</f>
        <v>293.66666666666669</v>
      </c>
      <c r="N130" s="30">
        <f>VLOOKUP(H130,клиенты!$A$1:$G$435,5,FALSE)</f>
        <v>44632</v>
      </c>
      <c r="O130">
        <f t="shared" ref="O130:O193" si="14">F130-N130</f>
        <v>628</v>
      </c>
    </row>
    <row r="131" spans="1:15" x14ac:dyDescent="0.3">
      <c r="A131">
        <v>130</v>
      </c>
      <c r="B131">
        <v>37</v>
      </c>
      <c r="C131">
        <v>313</v>
      </c>
      <c r="D131">
        <v>1</v>
      </c>
      <c r="E131">
        <f t="shared" si="10"/>
        <v>313</v>
      </c>
      <c r="F131" s="30">
        <v>45009</v>
      </c>
      <c r="G131" t="s">
        <v>23</v>
      </c>
      <c r="H131">
        <v>293</v>
      </c>
      <c r="I131" t="str">
        <f>VLOOKUP(B131,товар!$A$1:$C$433,2,FALSE)</f>
        <v>Соль</v>
      </c>
      <c r="J131" s="23">
        <f t="shared" si="11"/>
        <v>264.8679245283019</v>
      </c>
      <c r="K131" s="24">
        <f t="shared" si="12"/>
        <v>0.18172104288360158</v>
      </c>
      <c r="L131" t="str">
        <f>VLOOKUP(B131,товар!$A$1:$C$433,3,FALSE)</f>
        <v>Илецкая</v>
      </c>
      <c r="M131">
        <f t="shared" si="13"/>
        <v>238.16666666666666</v>
      </c>
      <c r="N131" s="30">
        <f>VLOOKUP(H131,клиенты!$A$1:$G$435,5,FALSE)</f>
        <v>44573</v>
      </c>
      <c r="O131">
        <f t="shared" si="14"/>
        <v>436</v>
      </c>
    </row>
    <row r="132" spans="1:15" x14ac:dyDescent="0.3">
      <c r="A132">
        <v>131</v>
      </c>
      <c r="B132">
        <v>431</v>
      </c>
      <c r="C132">
        <v>141</v>
      </c>
      <c r="D132">
        <v>5</v>
      </c>
      <c r="E132">
        <f t="shared" si="10"/>
        <v>705</v>
      </c>
      <c r="F132" s="30">
        <v>45029</v>
      </c>
      <c r="G132" t="s">
        <v>25</v>
      </c>
      <c r="H132">
        <v>386</v>
      </c>
      <c r="I132" t="str">
        <f>VLOOKUP(B132,товар!$A$1:$C$433,2,FALSE)</f>
        <v>Овощи</v>
      </c>
      <c r="J132" s="23">
        <f t="shared" si="11"/>
        <v>250.48780487804879</v>
      </c>
      <c r="K132" s="24">
        <f t="shared" si="12"/>
        <v>-0.43709834469328146</v>
      </c>
      <c r="L132" t="str">
        <f>VLOOKUP(B132,товар!$A$1:$C$433,3,FALSE)</f>
        <v>Гавриш</v>
      </c>
      <c r="M132">
        <f t="shared" si="13"/>
        <v>247.66666666666666</v>
      </c>
      <c r="N132" s="30">
        <f>VLOOKUP(H132,клиенты!$A$1:$G$435,5,FALSE)</f>
        <v>44734</v>
      </c>
      <c r="O132">
        <f t="shared" si="14"/>
        <v>295</v>
      </c>
    </row>
    <row r="133" spans="1:15" x14ac:dyDescent="0.3">
      <c r="A133">
        <v>132</v>
      </c>
      <c r="B133">
        <v>237</v>
      </c>
      <c r="C133">
        <v>348</v>
      </c>
      <c r="D133">
        <v>2</v>
      </c>
      <c r="E133">
        <f t="shared" si="10"/>
        <v>696</v>
      </c>
      <c r="F133" s="30">
        <v>45384</v>
      </c>
      <c r="G133" t="s">
        <v>16</v>
      </c>
      <c r="H133">
        <v>362</v>
      </c>
      <c r="I133" t="str">
        <f>VLOOKUP(B133,товар!$A$1:$C$433,2,FALSE)</f>
        <v>Конфеты</v>
      </c>
      <c r="J133" s="23">
        <f t="shared" si="11"/>
        <v>267.85483870967744</v>
      </c>
      <c r="K133" s="24">
        <f t="shared" si="12"/>
        <v>0.29921117601011615</v>
      </c>
      <c r="L133" t="str">
        <f>VLOOKUP(B133,товар!$A$1:$C$433,3,FALSE)</f>
        <v>Рот Фронт</v>
      </c>
      <c r="M133">
        <f t="shared" si="13"/>
        <v>288.23809523809524</v>
      </c>
      <c r="N133" s="30">
        <f>VLOOKUP(H133,клиенты!$A$1:$G$435,5,FALSE)</f>
        <v>44916</v>
      </c>
      <c r="O133">
        <f t="shared" si="14"/>
        <v>468</v>
      </c>
    </row>
    <row r="134" spans="1:15" x14ac:dyDescent="0.3">
      <c r="A134">
        <v>133</v>
      </c>
      <c r="B134">
        <v>452</v>
      </c>
      <c r="C134">
        <v>349</v>
      </c>
      <c r="D134">
        <v>1</v>
      </c>
      <c r="E134">
        <f t="shared" si="10"/>
        <v>349</v>
      </c>
      <c r="F134" s="30">
        <v>45000</v>
      </c>
      <c r="G134" t="s">
        <v>18</v>
      </c>
      <c r="H134">
        <v>283</v>
      </c>
      <c r="I134" t="str">
        <f>VLOOKUP(B134,товар!$A$1:$C$433,2,FALSE)</f>
        <v>Фрукты</v>
      </c>
      <c r="J134" s="23">
        <f t="shared" si="11"/>
        <v>274.16279069767444</v>
      </c>
      <c r="K134" s="24">
        <f t="shared" si="12"/>
        <v>0.27296632453982528</v>
      </c>
      <c r="L134" t="str">
        <f>VLOOKUP(B134,товар!$A$1:$C$433,3,FALSE)</f>
        <v>Экзотик</v>
      </c>
      <c r="M134">
        <f t="shared" si="13"/>
        <v>253.6875</v>
      </c>
      <c r="N134" s="30">
        <f>VLOOKUP(H134,клиенты!$A$1:$G$435,5,FALSE)</f>
        <v>44889</v>
      </c>
      <c r="O134">
        <f t="shared" si="14"/>
        <v>111</v>
      </c>
    </row>
    <row r="135" spans="1:15" x14ac:dyDescent="0.3">
      <c r="A135">
        <v>134</v>
      </c>
      <c r="B135">
        <v>382</v>
      </c>
      <c r="C135">
        <v>379</v>
      </c>
      <c r="D135">
        <v>5</v>
      </c>
      <c r="E135">
        <f t="shared" si="10"/>
        <v>1895</v>
      </c>
      <c r="F135" s="30">
        <v>45314</v>
      </c>
      <c r="G135" t="s">
        <v>23</v>
      </c>
      <c r="H135">
        <v>388</v>
      </c>
      <c r="I135" t="str">
        <f>VLOOKUP(B135,товар!$A$1:$C$433,2,FALSE)</f>
        <v>Овощи</v>
      </c>
      <c r="J135" s="23">
        <f t="shared" si="11"/>
        <v>250.48780487804879</v>
      </c>
      <c r="K135" s="24">
        <f t="shared" si="12"/>
        <v>0.51304771178188902</v>
      </c>
      <c r="L135" t="str">
        <f>VLOOKUP(B135,товар!$A$1:$C$433,3,FALSE)</f>
        <v>Овощной ряд</v>
      </c>
      <c r="M135">
        <f t="shared" si="13"/>
        <v>303.8235294117647</v>
      </c>
      <c r="N135" s="30">
        <f>VLOOKUP(H135,клиенты!$A$1:$G$435,5,FALSE)</f>
        <v>44581</v>
      </c>
      <c r="O135">
        <f t="shared" si="14"/>
        <v>733</v>
      </c>
    </row>
    <row r="136" spans="1:15" x14ac:dyDescent="0.3">
      <c r="A136">
        <v>135</v>
      </c>
      <c r="B136">
        <v>452</v>
      </c>
      <c r="C136">
        <v>448</v>
      </c>
      <c r="D136">
        <v>4</v>
      </c>
      <c r="E136">
        <f t="shared" si="10"/>
        <v>1792</v>
      </c>
      <c r="F136" s="30">
        <v>45434</v>
      </c>
      <c r="G136" t="s">
        <v>33</v>
      </c>
      <c r="H136">
        <v>437</v>
      </c>
      <c r="I136" t="str">
        <f>VLOOKUP(B136,товар!$A$1:$C$433,2,FALSE)</f>
        <v>Фрукты</v>
      </c>
      <c r="J136" s="23">
        <f t="shared" si="11"/>
        <v>274.16279069767444</v>
      </c>
      <c r="K136" s="24">
        <f t="shared" si="12"/>
        <v>0.63406565442361518</v>
      </c>
      <c r="L136" t="str">
        <f>VLOOKUP(B136,товар!$A$1:$C$433,3,FALSE)</f>
        <v>Экзотик</v>
      </c>
      <c r="M136">
        <f t="shared" si="13"/>
        <v>253.6875</v>
      </c>
      <c r="N136" s="30">
        <f>VLOOKUP(H136,клиенты!$A$1:$G$435,5,FALSE)</f>
        <v>44576</v>
      </c>
      <c r="O136">
        <f t="shared" si="14"/>
        <v>858</v>
      </c>
    </row>
    <row r="137" spans="1:15" x14ac:dyDescent="0.3">
      <c r="A137">
        <v>136</v>
      </c>
      <c r="B137">
        <v>463</v>
      </c>
      <c r="C137">
        <v>173</v>
      </c>
      <c r="D137">
        <v>2</v>
      </c>
      <c r="E137">
        <f t="shared" si="10"/>
        <v>346</v>
      </c>
      <c r="F137" s="30">
        <v>45038</v>
      </c>
      <c r="G137" t="s">
        <v>29</v>
      </c>
      <c r="H137">
        <v>450</v>
      </c>
      <c r="I137" t="str">
        <f>VLOOKUP(B137,товар!$A$1:$C$433,2,FALSE)</f>
        <v>Кофе</v>
      </c>
      <c r="J137" s="23">
        <f t="shared" si="11"/>
        <v>249.02380952380952</v>
      </c>
      <c r="K137" s="24">
        <f t="shared" si="12"/>
        <v>-0.30528731236255857</v>
      </c>
      <c r="L137" t="str">
        <f>VLOOKUP(B137,товар!$A$1:$C$433,3,FALSE)</f>
        <v>Черная Карта</v>
      </c>
      <c r="M137">
        <f t="shared" si="13"/>
        <v>222.2</v>
      </c>
      <c r="N137" s="30">
        <f>VLOOKUP(H137,клиенты!$A$1:$G$435,5,FALSE)</f>
        <v>44619</v>
      </c>
      <c r="O137">
        <f t="shared" si="14"/>
        <v>419</v>
      </c>
    </row>
    <row r="138" spans="1:15" x14ac:dyDescent="0.3">
      <c r="A138">
        <v>137</v>
      </c>
      <c r="B138">
        <v>494</v>
      </c>
      <c r="C138">
        <v>304</v>
      </c>
      <c r="D138">
        <v>3</v>
      </c>
      <c r="E138">
        <f t="shared" si="10"/>
        <v>912</v>
      </c>
      <c r="F138" s="30">
        <v>45070</v>
      </c>
      <c r="G138" t="s">
        <v>21</v>
      </c>
      <c r="H138">
        <v>136</v>
      </c>
      <c r="I138" t="str">
        <f>VLOOKUP(B138,товар!$A$1:$C$433,2,FALSE)</f>
        <v>Сыр</v>
      </c>
      <c r="J138" s="23">
        <f t="shared" si="11"/>
        <v>262.63492063492066</v>
      </c>
      <c r="K138" s="24">
        <f t="shared" si="12"/>
        <v>0.15750030218783984</v>
      </c>
      <c r="L138" t="str">
        <f>VLOOKUP(B138,товар!$A$1:$C$433,3,FALSE)</f>
        <v>Сырная долина</v>
      </c>
      <c r="M138">
        <f t="shared" si="13"/>
        <v>271</v>
      </c>
      <c r="N138" s="30">
        <f>VLOOKUP(H138,клиенты!$A$1:$G$435,5,FALSE)</f>
        <v>44860</v>
      </c>
      <c r="O138">
        <f t="shared" si="14"/>
        <v>210</v>
      </c>
    </row>
    <row r="139" spans="1:15" x14ac:dyDescent="0.3">
      <c r="A139">
        <v>138</v>
      </c>
      <c r="B139">
        <v>394</v>
      </c>
      <c r="C139">
        <v>493</v>
      </c>
      <c r="D139">
        <v>3</v>
      </c>
      <c r="E139">
        <f t="shared" si="10"/>
        <v>1479</v>
      </c>
      <c r="F139" s="30">
        <v>45032</v>
      </c>
      <c r="G139" t="s">
        <v>19</v>
      </c>
      <c r="H139">
        <v>61</v>
      </c>
      <c r="I139" t="str">
        <f>VLOOKUP(B139,товар!$A$1:$C$433,2,FALSE)</f>
        <v>Кофе</v>
      </c>
      <c r="J139" s="23">
        <f t="shared" si="11"/>
        <v>249.02380952380952</v>
      </c>
      <c r="K139" s="24">
        <f t="shared" si="12"/>
        <v>0.97973037575294009</v>
      </c>
      <c r="L139" t="str">
        <f>VLOOKUP(B139,товар!$A$1:$C$433,3,FALSE)</f>
        <v>Черная Карта</v>
      </c>
      <c r="M139">
        <f t="shared" si="13"/>
        <v>222.2</v>
      </c>
      <c r="N139" s="30">
        <f>VLOOKUP(H139,клиенты!$A$1:$G$435,5,FALSE)</f>
        <v>44769</v>
      </c>
      <c r="O139">
        <f t="shared" si="14"/>
        <v>263</v>
      </c>
    </row>
    <row r="140" spans="1:15" x14ac:dyDescent="0.3">
      <c r="A140">
        <v>139</v>
      </c>
      <c r="B140">
        <v>380</v>
      </c>
      <c r="C140">
        <v>344</v>
      </c>
      <c r="D140">
        <v>5</v>
      </c>
      <c r="E140">
        <f t="shared" si="10"/>
        <v>1720</v>
      </c>
      <c r="F140" s="30">
        <v>45189</v>
      </c>
      <c r="G140" t="s">
        <v>19</v>
      </c>
      <c r="H140">
        <v>364</v>
      </c>
      <c r="I140" t="str">
        <f>VLOOKUP(B140,товар!$A$1:$C$433,2,FALSE)</f>
        <v>Конфеты</v>
      </c>
      <c r="J140" s="23">
        <f t="shared" si="11"/>
        <v>267.85483870967744</v>
      </c>
      <c r="K140" s="24">
        <f t="shared" si="12"/>
        <v>0.2842777142168964</v>
      </c>
      <c r="L140" t="str">
        <f>VLOOKUP(B140,товар!$A$1:$C$433,3,FALSE)</f>
        <v>Бабаевский</v>
      </c>
      <c r="M140">
        <f t="shared" si="13"/>
        <v>250.25925925925927</v>
      </c>
      <c r="N140" s="30">
        <f>VLOOKUP(H140,клиенты!$A$1:$G$435,5,FALSE)</f>
        <v>44883</v>
      </c>
      <c r="O140">
        <f t="shared" si="14"/>
        <v>306</v>
      </c>
    </row>
    <row r="141" spans="1:15" x14ac:dyDescent="0.3">
      <c r="A141">
        <v>140</v>
      </c>
      <c r="B141">
        <v>449</v>
      </c>
      <c r="C141">
        <v>470</v>
      </c>
      <c r="D141">
        <v>4</v>
      </c>
      <c r="E141">
        <f t="shared" si="10"/>
        <v>1880</v>
      </c>
      <c r="F141" s="30">
        <v>45110</v>
      </c>
      <c r="G141" t="s">
        <v>25</v>
      </c>
      <c r="H141">
        <v>496</v>
      </c>
      <c r="I141" t="str">
        <f>VLOOKUP(B141,товар!$A$1:$C$433,2,FALSE)</f>
        <v>Мясо</v>
      </c>
      <c r="J141" s="23">
        <f t="shared" si="11"/>
        <v>271.74545454545455</v>
      </c>
      <c r="K141" s="24">
        <f t="shared" si="12"/>
        <v>0.72955974842767302</v>
      </c>
      <c r="L141" t="str">
        <f>VLOOKUP(B141,товар!$A$1:$C$433,3,FALSE)</f>
        <v>Агрокомплекс</v>
      </c>
      <c r="M141">
        <f t="shared" si="13"/>
        <v>311.2</v>
      </c>
      <c r="N141" s="30">
        <f>VLOOKUP(H141,клиенты!$A$1:$G$435,5,FALSE)</f>
        <v>44867</v>
      </c>
      <c r="O141">
        <f t="shared" si="14"/>
        <v>243</v>
      </c>
    </row>
    <row r="142" spans="1:15" x14ac:dyDescent="0.3">
      <c r="A142">
        <v>141</v>
      </c>
      <c r="B142">
        <v>309</v>
      </c>
      <c r="C142">
        <v>498</v>
      </c>
      <c r="D142">
        <v>1</v>
      </c>
      <c r="E142">
        <f t="shared" si="10"/>
        <v>498</v>
      </c>
      <c r="F142" s="30">
        <v>45372</v>
      </c>
      <c r="G142" t="s">
        <v>25</v>
      </c>
      <c r="H142">
        <v>464</v>
      </c>
      <c r="I142" t="str">
        <f>VLOOKUP(B142,товар!$A$1:$C$433,2,FALSE)</f>
        <v>Конфеты</v>
      </c>
      <c r="J142" s="23">
        <f t="shared" si="11"/>
        <v>267.85483870967744</v>
      </c>
      <c r="K142" s="24">
        <f t="shared" si="12"/>
        <v>0.85921599325585585</v>
      </c>
      <c r="L142" t="str">
        <f>VLOOKUP(B142,товар!$A$1:$C$433,3,FALSE)</f>
        <v>Рот Фронт</v>
      </c>
      <c r="M142">
        <f t="shared" si="13"/>
        <v>288.23809523809524</v>
      </c>
      <c r="N142" s="30">
        <f>VLOOKUP(H142,клиенты!$A$1:$G$435,5,FALSE)</f>
        <v>44827</v>
      </c>
      <c r="O142">
        <f t="shared" si="14"/>
        <v>545</v>
      </c>
    </row>
    <row r="143" spans="1:15" x14ac:dyDescent="0.3">
      <c r="A143">
        <v>142</v>
      </c>
      <c r="B143">
        <v>112</v>
      </c>
      <c r="C143">
        <v>351</v>
      </c>
      <c r="D143">
        <v>3</v>
      </c>
      <c r="E143">
        <f t="shared" si="10"/>
        <v>1053</v>
      </c>
      <c r="F143" s="30">
        <v>45368</v>
      </c>
      <c r="G143" t="s">
        <v>25</v>
      </c>
      <c r="H143">
        <v>419</v>
      </c>
      <c r="I143" t="str">
        <f>VLOOKUP(B143,товар!$A$1:$C$433,2,FALSE)</f>
        <v>Молоко</v>
      </c>
      <c r="J143" s="23">
        <f t="shared" si="11"/>
        <v>294.95238095238096</v>
      </c>
      <c r="K143" s="24">
        <f t="shared" si="12"/>
        <v>0.19002260251856629</v>
      </c>
      <c r="L143" t="str">
        <f>VLOOKUP(B143,товар!$A$1:$C$433,3,FALSE)</f>
        <v>Беллакт</v>
      </c>
      <c r="M143">
        <f t="shared" si="13"/>
        <v>322.54545454545456</v>
      </c>
      <c r="N143" s="30">
        <f>VLOOKUP(H143,клиенты!$A$1:$G$435,5,FALSE)</f>
        <v>44869</v>
      </c>
      <c r="O143">
        <f t="shared" si="14"/>
        <v>499</v>
      </c>
    </row>
    <row r="144" spans="1:15" x14ac:dyDescent="0.3">
      <c r="A144">
        <v>143</v>
      </c>
      <c r="B144">
        <v>81</v>
      </c>
      <c r="C144">
        <v>116</v>
      </c>
      <c r="D144">
        <v>1</v>
      </c>
      <c r="E144">
        <f t="shared" si="10"/>
        <v>116</v>
      </c>
      <c r="F144" s="30">
        <v>45356</v>
      </c>
      <c r="G144" t="s">
        <v>34</v>
      </c>
      <c r="H144">
        <v>247</v>
      </c>
      <c r="I144" t="str">
        <f>VLOOKUP(B144,товар!$A$1:$C$433,2,FALSE)</f>
        <v>Чай</v>
      </c>
      <c r="J144" s="23">
        <f t="shared" si="11"/>
        <v>271.18181818181819</v>
      </c>
      <c r="K144" s="24">
        <f t="shared" si="12"/>
        <v>-0.57224270868253435</v>
      </c>
      <c r="L144" t="str">
        <f>VLOOKUP(B144,товар!$A$1:$C$433,3,FALSE)</f>
        <v>Тесс</v>
      </c>
      <c r="M144">
        <f t="shared" si="13"/>
        <v>281.75</v>
      </c>
      <c r="N144" s="30">
        <f>VLOOKUP(H144,клиенты!$A$1:$G$435,5,FALSE)</f>
        <v>44762</v>
      </c>
      <c r="O144">
        <f t="shared" si="14"/>
        <v>594</v>
      </c>
    </row>
    <row r="145" spans="1:15" x14ac:dyDescent="0.3">
      <c r="A145">
        <v>144</v>
      </c>
      <c r="B145">
        <v>4</v>
      </c>
      <c r="C145">
        <v>314</v>
      </c>
      <c r="D145">
        <v>4</v>
      </c>
      <c r="E145">
        <f t="shared" si="10"/>
        <v>1256</v>
      </c>
      <c r="F145" s="30">
        <v>45336</v>
      </c>
      <c r="G145" t="s">
        <v>21</v>
      </c>
      <c r="H145">
        <v>380</v>
      </c>
      <c r="I145" t="str">
        <f>VLOOKUP(B145,товар!$A$1:$C$433,2,FALSE)</f>
        <v>Рис</v>
      </c>
      <c r="J145" s="23">
        <f t="shared" si="11"/>
        <v>258.375</v>
      </c>
      <c r="K145" s="24">
        <f t="shared" si="12"/>
        <v>0.21528785679729068</v>
      </c>
      <c r="L145" t="str">
        <f>VLOOKUP(B145,товар!$A$1:$C$433,3,FALSE)</f>
        <v>Белый Злат</v>
      </c>
      <c r="M145">
        <f t="shared" si="13"/>
        <v>269.70588235294116</v>
      </c>
      <c r="N145" s="30">
        <f>VLOOKUP(H145,клиенты!$A$1:$G$435,5,FALSE)</f>
        <v>44563</v>
      </c>
      <c r="O145">
        <f t="shared" si="14"/>
        <v>773</v>
      </c>
    </row>
    <row r="146" spans="1:15" x14ac:dyDescent="0.3">
      <c r="A146">
        <v>145</v>
      </c>
      <c r="B146">
        <v>209</v>
      </c>
      <c r="C146">
        <v>284</v>
      </c>
      <c r="D146">
        <v>5</v>
      </c>
      <c r="E146">
        <f t="shared" si="10"/>
        <v>1420</v>
      </c>
      <c r="F146" s="30">
        <v>45167</v>
      </c>
      <c r="G146" t="s">
        <v>19</v>
      </c>
      <c r="H146">
        <v>75</v>
      </c>
      <c r="I146" t="str">
        <f>VLOOKUP(B146,товар!$A$1:$C$433,2,FALSE)</f>
        <v>Хлеб</v>
      </c>
      <c r="J146" s="23">
        <f t="shared" si="11"/>
        <v>300.31818181818181</v>
      </c>
      <c r="K146" s="24">
        <f t="shared" si="12"/>
        <v>-5.4336309974269748E-2</v>
      </c>
      <c r="L146" t="str">
        <f>VLOOKUP(B146,товар!$A$1:$C$433,3,FALSE)</f>
        <v>Русский Хлеб</v>
      </c>
      <c r="M146">
        <f t="shared" si="13"/>
        <v>316.60000000000002</v>
      </c>
      <c r="N146" s="30">
        <f>VLOOKUP(H146,клиенты!$A$1:$G$435,5,FALSE)</f>
        <v>44796</v>
      </c>
      <c r="O146">
        <f t="shared" si="14"/>
        <v>371</v>
      </c>
    </row>
    <row r="147" spans="1:15" x14ac:dyDescent="0.3">
      <c r="A147">
        <v>146</v>
      </c>
      <c r="B147">
        <v>156</v>
      </c>
      <c r="C147">
        <v>332</v>
      </c>
      <c r="D147">
        <v>1</v>
      </c>
      <c r="E147">
        <f t="shared" si="10"/>
        <v>332</v>
      </c>
      <c r="F147" s="30">
        <v>45069</v>
      </c>
      <c r="G147" t="s">
        <v>24</v>
      </c>
      <c r="H147">
        <v>356</v>
      </c>
      <c r="I147" t="str">
        <f>VLOOKUP(B147,товар!$A$1:$C$433,2,FALSE)</f>
        <v>Фрукты</v>
      </c>
      <c r="J147" s="23">
        <f t="shared" si="11"/>
        <v>274.16279069767444</v>
      </c>
      <c r="K147" s="24">
        <f t="shared" si="12"/>
        <v>0.21095936890321476</v>
      </c>
      <c r="L147" t="str">
        <f>VLOOKUP(B147,товар!$A$1:$C$433,3,FALSE)</f>
        <v>Фрукты-Ягоды</v>
      </c>
      <c r="M147">
        <f t="shared" si="13"/>
        <v>280.66666666666669</v>
      </c>
      <c r="N147" s="30">
        <f>VLOOKUP(H147,клиенты!$A$1:$G$435,5,FALSE)</f>
        <v>44570</v>
      </c>
      <c r="O147">
        <f t="shared" si="14"/>
        <v>499</v>
      </c>
    </row>
    <row r="148" spans="1:15" x14ac:dyDescent="0.3">
      <c r="A148">
        <v>147</v>
      </c>
      <c r="B148">
        <v>441</v>
      </c>
      <c r="C148">
        <v>239</v>
      </c>
      <c r="D148">
        <v>2</v>
      </c>
      <c r="E148">
        <f t="shared" si="10"/>
        <v>478</v>
      </c>
      <c r="F148" s="30">
        <v>45103</v>
      </c>
      <c r="G148" t="s">
        <v>31</v>
      </c>
      <c r="H148">
        <v>487</v>
      </c>
      <c r="I148" t="str">
        <f>VLOOKUP(B148,товар!$A$1:$C$433,2,FALSE)</f>
        <v>Чай</v>
      </c>
      <c r="J148" s="23">
        <f t="shared" si="11"/>
        <v>271.18181818181819</v>
      </c>
      <c r="K148" s="24">
        <f t="shared" si="12"/>
        <v>-0.11867247737177344</v>
      </c>
      <c r="L148" t="str">
        <f>VLOOKUP(B148,товар!$A$1:$C$433,3,FALSE)</f>
        <v>Lipton</v>
      </c>
      <c r="M148">
        <f t="shared" si="13"/>
        <v>260.15789473684208</v>
      </c>
      <c r="N148" s="30">
        <f>VLOOKUP(H148,клиенты!$A$1:$G$435,5,FALSE)</f>
        <v>44815</v>
      </c>
      <c r="O148">
        <f t="shared" si="14"/>
        <v>288</v>
      </c>
    </row>
    <row r="149" spans="1:15" x14ac:dyDescent="0.3">
      <c r="A149">
        <v>148</v>
      </c>
      <c r="B149">
        <v>180</v>
      </c>
      <c r="C149">
        <v>86</v>
      </c>
      <c r="D149">
        <v>4</v>
      </c>
      <c r="E149">
        <f t="shared" si="10"/>
        <v>344</v>
      </c>
      <c r="F149" s="30">
        <v>45326</v>
      </c>
      <c r="G149" t="s">
        <v>24</v>
      </c>
      <c r="H149">
        <v>73</v>
      </c>
      <c r="I149" t="str">
        <f>VLOOKUP(B149,товар!$A$1:$C$433,2,FALSE)</f>
        <v>Чипсы</v>
      </c>
      <c r="J149" s="23">
        <f t="shared" si="11"/>
        <v>273.72549019607845</v>
      </c>
      <c r="K149" s="24">
        <f t="shared" si="12"/>
        <v>-0.68581661891117474</v>
      </c>
      <c r="L149" t="str">
        <f>VLOOKUP(B149,товар!$A$1:$C$433,3,FALSE)</f>
        <v>Русская картошка</v>
      </c>
      <c r="M149">
        <f t="shared" si="13"/>
        <v>241.83333333333334</v>
      </c>
      <c r="N149" s="30">
        <f>VLOOKUP(H149,клиенты!$A$1:$G$435,5,FALSE)</f>
        <v>44665</v>
      </c>
      <c r="O149">
        <f t="shared" si="14"/>
        <v>661</v>
      </c>
    </row>
    <row r="150" spans="1:15" x14ac:dyDescent="0.3">
      <c r="A150">
        <v>149</v>
      </c>
      <c r="B150">
        <v>438</v>
      </c>
      <c r="C150">
        <v>154</v>
      </c>
      <c r="D150">
        <v>4</v>
      </c>
      <c r="E150">
        <f t="shared" si="10"/>
        <v>616</v>
      </c>
      <c r="F150" s="30">
        <v>45264</v>
      </c>
      <c r="G150" t="s">
        <v>19</v>
      </c>
      <c r="H150">
        <v>139</v>
      </c>
      <c r="I150" t="str">
        <f>VLOOKUP(B150,товар!$A$1:$C$433,2,FALSE)</f>
        <v>Кофе</v>
      </c>
      <c r="J150" s="23">
        <f t="shared" si="11"/>
        <v>249.02380952380952</v>
      </c>
      <c r="K150" s="24">
        <f t="shared" si="12"/>
        <v>-0.38158523759441632</v>
      </c>
      <c r="L150" t="str">
        <f>VLOOKUP(B150,товар!$A$1:$C$433,3,FALSE)</f>
        <v>Nescafe</v>
      </c>
      <c r="M150">
        <f t="shared" si="13"/>
        <v>256.89999999999998</v>
      </c>
      <c r="N150" s="30">
        <f>VLOOKUP(H150,клиенты!$A$1:$G$435,5,FALSE)</f>
        <v>44648</v>
      </c>
      <c r="O150">
        <f t="shared" si="14"/>
        <v>616</v>
      </c>
    </row>
    <row r="151" spans="1:15" x14ac:dyDescent="0.3">
      <c r="A151">
        <v>150</v>
      </c>
      <c r="B151">
        <v>232</v>
      </c>
      <c r="C151">
        <v>109</v>
      </c>
      <c r="D151">
        <v>4</v>
      </c>
      <c r="E151">
        <f t="shared" si="10"/>
        <v>436</v>
      </c>
      <c r="F151" s="30">
        <v>45387</v>
      </c>
      <c r="G151" t="s">
        <v>27</v>
      </c>
      <c r="H151">
        <v>407</v>
      </c>
      <c r="I151" t="str">
        <f>VLOOKUP(B151,товар!$A$1:$C$433,2,FALSE)</f>
        <v>Молоко</v>
      </c>
      <c r="J151" s="23">
        <f t="shared" si="11"/>
        <v>294.95238095238096</v>
      </c>
      <c r="K151" s="24">
        <f t="shared" si="12"/>
        <v>-0.63044882144010339</v>
      </c>
      <c r="L151" t="str">
        <f>VLOOKUP(B151,товар!$A$1:$C$433,3,FALSE)</f>
        <v>Простоквашино</v>
      </c>
      <c r="M151">
        <f t="shared" si="13"/>
        <v>318.81818181818181</v>
      </c>
      <c r="N151" s="30">
        <f>VLOOKUP(H151,клиенты!$A$1:$G$435,5,FALSE)</f>
        <v>44621</v>
      </c>
      <c r="O151">
        <f t="shared" si="14"/>
        <v>766</v>
      </c>
    </row>
    <row r="152" spans="1:15" x14ac:dyDescent="0.3">
      <c r="A152">
        <v>151</v>
      </c>
      <c r="B152">
        <v>206</v>
      </c>
      <c r="C152">
        <v>73</v>
      </c>
      <c r="D152">
        <v>5</v>
      </c>
      <c r="E152">
        <f t="shared" si="10"/>
        <v>365</v>
      </c>
      <c r="F152" s="30">
        <v>45310</v>
      </c>
      <c r="G152" t="s">
        <v>17</v>
      </c>
      <c r="H152">
        <v>115</v>
      </c>
      <c r="I152" t="str">
        <f>VLOOKUP(B152,товар!$A$1:$C$433,2,FALSE)</f>
        <v>Молоко</v>
      </c>
      <c r="J152" s="23">
        <f t="shared" si="11"/>
        <v>294.95238095238096</v>
      </c>
      <c r="K152" s="24">
        <f t="shared" si="12"/>
        <v>-0.75250242169841786</v>
      </c>
      <c r="L152" t="str">
        <f>VLOOKUP(B152,товар!$A$1:$C$433,3,FALSE)</f>
        <v>Домик в деревне</v>
      </c>
      <c r="M152">
        <f t="shared" si="13"/>
        <v>274.77777777777777</v>
      </c>
      <c r="N152" s="30">
        <f>VLOOKUP(H152,клиенты!$A$1:$G$435,5,FALSE)</f>
        <v>44832</v>
      </c>
      <c r="O152">
        <f t="shared" si="14"/>
        <v>478</v>
      </c>
    </row>
    <row r="153" spans="1:15" x14ac:dyDescent="0.3">
      <c r="A153">
        <v>152</v>
      </c>
      <c r="B153">
        <v>295</v>
      </c>
      <c r="C153">
        <v>230</v>
      </c>
      <c r="D153">
        <v>4</v>
      </c>
      <c r="E153">
        <f t="shared" si="10"/>
        <v>920</v>
      </c>
      <c r="F153" s="30">
        <v>44990</v>
      </c>
      <c r="G153" t="s">
        <v>19</v>
      </c>
      <c r="H153">
        <v>258</v>
      </c>
      <c r="I153" t="str">
        <f>VLOOKUP(B153,товар!$A$1:$C$433,2,FALSE)</f>
        <v>Печенье</v>
      </c>
      <c r="J153" s="23">
        <f t="shared" si="11"/>
        <v>283.468085106383</v>
      </c>
      <c r="K153" s="24">
        <f t="shared" si="12"/>
        <v>-0.18862118141559714</v>
      </c>
      <c r="L153" t="str">
        <f>VLOOKUP(B153,товар!$A$1:$C$433,3,FALSE)</f>
        <v>Белогорье</v>
      </c>
      <c r="M153">
        <f t="shared" si="13"/>
        <v>249.5</v>
      </c>
      <c r="N153" s="30">
        <f>VLOOKUP(H153,клиенты!$A$1:$G$435,5,FALSE)</f>
        <v>44717</v>
      </c>
      <c r="O153">
        <f t="shared" si="14"/>
        <v>273</v>
      </c>
    </row>
    <row r="154" spans="1:15" x14ac:dyDescent="0.3">
      <c r="A154">
        <v>153</v>
      </c>
      <c r="B154">
        <v>204</v>
      </c>
      <c r="C154">
        <v>88</v>
      </c>
      <c r="D154">
        <v>4</v>
      </c>
      <c r="E154">
        <f t="shared" si="10"/>
        <v>352</v>
      </c>
      <c r="F154" s="30">
        <v>44990</v>
      </c>
      <c r="G154" t="s">
        <v>31</v>
      </c>
      <c r="H154">
        <v>349</v>
      </c>
      <c r="I154" t="str">
        <f>VLOOKUP(B154,товар!$A$1:$C$433,2,FALSE)</f>
        <v>Печенье</v>
      </c>
      <c r="J154" s="23">
        <f t="shared" si="11"/>
        <v>283.468085106383</v>
      </c>
      <c r="K154" s="24">
        <f t="shared" si="12"/>
        <v>-0.68955940854161979</v>
      </c>
      <c r="L154" t="str">
        <f>VLOOKUP(B154,товар!$A$1:$C$433,3,FALSE)</f>
        <v>Юбилейное</v>
      </c>
      <c r="M154">
        <f t="shared" si="13"/>
        <v>232.44444444444446</v>
      </c>
      <c r="N154" s="30">
        <f>VLOOKUP(H154,клиенты!$A$1:$G$435,5,FALSE)</f>
        <v>44673</v>
      </c>
      <c r="O154">
        <f t="shared" si="14"/>
        <v>317</v>
      </c>
    </row>
    <row r="155" spans="1:15" x14ac:dyDescent="0.3">
      <c r="A155">
        <v>154</v>
      </c>
      <c r="B155">
        <v>399</v>
      </c>
      <c r="C155">
        <v>231</v>
      </c>
      <c r="D155">
        <v>2</v>
      </c>
      <c r="E155">
        <f t="shared" si="10"/>
        <v>462</v>
      </c>
      <c r="F155" s="30">
        <v>45290</v>
      </c>
      <c r="G155" t="s">
        <v>30</v>
      </c>
      <c r="H155">
        <v>325</v>
      </c>
      <c r="I155" t="str">
        <f>VLOOKUP(B155,товар!$A$1:$C$433,2,FALSE)</f>
        <v>Хлеб</v>
      </c>
      <c r="J155" s="23">
        <f t="shared" si="11"/>
        <v>300.31818181818181</v>
      </c>
      <c r="K155" s="24">
        <f t="shared" si="12"/>
        <v>-0.2308158014227335</v>
      </c>
      <c r="L155" t="str">
        <f>VLOOKUP(B155,товар!$A$1:$C$433,3,FALSE)</f>
        <v>Хлебный Дом</v>
      </c>
      <c r="M155">
        <f t="shared" si="13"/>
        <v>281.73333333333335</v>
      </c>
      <c r="N155" s="30">
        <f>VLOOKUP(H155,клиенты!$A$1:$G$435,5,FALSE)</f>
        <v>44875</v>
      </c>
      <c r="O155">
        <f t="shared" si="14"/>
        <v>415</v>
      </c>
    </row>
    <row r="156" spans="1:15" x14ac:dyDescent="0.3">
      <c r="A156">
        <v>155</v>
      </c>
      <c r="B156">
        <v>221</v>
      </c>
      <c r="C156">
        <v>477</v>
      </c>
      <c r="D156">
        <v>4</v>
      </c>
      <c r="E156">
        <f t="shared" si="10"/>
        <v>1908</v>
      </c>
      <c r="F156" s="30">
        <v>45185</v>
      </c>
      <c r="G156" t="s">
        <v>22</v>
      </c>
      <c r="H156">
        <v>276</v>
      </c>
      <c r="I156" t="str">
        <f>VLOOKUP(B156,товар!$A$1:$C$433,2,FALSE)</f>
        <v>Чипсы</v>
      </c>
      <c r="J156" s="23">
        <f t="shared" si="11"/>
        <v>273.72549019607845</v>
      </c>
      <c r="K156" s="24">
        <f t="shared" si="12"/>
        <v>0.74262177650429795</v>
      </c>
      <c r="L156" t="str">
        <f>VLOOKUP(B156,товар!$A$1:$C$433,3,FALSE)</f>
        <v>Pringles</v>
      </c>
      <c r="M156">
        <f t="shared" si="13"/>
        <v>280.23809523809524</v>
      </c>
      <c r="N156" s="30">
        <f>VLOOKUP(H156,клиенты!$A$1:$G$435,5,FALSE)</f>
        <v>44632</v>
      </c>
      <c r="O156">
        <f t="shared" si="14"/>
        <v>553</v>
      </c>
    </row>
    <row r="157" spans="1:15" x14ac:dyDescent="0.3">
      <c r="A157">
        <v>156</v>
      </c>
      <c r="B157">
        <v>333</v>
      </c>
      <c r="C157">
        <v>74</v>
      </c>
      <c r="D157">
        <v>2</v>
      </c>
      <c r="E157">
        <f t="shared" si="10"/>
        <v>148</v>
      </c>
      <c r="F157" s="30">
        <v>45153</v>
      </c>
      <c r="G157" t="s">
        <v>23</v>
      </c>
      <c r="H157">
        <v>328</v>
      </c>
      <c r="I157" t="str">
        <f>VLOOKUP(B157,товар!$A$1:$C$433,2,FALSE)</f>
        <v>Рыба</v>
      </c>
      <c r="J157" s="23">
        <f t="shared" si="11"/>
        <v>258.5128205128205</v>
      </c>
      <c r="K157" s="24">
        <f t="shared" si="12"/>
        <v>-0.71374727236659385</v>
      </c>
      <c r="L157" t="str">
        <f>VLOOKUP(B157,товар!$A$1:$C$433,3,FALSE)</f>
        <v>Санта Бремор</v>
      </c>
      <c r="M157">
        <f t="shared" si="13"/>
        <v>216.4</v>
      </c>
      <c r="N157" s="30">
        <f>VLOOKUP(H157,клиенты!$A$1:$G$435,5,FALSE)</f>
        <v>44568</v>
      </c>
      <c r="O157">
        <f t="shared" si="14"/>
        <v>585</v>
      </c>
    </row>
    <row r="158" spans="1:15" x14ac:dyDescent="0.3">
      <c r="A158">
        <v>157</v>
      </c>
      <c r="B158">
        <v>498</v>
      </c>
      <c r="C158">
        <v>430</v>
      </c>
      <c r="D158">
        <v>5</v>
      </c>
      <c r="E158">
        <f t="shared" si="10"/>
        <v>2150</v>
      </c>
      <c r="F158" s="30">
        <v>45106</v>
      </c>
      <c r="G158" t="s">
        <v>32</v>
      </c>
      <c r="H158">
        <v>250</v>
      </c>
      <c r="I158" t="str">
        <f>VLOOKUP(B158,товар!$A$1:$C$433,2,FALSE)</f>
        <v>Молоко</v>
      </c>
      <c r="J158" s="23">
        <f t="shared" si="11"/>
        <v>294.95238095238096</v>
      </c>
      <c r="K158" s="24">
        <f t="shared" si="12"/>
        <v>0.4578624475298676</v>
      </c>
      <c r="L158" t="str">
        <f>VLOOKUP(B158,товар!$A$1:$C$433,3,FALSE)</f>
        <v>Домик в деревне</v>
      </c>
      <c r="M158">
        <f t="shared" si="13"/>
        <v>274.77777777777777</v>
      </c>
      <c r="N158" s="30">
        <f>VLOOKUP(H158,клиенты!$A$1:$G$435,5,FALSE)</f>
        <v>44856</v>
      </c>
      <c r="O158">
        <f t="shared" si="14"/>
        <v>250</v>
      </c>
    </row>
    <row r="159" spans="1:15" x14ac:dyDescent="0.3">
      <c r="A159">
        <v>158</v>
      </c>
      <c r="B159">
        <v>476</v>
      </c>
      <c r="C159">
        <v>286</v>
      </c>
      <c r="D159">
        <v>2</v>
      </c>
      <c r="E159">
        <f t="shared" si="10"/>
        <v>572</v>
      </c>
      <c r="F159" s="30">
        <v>44973</v>
      </c>
      <c r="G159" t="s">
        <v>26</v>
      </c>
      <c r="H159">
        <v>397</v>
      </c>
      <c r="I159" t="str">
        <f>VLOOKUP(B159,товар!$A$1:$C$433,2,FALSE)</f>
        <v>Рыба</v>
      </c>
      <c r="J159" s="23">
        <f t="shared" si="11"/>
        <v>258.5128205128205</v>
      </c>
      <c r="K159" s="24">
        <f t="shared" si="12"/>
        <v>0.10632810950208293</v>
      </c>
      <c r="L159" t="str">
        <f>VLOOKUP(B159,товар!$A$1:$C$433,3,FALSE)</f>
        <v>Балтийский берег</v>
      </c>
      <c r="M159">
        <f t="shared" si="13"/>
        <v>289.88888888888891</v>
      </c>
      <c r="N159" s="30">
        <f>VLOOKUP(H159,клиенты!$A$1:$G$435,5,FALSE)</f>
        <v>44728</v>
      </c>
      <c r="O159">
        <f t="shared" si="14"/>
        <v>245</v>
      </c>
    </row>
    <row r="160" spans="1:15" x14ac:dyDescent="0.3">
      <c r="A160">
        <v>159</v>
      </c>
      <c r="B160">
        <v>126</v>
      </c>
      <c r="C160">
        <v>273</v>
      </c>
      <c r="D160">
        <v>3</v>
      </c>
      <c r="E160">
        <f t="shared" si="10"/>
        <v>819</v>
      </c>
      <c r="F160" s="30">
        <v>45051</v>
      </c>
      <c r="G160" t="s">
        <v>23</v>
      </c>
      <c r="H160">
        <v>153</v>
      </c>
      <c r="I160" t="str">
        <f>VLOOKUP(B160,товар!$A$1:$C$433,2,FALSE)</f>
        <v>Сахар</v>
      </c>
      <c r="J160" s="23">
        <f t="shared" si="11"/>
        <v>252.76271186440678</v>
      </c>
      <c r="K160" s="24">
        <f t="shared" si="12"/>
        <v>8.006437336551997E-2</v>
      </c>
      <c r="L160" t="str">
        <f>VLOOKUP(B160,товар!$A$1:$C$433,3,FALSE)</f>
        <v>Русский сахар</v>
      </c>
      <c r="M160">
        <f t="shared" si="13"/>
        <v>293.41176470588238</v>
      </c>
      <c r="N160" s="30">
        <f>VLOOKUP(H160,клиенты!$A$1:$G$435,5,FALSE)</f>
        <v>44802</v>
      </c>
      <c r="O160">
        <f t="shared" si="14"/>
        <v>249</v>
      </c>
    </row>
    <row r="161" spans="1:15" x14ac:dyDescent="0.3">
      <c r="A161">
        <v>160</v>
      </c>
      <c r="B161">
        <v>255</v>
      </c>
      <c r="C161">
        <v>279</v>
      </c>
      <c r="D161">
        <v>3</v>
      </c>
      <c r="E161">
        <f t="shared" si="10"/>
        <v>837</v>
      </c>
      <c r="F161" s="30">
        <v>45081</v>
      </c>
      <c r="G161" t="s">
        <v>17</v>
      </c>
      <c r="H161">
        <v>286</v>
      </c>
      <c r="I161" t="str">
        <f>VLOOKUP(B161,товар!$A$1:$C$433,2,FALSE)</f>
        <v>Кофе</v>
      </c>
      <c r="J161" s="23">
        <f t="shared" si="11"/>
        <v>249.02380952380952</v>
      </c>
      <c r="K161" s="24">
        <f t="shared" si="12"/>
        <v>0.12037479682570029</v>
      </c>
      <c r="L161" t="str">
        <f>VLOOKUP(B161,товар!$A$1:$C$433,3,FALSE)</f>
        <v>Nescafe</v>
      </c>
      <c r="M161">
        <f t="shared" si="13"/>
        <v>256.89999999999998</v>
      </c>
      <c r="N161" s="30">
        <f>VLOOKUP(H161,клиенты!$A$1:$G$435,5,FALSE)</f>
        <v>44563</v>
      </c>
      <c r="O161">
        <f t="shared" si="14"/>
        <v>518</v>
      </c>
    </row>
    <row r="162" spans="1:15" x14ac:dyDescent="0.3">
      <c r="A162">
        <v>161</v>
      </c>
      <c r="B162">
        <v>138</v>
      </c>
      <c r="C162">
        <v>210</v>
      </c>
      <c r="D162">
        <v>2</v>
      </c>
      <c r="E162">
        <f t="shared" si="10"/>
        <v>420</v>
      </c>
      <c r="F162" s="30">
        <v>45012</v>
      </c>
      <c r="G162" t="s">
        <v>20</v>
      </c>
      <c r="H162">
        <v>14</v>
      </c>
      <c r="I162" t="str">
        <f>VLOOKUP(B162,товар!$A$1:$C$433,2,FALSE)</f>
        <v>Сыр</v>
      </c>
      <c r="J162" s="23">
        <f t="shared" si="11"/>
        <v>262.63492063492066</v>
      </c>
      <c r="K162" s="24">
        <f t="shared" si="12"/>
        <v>-0.20041097546234743</v>
      </c>
      <c r="L162" t="str">
        <f>VLOOKUP(B162,товар!$A$1:$C$433,3,FALSE)</f>
        <v>Сырная долина</v>
      </c>
      <c r="M162">
        <f t="shared" si="13"/>
        <v>271</v>
      </c>
      <c r="N162" s="30">
        <f>VLOOKUP(H162,клиенты!$A$1:$G$435,5,FALSE)</f>
        <v>44775</v>
      </c>
      <c r="O162">
        <f t="shared" si="14"/>
        <v>237</v>
      </c>
    </row>
    <row r="163" spans="1:15" x14ac:dyDescent="0.3">
      <c r="A163">
        <v>162</v>
      </c>
      <c r="B163">
        <v>403</v>
      </c>
      <c r="C163">
        <v>229</v>
      </c>
      <c r="D163">
        <v>1</v>
      </c>
      <c r="E163">
        <f t="shared" si="10"/>
        <v>229</v>
      </c>
      <c r="F163" s="30">
        <v>44991</v>
      </c>
      <c r="G163" t="s">
        <v>24</v>
      </c>
      <c r="H163">
        <v>32</v>
      </c>
      <c r="I163" t="str">
        <f>VLOOKUP(B163,товар!$A$1:$C$433,2,FALSE)</f>
        <v>Чай</v>
      </c>
      <c r="J163" s="23">
        <f t="shared" si="11"/>
        <v>271.18181818181819</v>
      </c>
      <c r="K163" s="24">
        <f t="shared" si="12"/>
        <v>-0.15554810593362389</v>
      </c>
      <c r="L163" t="str">
        <f>VLOOKUP(B163,товар!$A$1:$C$433,3,FALSE)</f>
        <v>Ахмад</v>
      </c>
      <c r="M163">
        <f t="shared" si="13"/>
        <v>243.3</v>
      </c>
      <c r="N163" s="30">
        <f>VLOOKUP(H163,клиенты!$A$1:$G$435,5,FALSE)</f>
        <v>44922</v>
      </c>
      <c r="O163">
        <f t="shared" si="14"/>
        <v>69</v>
      </c>
    </row>
    <row r="164" spans="1:15" x14ac:dyDescent="0.3">
      <c r="A164">
        <v>163</v>
      </c>
      <c r="B164">
        <v>280</v>
      </c>
      <c r="C164">
        <v>192</v>
      </c>
      <c r="D164">
        <v>2</v>
      </c>
      <c r="E164">
        <f t="shared" si="10"/>
        <v>384</v>
      </c>
      <c r="F164" s="30">
        <v>45283</v>
      </c>
      <c r="G164" t="s">
        <v>15</v>
      </c>
      <c r="H164">
        <v>49</v>
      </c>
      <c r="I164" t="str">
        <f>VLOOKUP(B164,товар!$A$1:$C$433,2,FALSE)</f>
        <v>Сыр</v>
      </c>
      <c r="J164" s="23">
        <f t="shared" si="11"/>
        <v>262.63492063492066</v>
      </c>
      <c r="K164" s="24">
        <f t="shared" si="12"/>
        <v>-0.26894717756557485</v>
      </c>
      <c r="L164" t="str">
        <f>VLOOKUP(B164,товар!$A$1:$C$433,3,FALSE)</f>
        <v>President</v>
      </c>
      <c r="M164">
        <f t="shared" si="13"/>
        <v>238.72222222222223</v>
      </c>
      <c r="N164" s="30">
        <f>VLOOKUP(H164,клиенты!$A$1:$G$435,5,FALSE)</f>
        <v>44672</v>
      </c>
      <c r="O164">
        <f t="shared" si="14"/>
        <v>611</v>
      </c>
    </row>
    <row r="165" spans="1:15" x14ac:dyDescent="0.3">
      <c r="A165">
        <v>164</v>
      </c>
      <c r="B165">
        <v>356</v>
      </c>
      <c r="C165">
        <v>373</v>
      </c>
      <c r="D165">
        <v>1</v>
      </c>
      <c r="E165">
        <f t="shared" si="10"/>
        <v>373</v>
      </c>
      <c r="F165" s="30">
        <v>45291</v>
      </c>
      <c r="G165" t="s">
        <v>17</v>
      </c>
      <c r="H165">
        <v>115</v>
      </c>
      <c r="I165" t="str">
        <f>VLOOKUP(B165,товар!$A$1:$C$433,2,FALSE)</f>
        <v>Печенье</v>
      </c>
      <c r="J165" s="23">
        <f t="shared" si="11"/>
        <v>283.468085106383</v>
      </c>
      <c r="K165" s="24">
        <f t="shared" si="12"/>
        <v>0.31584477970427072</v>
      </c>
      <c r="L165" t="str">
        <f>VLOOKUP(B165,товар!$A$1:$C$433,3,FALSE)</f>
        <v>Посиделкино</v>
      </c>
      <c r="M165">
        <f t="shared" si="13"/>
        <v>321.63636363636363</v>
      </c>
      <c r="N165" s="30">
        <f>VLOOKUP(H165,клиенты!$A$1:$G$435,5,FALSE)</f>
        <v>44832</v>
      </c>
      <c r="O165">
        <f t="shared" si="14"/>
        <v>459</v>
      </c>
    </row>
    <row r="166" spans="1:15" x14ac:dyDescent="0.3">
      <c r="A166">
        <v>165</v>
      </c>
      <c r="B166">
        <v>41</v>
      </c>
      <c r="C166">
        <v>315</v>
      </c>
      <c r="D166">
        <v>3</v>
      </c>
      <c r="E166">
        <f t="shared" si="10"/>
        <v>945</v>
      </c>
      <c r="F166" s="30">
        <v>45202</v>
      </c>
      <c r="G166" t="s">
        <v>28</v>
      </c>
      <c r="H166">
        <v>420</v>
      </c>
      <c r="I166" t="str">
        <f>VLOOKUP(B166,товар!$A$1:$C$433,2,FALSE)</f>
        <v>Рис</v>
      </c>
      <c r="J166" s="23">
        <f t="shared" si="11"/>
        <v>258.375</v>
      </c>
      <c r="K166" s="24">
        <f t="shared" si="12"/>
        <v>0.21915820029027566</v>
      </c>
      <c r="L166" t="str">
        <f>VLOOKUP(B166,товар!$A$1:$C$433,3,FALSE)</f>
        <v>Агро-Альянс</v>
      </c>
      <c r="M166">
        <f t="shared" si="13"/>
        <v>317.85714285714283</v>
      </c>
      <c r="N166" s="30">
        <f>VLOOKUP(H166,клиенты!$A$1:$G$435,5,FALSE)</f>
        <v>44698</v>
      </c>
      <c r="O166">
        <f t="shared" si="14"/>
        <v>504</v>
      </c>
    </row>
    <row r="167" spans="1:15" x14ac:dyDescent="0.3">
      <c r="A167">
        <v>166</v>
      </c>
      <c r="B167">
        <v>379</v>
      </c>
      <c r="C167">
        <v>321</v>
      </c>
      <c r="D167">
        <v>5</v>
      </c>
      <c r="E167">
        <f t="shared" si="10"/>
        <v>1605</v>
      </c>
      <c r="F167" s="30">
        <v>45032</v>
      </c>
      <c r="G167" t="s">
        <v>24</v>
      </c>
      <c r="H167">
        <v>47</v>
      </c>
      <c r="I167" t="str">
        <f>VLOOKUP(B167,товар!$A$1:$C$433,2,FALSE)</f>
        <v>Йогурт</v>
      </c>
      <c r="J167" s="23">
        <f t="shared" si="11"/>
        <v>263.25423728813558</v>
      </c>
      <c r="K167" s="24">
        <f t="shared" si="12"/>
        <v>0.21935359258305431</v>
      </c>
      <c r="L167" t="str">
        <f>VLOOKUP(B167,товар!$A$1:$C$433,3,FALSE)</f>
        <v>Активиа</v>
      </c>
      <c r="M167">
        <f t="shared" si="13"/>
        <v>293.66666666666669</v>
      </c>
      <c r="N167" s="30">
        <f>VLOOKUP(H167,клиенты!$A$1:$G$435,5,FALSE)</f>
        <v>44693</v>
      </c>
      <c r="O167">
        <f t="shared" si="14"/>
        <v>339</v>
      </c>
    </row>
    <row r="168" spans="1:15" x14ac:dyDescent="0.3">
      <c r="A168">
        <v>167</v>
      </c>
      <c r="B168">
        <v>282</v>
      </c>
      <c r="C168">
        <v>189</v>
      </c>
      <c r="D168">
        <v>2</v>
      </c>
      <c r="E168">
        <f t="shared" si="10"/>
        <v>378</v>
      </c>
      <c r="F168" s="30">
        <v>45158</v>
      </c>
      <c r="G168" t="s">
        <v>24</v>
      </c>
      <c r="H168">
        <v>202</v>
      </c>
      <c r="I168" t="str">
        <f>VLOOKUP(B168,товар!$A$1:$C$433,2,FALSE)</f>
        <v>Рис</v>
      </c>
      <c r="J168" s="23">
        <f t="shared" si="11"/>
        <v>258.375</v>
      </c>
      <c r="K168" s="24">
        <f t="shared" si="12"/>
        <v>-0.26850507982583449</v>
      </c>
      <c r="L168" t="str">
        <f>VLOOKUP(B168,товар!$A$1:$C$433,3,FALSE)</f>
        <v>Агро-Альянс</v>
      </c>
      <c r="M168">
        <f t="shared" si="13"/>
        <v>317.85714285714283</v>
      </c>
      <c r="N168" s="30">
        <f>VLOOKUP(H168,клиенты!$A$1:$G$435,5,FALSE)</f>
        <v>44766</v>
      </c>
      <c r="O168">
        <f t="shared" si="14"/>
        <v>392</v>
      </c>
    </row>
    <row r="169" spans="1:15" x14ac:dyDescent="0.3">
      <c r="A169">
        <v>168</v>
      </c>
      <c r="B169">
        <v>459</v>
      </c>
      <c r="C169">
        <v>405</v>
      </c>
      <c r="D169">
        <v>3</v>
      </c>
      <c r="E169">
        <f t="shared" si="10"/>
        <v>1215</v>
      </c>
      <c r="F169" s="30">
        <v>44949</v>
      </c>
      <c r="G169" t="s">
        <v>17</v>
      </c>
      <c r="H169">
        <v>37</v>
      </c>
      <c r="I169" t="str">
        <f>VLOOKUP(B169,товар!$A$1:$C$433,2,FALSE)</f>
        <v>Крупа</v>
      </c>
      <c r="J169" s="23">
        <f t="shared" si="11"/>
        <v>255.11627906976744</v>
      </c>
      <c r="K169" s="24">
        <f t="shared" si="12"/>
        <v>0.58751139471285319</v>
      </c>
      <c r="L169" t="str">
        <f>VLOOKUP(B169,товар!$A$1:$C$433,3,FALSE)</f>
        <v>Националь</v>
      </c>
      <c r="M169">
        <f t="shared" si="13"/>
        <v>274.28571428571428</v>
      </c>
      <c r="N169" s="30">
        <f>VLOOKUP(H169,клиенты!$A$1:$G$435,5,FALSE)</f>
        <v>44728</v>
      </c>
      <c r="O169">
        <f t="shared" si="14"/>
        <v>221</v>
      </c>
    </row>
    <row r="170" spans="1:15" x14ac:dyDescent="0.3">
      <c r="A170">
        <v>169</v>
      </c>
      <c r="B170">
        <v>402</v>
      </c>
      <c r="C170">
        <v>426</v>
      </c>
      <c r="D170">
        <v>2</v>
      </c>
      <c r="E170">
        <f t="shared" si="10"/>
        <v>852</v>
      </c>
      <c r="F170" s="30">
        <v>45099</v>
      </c>
      <c r="G170" t="s">
        <v>32</v>
      </c>
      <c r="H170">
        <v>366</v>
      </c>
      <c r="I170" t="str">
        <f>VLOOKUP(B170,товар!$A$1:$C$433,2,FALSE)</f>
        <v>Хлеб</v>
      </c>
      <c r="J170" s="23">
        <f t="shared" si="11"/>
        <v>300.31818181818181</v>
      </c>
      <c r="K170" s="24">
        <f t="shared" si="12"/>
        <v>0.41849553503859549</v>
      </c>
      <c r="L170" t="str">
        <f>VLOOKUP(B170,товар!$A$1:$C$433,3,FALSE)</f>
        <v>Каравай</v>
      </c>
      <c r="M170">
        <f t="shared" si="13"/>
        <v>331.16666666666669</v>
      </c>
      <c r="N170" s="30">
        <f>VLOOKUP(H170,клиенты!$A$1:$G$435,5,FALSE)</f>
        <v>44827</v>
      </c>
      <c r="O170">
        <f t="shared" si="14"/>
        <v>272</v>
      </c>
    </row>
    <row r="171" spans="1:15" x14ac:dyDescent="0.3">
      <c r="A171">
        <v>170</v>
      </c>
      <c r="B171">
        <v>320</v>
      </c>
      <c r="C171">
        <v>271</v>
      </c>
      <c r="D171">
        <v>1</v>
      </c>
      <c r="E171">
        <f t="shared" si="10"/>
        <v>271</v>
      </c>
      <c r="F171" s="30">
        <v>45412</v>
      </c>
      <c r="G171" t="s">
        <v>34</v>
      </c>
      <c r="H171">
        <v>434</v>
      </c>
      <c r="I171" t="str">
        <f>VLOOKUP(B171,товар!$A$1:$C$433,2,FALSE)</f>
        <v>Конфеты</v>
      </c>
      <c r="J171" s="23">
        <f t="shared" si="11"/>
        <v>267.85483870967744</v>
      </c>
      <c r="K171" s="24">
        <f t="shared" si="12"/>
        <v>1.1742036490636432E-2</v>
      </c>
      <c r="L171" t="str">
        <f>VLOOKUP(B171,товар!$A$1:$C$433,3,FALSE)</f>
        <v>Бабаевский</v>
      </c>
      <c r="M171">
        <f t="shared" si="13"/>
        <v>250.25925925925927</v>
      </c>
      <c r="N171" s="30">
        <f>VLOOKUP(H171,клиенты!$A$1:$G$435,5,FALSE)</f>
        <v>44730</v>
      </c>
      <c r="O171">
        <f t="shared" si="14"/>
        <v>682</v>
      </c>
    </row>
    <row r="172" spans="1:15" x14ac:dyDescent="0.3">
      <c r="A172">
        <v>171</v>
      </c>
      <c r="B172">
        <v>19</v>
      </c>
      <c r="C172">
        <v>96</v>
      </c>
      <c r="D172">
        <v>4</v>
      </c>
      <c r="E172">
        <f t="shared" si="10"/>
        <v>384</v>
      </c>
      <c r="F172" s="30">
        <v>45041</v>
      </c>
      <c r="G172" t="s">
        <v>16</v>
      </c>
      <c r="H172">
        <v>172</v>
      </c>
      <c r="I172" t="str">
        <f>VLOOKUP(B172,товар!$A$1:$C$433,2,FALSE)</f>
        <v>Мясо</v>
      </c>
      <c r="J172" s="23">
        <f t="shared" si="11"/>
        <v>271.74545454545455</v>
      </c>
      <c r="K172" s="24">
        <f t="shared" si="12"/>
        <v>-0.6467282215977519</v>
      </c>
      <c r="L172" t="str">
        <f>VLOOKUP(B172,товар!$A$1:$C$433,3,FALSE)</f>
        <v>Снежана</v>
      </c>
      <c r="M172">
        <f t="shared" si="13"/>
        <v>272.35294117647061</v>
      </c>
      <c r="N172" s="30">
        <f>VLOOKUP(H172,клиенты!$A$1:$G$435,5,FALSE)</f>
        <v>44737</v>
      </c>
      <c r="O172">
        <f t="shared" si="14"/>
        <v>304</v>
      </c>
    </row>
    <row r="173" spans="1:15" x14ac:dyDescent="0.3">
      <c r="A173">
        <v>172</v>
      </c>
      <c r="B173">
        <v>447</v>
      </c>
      <c r="C173">
        <v>65</v>
      </c>
      <c r="D173">
        <v>1</v>
      </c>
      <c r="E173">
        <f t="shared" si="10"/>
        <v>65</v>
      </c>
      <c r="F173" s="30">
        <v>45341</v>
      </c>
      <c r="G173" t="s">
        <v>18</v>
      </c>
      <c r="H173">
        <v>52</v>
      </c>
      <c r="I173" t="str">
        <f>VLOOKUP(B173,товар!$A$1:$C$433,2,FALSE)</f>
        <v>Йогурт</v>
      </c>
      <c r="J173" s="23">
        <f t="shared" si="11"/>
        <v>263.25423728813558</v>
      </c>
      <c r="K173" s="24">
        <f t="shared" si="12"/>
        <v>-0.75309039402523825</v>
      </c>
      <c r="L173" t="str">
        <f>VLOOKUP(B173,товар!$A$1:$C$433,3,FALSE)</f>
        <v>Эрманн</v>
      </c>
      <c r="M173">
        <f t="shared" si="13"/>
        <v>248.5</v>
      </c>
      <c r="N173" s="30">
        <f>VLOOKUP(H173,клиенты!$A$1:$G$435,5,FALSE)</f>
        <v>44917</v>
      </c>
      <c r="O173">
        <f t="shared" si="14"/>
        <v>424</v>
      </c>
    </row>
    <row r="174" spans="1:15" x14ac:dyDescent="0.3">
      <c r="A174">
        <v>173</v>
      </c>
      <c r="B174">
        <v>406</v>
      </c>
      <c r="C174">
        <v>426</v>
      </c>
      <c r="D174">
        <v>1</v>
      </c>
      <c r="E174">
        <f t="shared" si="10"/>
        <v>426</v>
      </c>
      <c r="F174" s="30">
        <v>45289</v>
      </c>
      <c r="G174" t="s">
        <v>19</v>
      </c>
      <c r="H174">
        <v>395</v>
      </c>
      <c r="I174" t="str">
        <f>VLOOKUP(B174,товар!$A$1:$C$433,2,FALSE)</f>
        <v>Сок</v>
      </c>
      <c r="J174" s="23">
        <f t="shared" si="11"/>
        <v>268.60344827586209</v>
      </c>
      <c r="K174" s="24">
        <f t="shared" si="12"/>
        <v>0.58598112844213346</v>
      </c>
      <c r="L174" t="str">
        <f>VLOOKUP(B174,товар!$A$1:$C$433,3,FALSE)</f>
        <v>Фруктовый сад</v>
      </c>
      <c r="M174">
        <f t="shared" si="13"/>
        <v>281.96875</v>
      </c>
      <c r="N174" s="30">
        <f>VLOOKUP(H174,клиенты!$A$1:$G$435,5,FALSE)</f>
        <v>44890</v>
      </c>
      <c r="O174">
        <f t="shared" si="14"/>
        <v>399</v>
      </c>
    </row>
    <row r="175" spans="1:15" x14ac:dyDescent="0.3">
      <c r="A175">
        <v>174</v>
      </c>
      <c r="B175">
        <v>391</v>
      </c>
      <c r="C175">
        <v>356</v>
      </c>
      <c r="D175">
        <v>2</v>
      </c>
      <c r="E175">
        <f t="shared" si="10"/>
        <v>712</v>
      </c>
      <c r="F175" s="30">
        <v>45175</v>
      </c>
      <c r="G175" t="s">
        <v>19</v>
      </c>
      <c r="H175">
        <v>46</v>
      </c>
      <c r="I175" t="str">
        <f>VLOOKUP(B175,товар!$A$1:$C$433,2,FALSE)</f>
        <v>Рыба</v>
      </c>
      <c r="J175" s="23">
        <f t="shared" si="11"/>
        <v>258.5128205128205</v>
      </c>
      <c r="K175" s="24">
        <f t="shared" si="12"/>
        <v>0.37710771672287247</v>
      </c>
      <c r="L175" t="str">
        <f>VLOOKUP(B175,товар!$A$1:$C$433,3,FALSE)</f>
        <v>Балтийский берег</v>
      </c>
      <c r="M175">
        <f t="shared" si="13"/>
        <v>289.88888888888891</v>
      </c>
      <c r="N175" s="30">
        <f>VLOOKUP(H175,клиенты!$A$1:$G$435,5,FALSE)</f>
        <v>44636</v>
      </c>
      <c r="O175">
        <f t="shared" si="14"/>
        <v>539</v>
      </c>
    </row>
    <row r="176" spans="1:15" x14ac:dyDescent="0.3">
      <c r="A176">
        <v>175</v>
      </c>
      <c r="B176">
        <v>82</v>
      </c>
      <c r="C176">
        <v>233</v>
      </c>
      <c r="D176">
        <v>2</v>
      </c>
      <c r="E176">
        <f t="shared" si="10"/>
        <v>466</v>
      </c>
      <c r="F176" s="30">
        <v>45369</v>
      </c>
      <c r="G176" t="s">
        <v>31</v>
      </c>
      <c r="H176">
        <v>361</v>
      </c>
      <c r="I176" t="str">
        <f>VLOOKUP(B176,товар!$A$1:$C$433,2,FALSE)</f>
        <v>Сыр</v>
      </c>
      <c r="J176" s="23">
        <f t="shared" si="11"/>
        <v>262.63492063492066</v>
      </c>
      <c r="K176" s="24">
        <f t="shared" si="12"/>
        <v>-0.11283693944155693</v>
      </c>
      <c r="L176" t="str">
        <f>VLOOKUP(B176,товар!$A$1:$C$433,3,FALSE)</f>
        <v>Hochland</v>
      </c>
      <c r="M176">
        <f t="shared" si="13"/>
        <v>168</v>
      </c>
      <c r="N176" s="30">
        <f>VLOOKUP(H176,клиенты!$A$1:$G$435,5,FALSE)</f>
        <v>44831</v>
      </c>
      <c r="O176">
        <f t="shared" si="14"/>
        <v>538</v>
      </c>
    </row>
    <row r="177" spans="1:15" x14ac:dyDescent="0.3">
      <c r="A177">
        <v>176</v>
      </c>
      <c r="B177">
        <v>243</v>
      </c>
      <c r="C177">
        <v>494</v>
      </c>
      <c r="D177">
        <v>5</v>
      </c>
      <c r="E177">
        <f t="shared" si="10"/>
        <v>2470</v>
      </c>
      <c r="F177" s="30">
        <v>45353</v>
      </c>
      <c r="G177" t="s">
        <v>34</v>
      </c>
      <c r="H177">
        <v>358</v>
      </c>
      <c r="I177" t="str">
        <f>VLOOKUP(B177,товар!$A$1:$C$433,2,FALSE)</f>
        <v>Рис</v>
      </c>
      <c r="J177" s="23">
        <f t="shared" si="11"/>
        <v>258.375</v>
      </c>
      <c r="K177" s="24">
        <f t="shared" si="12"/>
        <v>0.91194968553459121</v>
      </c>
      <c r="L177" t="str">
        <f>VLOOKUP(B177,товар!$A$1:$C$433,3,FALSE)</f>
        <v>Белый Злат</v>
      </c>
      <c r="M177">
        <f t="shared" si="13"/>
        <v>269.70588235294116</v>
      </c>
      <c r="N177" s="30">
        <f>VLOOKUP(H177,клиенты!$A$1:$G$435,5,FALSE)</f>
        <v>44771</v>
      </c>
      <c r="O177">
        <f t="shared" si="14"/>
        <v>582</v>
      </c>
    </row>
    <row r="178" spans="1:15" x14ac:dyDescent="0.3">
      <c r="A178">
        <v>177</v>
      </c>
      <c r="B178">
        <v>432</v>
      </c>
      <c r="C178">
        <v>305</v>
      </c>
      <c r="D178">
        <v>3</v>
      </c>
      <c r="E178">
        <f t="shared" si="10"/>
        <v>915</v>
      </c>
      <c r="F178" s="30">
        <v>45413</v>
      </c>
      <c r="G178" t="s">
        <v>29</v>
      </c>
      <c r="H178">
        <v>44</v>
      </c>
      <c r="I178" t="str">
        <f>VLOOKUP(B178,товар!$A$1:$C$433,2,FALSE)</f>
        <v>Макароны</v>
      </c>
      <c r="J178" s="23">
        <f t="shared" si="11"/>
        <v>265.47674418604652</v>
      </c>
      <c r="K178" s="24">
        <f t="shared" si="12"/>
        <v>0.14887652752836056</v>
      </c>
      <c r="L178" t="str">
        <f>VLOOKUP(B178,товар!$A$1:$C$433,3,FALSE)</f>
        <v>Борилла</v>
      </c>
      <c r="M178">
        <f t="shared" si="13"/>
        <v>236.27586206896552</v>
      </c>
      <c r="N178" s="30">
        <f>VLOOKUP(H178,клиенты!$A$1:$G$435,5,FALSE)</f>
        <v>44701</v>
      </c>
      <c r="O178">
        <f t="shared" si="14"/>
        <v>712</v>
      </c>
    </row>
    <row r="179" spans="1:15" x14ac:dyDescent="0.3">
      <c r="A179">
        <v>178</v>
      </c>
      <c r="B179">
        <v>159</v>
      </c>
      <c r="C179">
        <v>173</v>
      </c>
      <c r="D179">
        <v>4</v>
      </c>
      <c r="E179">
        <f t="shared" si="10"/>
        <v>692</v>
      </c>
      <c r="F179" s="30">
        <v>45175</v>
      </c>
      <c r="G179" t="s">
        <v>17</v>
      </c>
      <c r="H179">
        <v>416</v>
      </c>
      <c r="I179" t="str">
        <f>VLOOKUP(B179,товар!$A$1:$C$433,2,FALSE)</f>
        <v>Крупа</v>
      </c>
      <c r="J179" s="23">
        <f t="shared" si="11"/>
        <v>255.11627906976744</v>
      </c>
      <c r="K179" s="24">
        <f t="shared" si="12"/>
        <v>-0.32187784867821334</v>
      </c>
      <c r="L179" t="str">
        <f>VLOOKUP(B179,товар!$A$1:$C$433,3,FALSE)</f>
        <v>Националь</v>
      </c>
      <c r="M179">
        <f t="shared" si="13"/>
        <v>274.28571428571428</v>
      </c>
      <c r="N179" s="30">
        <f>VLOOKUP(H179,клиенты!$A$1:$G$435,5,FALSE)</f>
        <v>44703</v>
      </c>
      <c r="O179">
        <f t="shared" si="14"/>
        <v>472</v>
      </c>
    </row>
    <row r="180" spans="1:15" x14ac:dyDescent="0.3">
      <c r="A180">
        <v>179</v>
      </c>
      <c r="B180">
        <v>197</v>
      </c>
      <c r="C180">
        <v>177</v>
      </c>
      <c r="D180">
        <v>2</v>
      </c>
      <c r="E180">
        <f t="shared" si="10"/>
        <v>354</v>
      </c>
      <c r="F180" s="30">
        <v>45165</v>
      </c>
      <c r="G180" t="s">
        <v>30</v>
      </c>
      <c r="H180">
        <v>153</v>
      </c>
      <c r="I180" t="str">
        <f>VLOOKUP(B180,товар!$A$1:$C$433,2,FALSE)</f>
        <v>Печенье</v>
      </c>
      <c r="J180" s="23">
        <f t="shared" si="11"/>
        <v>283.468085106383</v>
      </c>
      <c r="K180" s="24">
        <f t="shared" si="12"/>
        <v>-0.37559108308939437</v>
      </c>
      <c r="L180" t="str">
        <f>VLOOKUP(B180,товар!$A$1:$C$433,3,FALSE)</f>
        <v>Юбилейное</v>
      </c>
      <c r="M180">
        <f t="shared" si="13"/>
        <v>232.44444444444446</v>
      </c>
      <c r="N180" s="30">
        <f>VLOOKUP(H180,клиенты!$A$1:$G$435,5,FALSE)</f>
        <v>44802</v>
      </c>
      <c r="O180">
        <f t="shared" si="14"/>
        <v>363</v>
      </c>
    </row>
    <row r="181" spans="1:15" x14ac:dyDescent="0.3">
      <c r="A181">
        <v>180</v>
      </c>
      <c r="B181">
        <v>110</v>
      </c>
      <c r="C181">
        <v>261</v>
      </c>
      <c r="D181">
        <v>1</v>
      </c>
      <c r="E181">
        <f t="shared" si="10"/>
        <v>261</v>
      </c>
      <c r="F181" s="30">
        <v>45325</v>
      </c>
      <c r="G181" t="s">
        <v>28</v>
      </c>
      <c r="H181">
        <v>223</v>
      </c>
      <c r="I181" t="str">
        <f>VLOOKUP(B181,товар!$A$1:$C$433,2,FALSE)</f>
        <v>Макароны</v>
      </c>
      <c r="J181" s="23">
        <f t="shared" si="11"/>
        <v>265.47674418604652</v>
      </c>
      <c r="K181" s="24">
        <f t="shared" si="12"/>
        <v>-1.6863037098681644E-2</v>
      </c>
      <c r="L181" t="str">
        <f>VLOOKUP(B181,товар!$A$1:$C$433,3,FALSE)</f>
        <v>Паста Зара</v>
      </c>
      <c r="M181">
        <f t="shared" si="13"/>
        <v>276.67567567567568</v>
      </c>
      <c r="N181" s="30">
        <f>VLOOKUP(H181,клиенты!$A$1:$G$435,5,FALSE)</f>
        <v>44893</v>
      </c>
      <c r="O181">
        <f t="shared" si="14"/>
        <v>432</v>
      </c>
    </row>
    <row r="182" spans="1:15" x14ac:dyDescent="0.3">
      <c r="A182">
        <v>181</v>
      </c>
      <c r="B182">
        <v>288</v>
      </c>
      <c r="C182">
        <v>198</v>
      </c>
      <c r="D182">
        <v>5</v>
      </c>
      <c r="E182">
        <f t="shared" si="10"/>
        <v>990</v>
      </c>
      <c r="F182" s="30">
        <v>45212</v>
      </c>
      <c r="G182" t="s">
        <v>33</v>
      </c>
      <c r="H182">
        <v>74</v>
      </c>
      <c r="I182" t="str">
        <f>VLOOKUP(B182,товар!$A$1:$C$433,2,FALSE)</f>
        <v>Сыр</v>
      </c>
      <c r="J182" s="23">
        <f t="shared" si="11"/>
        <v>262.63492063492066</v>
      </c>
      <c r="K182" s="24">
        <f t="shared" si="12"/>
        <v>-0.24610177686449908</v>
      </c>
      <c r="L182" t="str">
        <f>VLOOKUP(B182,товар!$A$1:$C$433,3,FALSE)</f>
        <v>Hochland</v>
      </c>
      <c r="M182">
        <f t="shared" si="13"/>
        <v>168</v>
      </c>
      <c r="N182" s="30">
        <f>VLOOKUP(H182,клиенты!$A$1:$G$435,5,FALSE)</f>
        <v>44857</v>
      </c>
      <c r="O182">
        <f t="shared" si="14"/>
        <v>355</v>
      </c>
    </row>
    <row r="183" spans="1:15" x14ac:dyDescent="0.3">
      <c r="A183">
        <v>182</v>
      </c>
      <c r="B183">
        <v>7</v>
      </c>
      <c r="C183">
        <v>114</v>
      </c>
      <c r="D183">
        <v>3</v>
      </c>
      <c r="E183">
        <f t="shared" si="10"/>
        <v>342</v>
      </c>
      <c r="F183" s="30">
        <v>45244</v>
      </c>
      <c r="G183" t="s">
        <v>29</v>
      </c>
      <c r="H183">
        <v>180</v>
      </c>
      <c r="I183" t="str">
        <f>VLOOKUP(B183,товар!$A$1:$C$433,2,FALSE)</f>
        <v>Сыр</v>
      </c>
      <c r="J183" s="23">
        <f t="shared" si="11"/>
        <v>262.63492063492066</v>
      </c>
      <c r="K183" s="24">
        <f t="shared" si="12"/>
        <v>-0.56593738667956006</v>
      </c>
      <c r="L183" t="str">
        <f>VLOOKUP(B183,товар!$A$1:$C$433,3,FALSE)</f>
        <v>President</v>
      </c>
      <c r="M183">
        <f t="shared" si="13"/>
        <v>238.72222222222223</v>
      </c>
      <c r="N183" s="30">
        <f>VLOOKUP(H183,клиенты!$A$1:$G$435,5,FALSE)</f>
        <v>44616</v>
      </c>
      <c r="O183">
        <f t="shared" si="14"/>
        <v>628</v>
      </c>
    </row>
    <row r="184" spans="1:15" x14ac:dyDescent="0.3">
      <c r="A184">
        <v>183</v>
      </c>
      <c r="B184">
        <v>385</v>
      </c>
      <c r="C184">
        <v>427</v>
      </c>
      <c r="D184">
        <v>3</v>
      </c>
      <c r="E184">
        <f t="shared" si="10"/>
        <v>1281</v>
      </c>
      <c r="F184" s="30">
        <v>44942</v>
      </c>
      <c r="G184" t="s">
        <v>34</v>
      </c>
      <c r="H184">
        <v>359</v>
      </c>
      <c r="I184" t="str">
        <f>VLOOKUP(B184,товар!$A$1:$C$433,2,FALSE)</f>
        <v>Макароны</v>
      </c>
      <c r="J184" s="23">
        <f t="shared" si="11"/>
        <v>265.47674418604652</v>
      </c>
      <c r="K184" s="24">
        <f t="shared" si="12"/>
        <v>0.60842713853970465</v>
      </c>
      <c r="L184" t="str">
        <f>VLOOKUP(B184,товар!$A$1:$C$433,3,FALSE)</f>
        <v>Макфа</v>
      </c>
      <c r="M184">
        <f t="shared" si="13"/>
        <v>329.27272727272725</v>
      </c>
      <c r="N184" s="30">
        <f>VLOOKUP(H184,клиенты!$A$1:$G$435,5,FALSE)</f>
        <v>44584</v>
      </c>
      <c r="O184">
        <f t="shared" si="14"/>
        <v>358</v>
      </c>
    </row>
    <row r="185" spans="1:15" x14ac:dyDescent="0.3">
      <c r="A185">
        <v>184</v>
      </c>
      <c r="B185">
        <v>493</v>
      </c>
      <c r="C185">
        <v>376</v>
      </c>
      <c r="D185">
        <v>1</v>
      </c>
      <c r="E185">
        <f t="shared" si="10"/>
        <v>376</v>
      </c>
      <c r="F185" s="30">
        <v>45253</v>
      </c>
      <c r="G185" t="s">
        <v>15</v>
      </c>
      <c r="H185">
        <v>134</v>
      </c>
      <c r="I185" t="str">
        <f>VLOOKUP(B185,товар!$A$1:$C$433,2,FALSE)</f>
        <v>Овощи</v>
      </c>
      <c r="J185" s="23">
        <f t="shared" si="11"/>
        <v>250.48780487804879</v>
      </c>
      <c r="K185" s="24">
        <f t="shared" si="12"/>
        <v>0.50107108081791618</v>
      </c>
      <c r="L185" t="str">
        <f>VLOOKUP(B185,товар!$A$1:$C$433,3,FALSE)</f>
        <v>Овощной ряд</v>
      </c>
      <c r="M185">
        <f t="shared" si="13"/>
        <v>303.8235294117647</v>
      </c>
      <c r="N185" s="30">
        <f>VLOOKUP(H185,клиенты!$A$1:$G$435,5,FALSE)</f>
        <v>44753</v>
      </c>
      <c r="O185">
        <f t="shared" si="14"/>
        <v>500</v>
      </c>
    </row>
    <row r="186" spans="1:15" x14ac:dyDescent="0.3">
      <c r="A186">
        <v>185</v>
      </c>
      <c r="B186">
        <v>158</v>
      </c>
      <c r="C186">
        <v>51</v>
      </c>
      <c r="D186">
        <v>2</v>
      </c>
      <c r="E186">
        <f t="shared" si="10"/>
        <v>102</v>
      </c>
      <c r="F186" s="30">
        <v>45325</v>
      </c>
      <c r="G186" t="s">
        <v>18</v>
      </c>
      <c r="H186">
        <v>159</v>
      </c>
      <c r="I186" t="str">
        <f>VLOOKUP(B186,товар!$A$1:$C$433,2,FALSE)</f>
        <v>Сахар</v>
      </c>
      <c r="J186" s="23">
        <f t="shared" si="11"/>
        <v>252.76271186440678</v>
      </c>
      <c r="K186" s="24">
        <f t="shared" si="12"/>
        <v>-0.7982297324481995</v>
      </c>
      <c r="L186" t="str">
        <f>VLOOKUP(B186,товар!$A$1:$C$433,3,FALSE)</f>
        <v>Сладов</v>
      </c>
      <c r="M186">
        <f t="shared" si="13"/>
        <v>240.26666666666668</v>
      </c>
      <c r="N186" s="30">
        <f>VLOOKUP(H186,клиенты!$A$1:$G$435,5,FALSE)</f>
        <v>44686</v>
      </c>
      <c r="O186">
        <f t="shared" si="14"/>
        <v>639</v>
      </c>
    </row>
    <row r="187" spans="1:15" x14ac:dyDescent="0.3">
      <c r="A187">
        <v>186</v>
      </c>
      <c r="B187">
        <v>446</v>
      </c>
      <c r="C187">
        <v>316</v>
      </c>
      <c r="D187">
        <v>2</v>
      </c>
      <c r="E187">
        <f t="shared" si="10"/>
        <v>632</v>
      </c>
      <c r="F187" s="30">
        <v>45029</v>
      </c>
      <c r="G187" t="s">
        <v>23</v>
      </c>
      <c r="H187">
        <v>328</v>
      </c>
      <c r="I187" t="str">
        <f>VLOOKUP(B187,товар!$A$1:$C$433,2,FALSE)</f>
        <v>Чипсы</v>
      </c>
      <c r="J187" s="23">
        <f t="shared" si="11"/>
        <v>273.72549019607845</v>
      </c>
      <c r="K187" s="24">
        <f t="shared" si="12"/>
        <v>0.15444126074498565</v>
      </c>
      <c r="L187" t="str">
        <f>VLOOKUP(B187,товар!$A$1:$C$433,3,FALSE)</f>
        <v>Lay's</v>
      </c>
      <c r="M187">
        <f t="shared" si="13"/>
        <v>320.57142857142856</v>
      </c>
      <c r="N187" s="30">
        <f>VLOOKUP(H187,клиенты!$A$1:$G$435,5,FALSE)</f>
        <v>44568</v>
      </c>
      <c r="O187">
        <f t="shared" si="14"/>
        <v>461</v>
      </c>
    </row>
    <row r="188" spans="1:15" x14ac:dyDescent="0.3">
      <c r="A188">
        <v>187</v>
      </c>
      <c r="B188">
        <v>428</v>
      </c>
      <c r="C188">
        <v>156</v>
      </c>
      <c r="D188">
        <v>1</v>
      </c>
      <c r="E188">
        <f t="shared" si="10"/>
        <v>156</v>
      </c>
      <c r="F188" s="30">
        <v>45421</v>
      </c>
      <c r="G188" t="s">
        <v>23</v>
      </c>
      <c r="H188">
        <v>325</v>
      </c>
      <c r="I188" t="str">
        <f>VLOOKUP(B188,товар!$A$1:$C$433,2,FALSE)</f>
        <v>Конфеты</v>
      </c>
      <c r="J188" s="23">
        <f t="shared" si="11"/>
        <v>267.85483870967744</v>
      </c>
      <c r="K188" s="24">
        <f t="shared" si="12"/>
        <v>-0.41759499006443068</v>
      </c>
      <c r="L188" t="str">
        <f>VLOOKUP(B188,товар!$A$1:$C$433,3,FALSE)</f>
        <v>Бабаевский</v>
      </c>
      <c r="M188">
        <f t="shared" si="13"/>
        <v>250.25925925925927</v>
      </c>
      <c r="N188" s="30">
        <f>VLOOKUP(H188,клиенты!$A$1:$G$435,5,FALSE)</f>
        <v>44875</v>
      </c>
      <c r="O188">
        <f t="shared" si="14"/>
        <v>546</v>
      </c>
    </row>
    <row r="189" spans="1:15" x14ac:dyDescent="0.3">
      <c r="A189">
        <v>188</v>
      </c>
      <c r="B189">
        <v>192</v>
      </c>
      <c r="C189">
        <v>215</v>
      </c>
      <c r="D189">
        <v>1</v>
      </c>
      <c r="E189">
        <f t="shared" si="10"/>
        <v>215</v>
      </c>
      <c r="F189" s="30">
        <v>45411</v>
      </c>
      <c r="G189" t="s">
        <v>33</v>
      </c>
      <c r="H189">
        <v>106</v>
      </c>
      <c r="I189" t="str">
        <f>VLOOKUP(B189,товар!$A$1:$C$433,2,FALSE)</f>
        <v>Мясо</v>
      </c>
      <c r="J189" s="23">
        <f t="shared" si="11"/>
        <v>271.74545454545455</v>
      </c>
      <c r="K189" s="24">
        <f t="shared" si="12"/>
        <v>-0.2088184129532985</v>
      </c>
      <c r="L189" t="str">
        <f>VLOOKUP(B189,товар!$A$1:$C$433,3,FALSE)</f>
        <v>Снежана</v>
      </c>
      <c r="M189">
        <f t="shared" si="13"/>
        <v>272.35294117647061</v>
      </c>
      <c r="N189" s="30">
        <f>VLOOKUP(H189,клиенты!$A$1:$G$435,5,FALSE)</f>
        <v>44858</v>
      </c>
      <c r="O189">
        <f t="shared" si="14"/>
        <v>553</v>
      </c>
    </row>
    <row r="190" spans="1:15" x14ac:dyDescent="0.3">
      <c r="A190">
        <v>189</v>
      </c>
      <c r="B190">
        <v>41</v>
      </c>
      <c r="C190">
        <v>59</v>
      </c>
      <c r="D190">
        <v>1</v>
      </c>
      <c r="E190">
        <f t="shared" si="10"/>
        <v>59</v>
      </c>
      <c r="F190" s="30">
        <v>45000</v>
      </c>
      <c r="G190" t="s">
        <v>16</v>
      </c>
      <c r="H190">
        <v>65</v>
      </c>
      <c r="I190" t="str">
        <f>VLOOKUP(B190,товар!$A$1:$C$433,2,FALSE)</f>
        <v>Рис</v>
      </c>
      <c r="J190" s="23">
        <f t="shared" si="11"/>
        <v>258.375</v>
      </c>
      <c r="K190" s="24">
        <f t="shared" si="12"/>
        <v>-0.77164973391388481</v>
      </c>
      <c r="L190" t="str">
        <f>VLOOKUP(B190,товар!$A$1:$C$433,3,FALSE)</f>
        <v>Агро-Альянс</v>
      </c>
      <c r="M190">
        <f t="shared" si="13"/>
        <v>317.85714285714283</v>
      </c>
      <c r="N190" s="30">
        <f>VLOOKUP(H190,клиенты!$A$1:$G$435,5,FALSE)</f>
        <v>44623</v>
      </c>
      <c r="O190">
        <f t="shared" si="14"/>
        <v>377</v>
      </c>
    </row>
    <row r="191" spans="1:15" x14ac:dyDescent="0.3">
      <c r="A191">
        <v>190</v>
      </c>
      <c r="B191">
        <v>69</v>
      </c>
      <c r="C191">
        <v>88</v>
      </c>
      <c r="D191">
        <v>4</v>
      </c>
      <c r="E191">
        <f t="shared" si="10"/>
        <v>352</v>
      </c>
      <c r="F191" s="30">
        <v>45309</v>
      </c>
      <c r="G191" t="s">
        <v>19</v>
      </c>
      <c r="H191">
        <v>346</v>
      </c>
      <c r="I191" t="str">
        <f>VLOOKUP(B191,товар!$A$1:$C$433,2,FALSE)</f>
        <v>Чипсы</v>
      </c>
      <c r="J191" s="23">
        <f t="shared" si="11"/>
        <v>273.72549019607845</v>
      </c>
      <c r="K191" s="24">
        <f t="shared" si="12"/>
        <v>-0.67851002865329513</v>
      </c>
      <c r="L191" t="str">
        <f>VLOOKUP(B191,товар!$A$1:$C$433,3,FALSE)</f>
        <v>Estrella</v>
      </c>
      <c r="M191">
        <f t="shared" si="13"/>
        <v>266.27272727272725</v>
      </c>
      <c r="N191" s="30">
        <f>VLOOKUP(H191,клиенты!$A$1:$G$435,5,FALSE)</f>
        <v>44636</v>
      </c>
      <c r="O191">
        <f t="shared" si="14"/>
        <v>673</v>
      </c>
    </row>
    <row r="192" spans="1:15" x14ac:dyDescent="0.3">
      <c r="A192">
        <v>191</v>
      </c>
      <c r="B192">
        <v>270</v>
      </c>
      <c r="C192">
        <v>484</v>
      </c>
      <c r="D192">
        <v>4</v>
      </c>
      <c r="E192">
        <f t="shared" si="10"/>
        <v>1936</v>
      </c>
      <c r="F192" s="30">
        <v>45084</v>
      </c>
      <c r="G192" t="s">
        <v>15</v>
      </c>
      <c r="H192">
        <v>457</v>
      </c>
      <c r="I192" t="str">
        <f>VLOOKUP(B192,товар!$A$1:$C$433,2,FALSE)</f>
        <v>Соль</v>
      </c>
      <c r="J192" s="23">
        <f t="shared" si="11"/>
        <v>264.8679245283019</v>
      </c>
      <c r="K192" s="24">
        <f t="shared" si="12"/>
        <v>0.82732582989029768</v>
      </c>
      <c r="L192" t="str">
        <f>VLOOKUP(B192,товар!$A$1:$C$433,3,FALSE)</f>
        <v>Славянская</v>
      </c>
      <c r="M192">
        <f t="shared" si="13"/>
        <v>236.91666666666666</v>
      </c>
      <c r="N192" s="30">
        <f>VLOOKUP(H192,клиенты!$A$1:$G$435,5,FALSE)</f>
        <v>44595</v>
      </c>
      <c r="O192">
        <f t="shared" si="14"/>
        <v>489</v>
      </c>
    </row>
    <row r="193" spans="1:15" x14ac:dyDescent="0.3">
      <c r="A193">
        <v>192</v>
      </c>
      <c r="B193">
        <v>345</v>
      </c>
      <c r="C193">
        <v>257</v>
      </c>
      <c r="D193">
        <v>1</v>
      </c>
      <c r="E193">
        <f t="shared" si="10"/>
        <v>257</v>
      </c>
      <c r="F193" s="30">
        <v>44969</v>
      </c>
      <c r="G193" t="s">
        <v>16</v>
      </c>
      <c r="H193">
        <v>255</v>
      </c>
      <c r="I193" t="str">
        <f>VLOOKUP(B193,товар!$A$1:$C$433,2,FALSE)</f>
        <v>Конфеты</v>
      </c>
      <c r="J193" s="23">
        <f t="shared" si="11"/>
        <v>267.85483870967744</v>
      </c>
      <c r="K193" s="24">
        <f t="shared" si="12"/>
        <v>-4.0525079785632578E-2</v>
      </c>
      <c r="L193" t="str">
        <f>VLOOKUP(B193,товар!$A$1:$C$433,3,FALSE)</f>
        <v>Рот Фронт</v>
      </c>
      <c r="M193">
        <f t="shared" si="13"/>
        <v>288.23809523809524</v>
      </c>
      <c r="N193" s="30">
        <f>VLOOKUP(H193,клиенты!$A$1:$G$435,5,FALSE)</f>
        <v>44793</v>
      </c>
      <c r="O193">
        <f t="shared" si="14"/>
        <v>176</v>
      </c>
    </row>
    <row r="194" spans="1:15" x14ac:dyDescent="0.3">
      <c r="A194">
        <v>193</v>
      </c>
      <c r="B194">
        <v>348</v>
      </c>
      <c r="C194">
        <v>497</v>
      </c>
      <c r="D194">
        <v>3</v>
      </c>
      <c r="E194">
        <f t="shared" ref="E194:E257" si="15">C194*D194</f>
        <v>1491</v>
      </c>
      <c r="F194" s="30">
        <v>45276</v>
      </c>
      <c r="G194" t="s">
        <v>15</v>
      </c>
      <c r="H194">
        <v>42</v>
      </c>
      <c r="I194" t="str">
        <f>VLOOKUP(B194,товар!$A$1:$C$433,2,FALSE)</f>
        <v>Чипсы</v>
      </c>
      <c r="J194" s="23">
        <f t="shared" ref="J194:J257" si="16">AVERAGEIF($I$2:$I$1001,I194,$C$2:$C$1001)</f>
        <v>273.72549019607845</v>
      </c>
      <c r="K194" s="24">
        <f t="shared" ref="K194:K257" si="17">C194/J194-1</f>
        <v>0.81568767908309447</v>
      </c>
      <c r="L194" t="str">
        <f>VLOOKUP(B194,товар!$A$1:$C$433,3,FALSE)</f>
        <v>Estrella</v>
      </c>
      <c r="M194">
        <f t="shared" ref="M194:M257" si="18">AVERAGEIFS($C$2:$C$1001,$I$2:$I$1001,I194,$L$2:$L$1001,L194)</f>
        <v>266.27272727272725</v>
      </c>
      <c r="N194" s="30">
        <f>VLOOKUP(H194,клиенты!$A$1:$G$435,5,FALSE)</f>
        <v>44783</v>
      </c>
      <c r="O194">
        <f t="shared" ref="O194:O257" si="19">F194-N194</f>
        <v>493</v>
      </c>
    </row>
    <row r="195" spans="1:15" x14ac:dyDescent="0.3">
      <c r="A195">
        <v>194</v>
      </c>
      <c r="B195">
        <v>102</v>
      </c>
      <c r="C195">
        <v>115</v>
      </c>
      <c r="D195">
        <v>2</v>
      </c>
      <c r="E195">
        <f t="shared" si="15"/>
        <v>230</v>
      </c>
      <c r="F195" s="30">
        <v>45380</v>
      </c>
      <c r="G195" t="s">
        <v>23</v>
      </c>
      <c r="H195">
        <v>385</v>
      </c>
      <c r="I195" t="str">
        <f>VLOOKUP(B195,товар!$A$1:$C$433,2,FALSE)</f>
        <v>Печенье</v>
      </c>
      <c r="J195" s="23">
        <f t="shared" si="16"/>
        <v>283.468085106383</v>
      </c>
      <c r="K195" s="24">
        <f t="shared" si="17"/>
        <v>-0.59431059070779857</v>
      </c>
      <c r="L195" t="str">
        <f>VLOOKUP(B195,товар!$A$1:$C$433,3,FALSE)</f>
        <v>Белогорье</v>
      </c>
      <c r="M195">
        <f t="shared" si="18"/>
        <v>249.5</v>
      </c>
      <c r="N195" s="30">
        <f>VLOOKUP(H195,клиенты!$A$1:$G$435,5,FALSE)</f>
        <v>44753</v>
      </c>
      <c r="O195">
        <f t="shared" si="19"/>
        <v>627</v>
      </c>
    </row>
    <row r="196" spans="1:15" x14ac:dyDescent="0.3">
      <c r="A196">
        <v>195</v>
      </c>
      <c r="B196">
        <v>321</v>
      </c>
      <c r="C196">
        <v>368</v>
      </c>
      <c r="D196">
        <v>1</v>
      </c>
      <c r="E196">
        <f t="shared" si="15"/>
        <v>368</v>
      </c>
      <c r="F196" s="30">
        <v>45193</v>
      </c>
      <c r="G196" t="s">
        <v>32</v>
      </c>
      <c r="H196">
        <v>436</v>
      </c>
      <c r="I196" t="str">
        <f>VLOOKUP(B196,товар!$A$1:$C$433,2,FALSE)</f>
        <v>Мясо</v>
      </c>
      <c r="J196" s="23">
        <f t="shared" si="16"/>
        <v>271.74545454545455</v>
      </c>
      <c r="K196" s="24">
        <f t="shared" si="17"/>
        <v>0.35420848387528436</v>
      </c>
      <c r="L196" t="str">
        <f>VLOOKUP(B196,товар!$A$1:$C$433,3,FALSE)</f>
        <v>Сава</v>
      </c>
      <c r="M196">
        <f t="shared" si="18"/>
        <v>212.8125</v>
      </c>
      <c r="N196" s="30">
        <f>VLOOKUP(H196,клиенты!$A$1:$G$435,5,FALSE)</f>
        <v>44683</v>
      </c>
      <c r="O196">
        <f t="shared" si="19"/>
        <v>510</v>
      </c>
    </row>
    <row r="197" spans="1:15" x14ac:dyDescent="0.3">
      <c r="A197">
        <v>196</v>
      </c>
      <c r="B197">
        <v>176</v>
      </c>
      <c r="C197">
        <v>113</v>
      </c>
      <c r="D197">
        <v>4</v>
      </c>
      <c r="E197">
        <f t="shared" si="15"/>
        <v>452</v>
      </c>
      <c r="F197" s="30">
        <v>45335</v>
      </c>
      <c r="G197" t="s">
        <v>29</v>
      </c>
      <c r="H197">
        <v>175</v>
      </c>
      <c r="I197" t="str">
        <f>VLOOKUP(B197,товар!$A$1:$C$433,2,FALSE)</f>
        <v>Сахар</v>
      </c>
      <c r="J197" s="23">
        <f t="shared" si="16"/>
        <v>252.76271186440678</v>
      </c>
      <c r="K197" s="24">
        <f t="shared" si="17"/>
        <v>-0.55294038758130493</v>
      </c>
      <c r="L197" t="str">
        <f>VLOOKUP(B197,товар!$A$1:$C$433,3,FALSE)</f>
        <v>Продимекс</v>
      </c>
      <c r="M197">
        <f t="shared" si="18"/>
        <v>240.5</v>
      </c>
      <c r="N197" s="30">
        <f>VLOOKUP(H197,клиенты!$A$1:$G$435,5,FALSE)</f>
        <v>44565</v>
      </c>
      <c r="O197">
        <f t="shared" si="19"/>
        <v>770</v>
      </c>
    </row>
    <row r="198" spans="1:15" x14ac:dyDescent="0.3">
      <c r="A198">
        <v>197</v>
      </c>
      <c r="B198">
        <v>341</v>
      </c>
      <c r="C198">
        <v>194</v>
      </c>
      <c r="D198">
        <v>3</v>
      </c>
      <c r="E198">
        <f t="shared" si="15"/>
        <v>582</v>
      </c>
      <c r="F198" s="30">
        <v>45255</v>
      </c>
      <c r="G198" t="s">
        <v>22</v>
      </c>
      <c r="H198">
        <v>274</v>
      </c>
      <c r="I198" t="str">
        <f>VLOOKUP(B198,товар!$A$1:$C$433,2,FALSE)</f>
        <v>Макароны</v>
      </c>
      <c r="J198" s="23">
        <f t="shared" si="16"/>
        <v>265.47674418604652</v>
      </c>
      <c r="K198" s="24">
        <f t="shared" si="17"/>
        <v>-0.26923919232622318</v>
      </c>
      <c r="L198" t="str">
        <f>VLOOKUP(B198,товар!$A$1:$C$433,3,FALSE)</f>
        <v>Макфа</v>
      </c>
      <c r="M198">
        <f t="shared" si="18"/>
        <v>329.27272727272725</v>
      </c>
      <c r="N198" s="30">
        <f>VLOOKUP(H198,клиенты!$A$1:$G$435,5,FALSE)</f>
        <v>44607</v>
      </c>
      <c r="O198">
        <f t="shared" si="19"/>
        <v>648</v>
      </c>
    </row>
    <row r="199" spans="1:15" x14ac:dyDescent="0.3">
      <c r="A199">
        <v>198</v>
      </c>
      <c r="B199">
        <v>473</v>
      </c>
      <c r="C199">
        <v>171</v>
      </c>
      <c r="D199">
        <v>4</v>
      </c>
      <c r="E199">
        <f t="shared" si="15"/>
        <v>684</v>
      </c>
      <c r="F199" s="30">
        <v>45058</v>
      </c>
      <c r="G199" t="s">
        <v>34</v>
      </c>
      <c r="H199">
        <v>266</v>
      </c>
      <c r="I199" t="str">
        <f>VLOOKUP(B199,товар!$A$1:$C$433,2,FALSE)</f>
        <v>Хлеб</v>
      </c>
      <c r="J199" s="23">
        <f t="shared" si="16"/>
        <v>300.31818181818181</v>
      </c>
      <c r="K199" s="24">
        <f t="shared" si="17"/>
        <v>-0.43060390494929623</v>
      </c>
      <c r="L199" t="str">
        <f>VLOOKUP(B199,товар!$A$1:$C$433,3,FALSE)</f>
        <v>Хлебный Дом</v>
      </c>
      <c r="M199">
        <f t="shared" si="18"/>
        <v>281.73333333333335</v>
      </c>
      <c r="N199" s="30">
        <f>VLOOKUP(H199,клиенты!$A$1:$G$435,5,FALSE)</f>
        <v>44795</v>
      </c>
      <c r="O199">
        <f t="shared" si="19"/>
        <v>263</v>
      </c>
    </row>
    <row r="200" spans="1:15" x14ac:dyDescent="0.3">
      <c r="A200">
        <v>199</v>
      </c>
      <c r="B200">
        <v>482</v>
      </c>
      <c r="C200">
        <v>321</v>
      </c>
      <c r="D200">
        <v>2</v>
      </c>
      <c r="E200">
        <f t="shared" si="15"/>
        <v>642</v>
      </c>
      <c r="F200" s="30">
        <v>44942</v>
      </c>
      <c r="G200" t="s">
        <v>17</v>
      </c>
      <c r="H200">
        <v>481</v>
      </c>
      <c r="I200" t="str">
        <f>VLOOKUP(B200,товар!$A$1:$C$433,2,FALSE)</f>
        <v>Крупа</v>
      </c>
      <c r="J200" s="23">
        <f t="shared" si="16"/>
        <v>255.11627906976744</v>
      </c>
      <c r="K200" s="24">
        <f t="shared" si="17"/>
        <v>0.25824977210574285</v>
      </c>
      <c r="L200" t="str">
        <f>VLOOKUP(B200,товар!$A$1:$C$433,3,FALSE)</f>
        <v>Мистраль</v>
      </c>
      <c r="M200">
        <f t="shared" si="18"/>
        <v>250.30769230769232</v>
      </c>
      <c r="N200" s="30">
        <f>VLOOKUP(H200,клиенты!$A$1:$G$435,5,FALSE)</f>
        <v>44756</v>
      </c>
      <c r="O200">
        <f t="shared" si="19"/>
        <v>186</v>
      </c>
    </row>
    <row r="201" spans="1:15" x14ac:dyDescent="0.3">
      <c r="A201">
        <v>200</v>
      </c>
      <c r="B201">
        <v>169</v>
      </c>
      <c r="C201">
        <v>386</v>
      </c>
      <c r="D201">
        <v>5</v>
      </c>
      <c r="E201">
        <f t="shared" si="15"/>
        <v>1930</v>
      </c>
      <c r="F201" s="30">
        <v>44967</v>
      </c>
      <c r="G201" t="s">
        <v>25</v>
      </c>
      <c r="H201">
        <v>59</v>
      </c>
      <c r="I201" t="str">
        <f>VLOOKUP(B201,товар!$A$1:$C$433,2,FALSE)</f>
        <v>Фрукты</v>
      </c>
      <c r="J201" s="23">
        <f t="shared" si="16"/>
        <v>274.16279069767444</v>
      </c>
      <c r="K201" s="24">
        <f t="shared" si="17"/>
        <v>0.4079226397489184</v>
      </c>
      <c r="L201" t="str">
        <f>VLOOKUP(B201,товар!$A$1:$C$433,3,FALSE)</f>
        <v>Фруктовый Рай</v>
      </c>
      <c r="M201">
        <f t="shared" si="18"/>
        <v>258.30769230769232</v>
      </c>
      <c r="N201" s="30">
        <f>VLOOKUP(H201,клиенты!$A$1:$G$435,5,FALSE)</f>
        <v>44770</v>
      </c>
      <c r="O201">
        <f t="shared" si="19"/>
        <v>197</v>
      </c>
    </row>
    <row r="202" spans="1:15" x14ac:dyDescent="0.3">
      <c r="A202">
        <v>201</v>
      </c>
      <c r="B202">
        <v>397</v>
      </c>
      <c r="C202">
        <v>148</v>
      </c>
      <c r="D202">
        <v>1</v>
      </c>
      <c r="E202">
        <f t="shared" si="15"/>
        <v>148</v>
      </c>
      <c r="F202" s="30">
        <v>45010</v>
      </c>
      <c r="G202" t="s">
        <v>28</v>
      </c>
      <c r="H202">
        <v>47</v>
      </c>
      <c r="I202" t="str">
        <f>VLOOKUP(B202,товар!$A$1:$C$433,2,FALSE)</f>
        <v>Йогурт</v>
      </c>
      <c r="J202" s="23">
        <f t="shared" si="16"/>
        <v>263.25423728813558</v>
      </c>
      <c r="K202" s="24">
        <f t="shared" si="17"/>
        <v>-0.43780582024208081</v>
      </c>
      <c r="L202" t="str">
        <f>VLOOKUP(B202,товар!$A$1:$C$433,3,FALSE)</f>
        <v>Ростагроэкспорт</v>
      </c>
      <c r="M202">
        <f t="shared" si="18"/>
        <v>257.78260869565219</v>
      </c>
      <c r="N202" s="30">
        <f>VLOOKUP(H202,клиенты!$A$1:$G$435,5,FALSE)</f>
        <v>44693</v>
      </c>
      <c r="O202">
        <f t="shared" si="19"/>
        <v>317</v>
      </c>
    </row>
    <row r="203" spans="1:15" x14ac:dyDescent="0.3">
      <c r="A203">
        <v>202</v>
      </c>
      <c r="B203">
        <v>436</v>
      </c>
      <c r="C203">
        <v>291</v>
      </c>
      <c r="D203">
        <v>2</v>
      </c>
      <c r="E203">
        <f t="shared" si="15"/>
        <v>582</v>
      </c>
      <c r="F203" s="30">
        <v>45095</v>
      </c>
      <c r="G203" t="s">
        <v>28</v>
      </c>
      <c r="H203">
        <v>385</v>
      </c>
      <c r="I203" t="str">
        <f>VLOOKUP(B203,товар!$A$1:$C$433,2,FALSE)</f>
        <v>Овощи</v>
      </c>
      <c r="J203" s="23">
        <f t="shared" si="16"/>
        <v>250.48780487804879</v>
      </c>
      <c r="K203" s="24">
        <f t="shared" si="17"/>
        <v>0.16173320350535536</v>
      </c>
      <c r="L203" t="str">
        <f>VLOOKUP(B203,товар!$A$1:$C$433,3,FALSE)</f>
        <v>Гавриш</v>
      </c>
      <c r="M203">
        <f t="shared" si="18"/>
        <v>247.66666666666666</v>
      </c>
      <c r="N203" s="30">
        <f>VLOOKUP(H203,клиенты!$A$1:$G$435,5,FALSE)</f>
        <v>44753</v>
      </c>
      <c r="O203">
        <f t="shared" si="19"/>
        <v>342</v>
      </c>
    </row>
    <row r="204" spans="1:15" x14ac:dyDescent="0.3">
      <c r="A204">
        <v>203</v>
      </c>
      <c r="B204">
        <v>369</v>
      </c>
      <c r="C204">
        <v>74</v>
      </c>
      <c r="D204">
        <v>1</v>
      </c>
      <c r="E204">
        <f t="shared" si="15"/>
        <v>74</v>
      </c>
      <c r="F204" s="30">
        <v>45208</v>
      </c>
      <c r="G204" t="s">
        <v>25</v>
      </c>
      <c r="H204">
        <v>411</v>
      </c>
      <c r="I204" t="str">
        <f>VLOOKUP(B204,товар!$A$1:$C$433,2,FALSE)</f>
        <v>Молоко</v>
      </c>
      <c r="J204" s="23">
        <f t="shared" si="16"/>
        <v>294.95238095238096</v>
      </c>
      <c r="K204" s="24">
        <f t="shared" si="17"/>
        <v>-0.74911204391346464</v>
      </c>
      <c r="L204" t="str">
        <f>VLOOKUP(B204,товар!$A$1:$C$433,3,FALSE)</f>
        <v>Домик в деревне</v>
      </c>
      <c r="M204">
        <f t="shared" si="18"/>
        <v>274.77777777777777</v>
      </c>
      <c r="N204" s="30">
        <f>VLOOKUP(H204,клиенты!$A$1:$G$435,5,FALSE)</f>
        <v>44673</v>
      </c>
      <c r="O204">
        <f t="shared" si="19"/>
        <v>535</v>
      </c>
    </row>
    <row r="205" spans="1:15" x14ac:dyDescent="0.3">
      <c r="A205">
        <v>204</v>
      </c>
      <c r="B205">
        <v>361</v>
      </c>
      <c r="C205">
        <v>245</v>
      </c>
      <c r="D205">
        <v>1</v>
      </c>
      <c r="E205">
        <f t="shared" si="15"/>
        <v>245</v>
      </c>
      <c r="F205" s="30">
        <v>45178</v>
      </c>
      <c r="G205" t="s">
        <v>31</v>
      </c>
      <c r="H205">
        <v>259</v>
      </c>
      <c r="I205" t="str">
        <f>VLOOKUP(B205,товар!$A$1:$C$433,2,FALSE)</f>
        <v>Мясо</v>
      </c>
      <c r="J205" s="23">
        <f t="shared" si="16"/>
        <v>271.74545454545455</v>
      </c>
      <c r="K205" s="24">
        <f t="shared" si="17"/>
        <v>-9.8420982202595986E-2</v>
      </c>
      <c r="L205" t="str">
        <f>VLOOKUP(B205,товар!$A$1:$C$433,3,FALSE)</f>
        <v>Сава</v>
      </c>
      <c r="M205">
        <f t="shared" si="18"/>
        <v>212.8125</v>
      </c>
      <c r="N205" s="30">
        <f>VLOOKUP(H205,клиенты!$A$1:$G$435,5,FALSE)</f>
        <v>44707</v>
      </c>
      <c r="O205">
        <f t="shared" si="19"/>
        <v>471</v>
      </c>
    </row>
    <row r="206" spans="1:15" x14ac:dyDescent="0.3">
      <c r="A206">
        <v>205</v>
      </c>
      <c r="B206">
        <v>226</v>
      </c>
      <c r="C206">
        <v>339</v>
      </c>
      <c r="D206">
        <v>4</v>
      </c>
      <c r="E206">
        <f t="shared" si="15"/>
        <v>1356</v>
      </c>
      <c r="F206" s="30">
        <v>45251</v>
      </c>
      <c r="G206" t="s">
        <v>22</v>
      </c>
      <c r="H206">
        <v>337</v>
      </c>
      <c r="I206" t="str">
        <f>VLOOKUP(B206,товар!$A$1:$C$433,2,FALSE)</f>
        <v>Сыр</v>
      </c>
      <c r="J206" s="23">
        <f t="shared" si="16"/>
        <v>262.63492063492066</v>
      </c>
      <c r="K206" s="24">
        <f t="shared" si="17"/>
        <v>0.29076513961078199</v>
      </c>
      <c r="L206" t="str">
        <f>VLOOKUP(B206,товар!$A$1:$C$433,3,FALSE)</f>
        <v>Карат</v>
      </c>
      <c r="M206">
        <f t="shared" si="18"/>
        <v>311.33333333333331</v>
      </c>
      <c r="N206" s="30">
        <f>VLOOKUP(H206,клиенты!$A$1:$G$435,5,FALSE)</f>
        <v>44875</v>
      </c>
      <c r="O206">
        <f t="shared" si="19"/>
        <v>376</v>
      </c>
    </row>
    <row r="207" spans="1:15" x14ac:dyDescent="0.3">
      <c r="A207">
        <v>206</v>
      </c>
      <c r="B207">
        <v>87</v>
      </c>
      <c r="C207">
        <v>487</v>
      </c>
      <c r="D207">
        <v>1</v>
      </c>
      <c r="E207">
        <f t="shared" si="15"/>
        <v>487</v>
      </c>
      <c r="F207" s="30">
        <v>45019</v>
      </c>
      <c r="G207" t="s">
        <v>24</v>
      </c>
      <c r="H207">
        <v>172</v>
      </c>
      <c r="I207" t="str">
        <f>VLOOKUP(B207,товар!$A$1:$C$433,2,FALSE)</f>
        <v>Кофе</v>
      </c>
      <c r="J207" s="23">
        <f t="shared" si="16"/>
        <v>249.02380952380952</v>
      </c>
      <c r="K207" s="24">
        <f t="shared" si="17"/>
        <v>0.95563629410077455</v>
      </c>
      <c r="L207" t="str">
        <f>VLOOKUP(B207,товар!$A$1:$C$433,3,FALSE)</f>
        <v>Jacobs</v>
      </c>
      <c r="M207">
        <f t="shared" si="18"/>
        <v>276.21052631578948</v>
      </c>
      <c r="N207" s="30">
        <f>VLOOKUP(H207,клиенты!$A$1:$G$435,5,FALSE)</f>
        <v>44737</v>
      </c>
      <c r="O207">
        <f t="shared" si="19"/>
        <v>282</v>
      </c>
    </row>
    <row r="208" spans="1:15" x14ac:dyDescent="0.3">
      <c r="A208">
        <v>207</v>
      </c>
      <c r="B208">
        <v>376</v>
      </c>
      <c r="C208">
        <v>335</v>
      </c>
      <c r="D208">
        <v>5</v>
      </c>
      <c r="E208">
        <f t="shared" si="15"/>
        <v>1675</v>
      </c>
      <c r="F208" s="30">
        <v>44983</v>
      </c>
      <c r="G208" t="s">
        <v>24</v>
      </c>
      <c r="H208">
        <v>130</v>
      </c>
      <c r="I208" t="str">
        <f>VLOOKUP(B208,товар!$A$1:$C$433,2,FALSE)</f>
        <v>Конфеты</v>
      </c>
      <c r="J208" s="23">
        <f t="shared" si="16"/>
        <v>267.85483870967744</v>
      </c>
      <c r="K208" s="24">
        <f t="shared" si="17"/>
        <v>0.25067742518215197</v>
      </c>
      <c r="L208" t="str">
        <f>VLOOKUP(B208,товар!$A$1:$C$433,3,FALSE)</f>
        <v>Красный Октябрь</v>
      </c>
      <c r="M208">
        <f t="shared" si="18"/>
        <v>273.625</v>
      </c>
      <c r="N208" s="30">
        <f>VLOOKUP(H208,клиенты!$A$1:$G$435,5,FALSE)</f>
        <v>44863</v>
      </c>
      <c r="O208">
        <f t="shared" si="19"/>
        <v>120</v>
      </c>
    </row>
    <row r="209" spans="1:15" x14ac:dyDescent="0.3">
      <c r="A209">
        <v>208</v>
      </c>
      <c r="B209">
        <v>255</v>
      </c>
      <c r="C209">
        <v>214</v>
      </c>
      <c r="D209">
        <v>2</v>
      </c>
      <c r="E209">
        <f t="shared" si="15"/>
        <v>428</v>
      </c>
      <c r="F209" s="30">
        <v>45031</v>
      </c>
      <c r="G209" t="s">
        <v>19</v>
      </c>
      <c r="H209">
        <v>354</v>
      </c>
      <c r="I209" t="str">
        <f>VLOOKUP(B209,товар!$A$1:$C$433,2,FALSE)</f>
        <v>Кофе</v>
      </c>
      <c r="J209" s="23">
        <f t="shared" si="16"/>
        <v>249.02380952380952</v>
      </c>
      <c r="K209" s="24">
        <f t="shared" si="17"/>
        <v>-0.14064442107276032</v>
      </c>
      <c r="L209" t="str">
        <f>VLOOKUP(B209,товар!$A$1:$C$433,3,FALSE)</f>
        <v>Nescafe</v>
      </c>
      <c r="M209">
        <f t="shared" si="18"/>
        <v>256.89999999999998</v>
      </c>
      <c r="N209" s="30">
        <f>VLOOKUP(H209,клиенты!$A$1:$G$435,5,FALSE)</f>
        <v>44811</v>
      </c>
      <c r="O209">
        <f t="shared" si="19"/>
        <v>220</v>
      </c>
    </row>
    <row r="210" spans="1:15" x14ac:dyDescent="0.3">
      <c r="A210">
        <v>209</v>
      </c>
      <c r="B210">
        <v>111</v>
      </c>
      <c r="C210">
        <v>452</v>
      </c>
      <c r="D210">
        <v>4</v>
      </c>
      <c r="E210">
        <f t="shared" si="15"/>
        <v>1808</v>
      </c>
      <c r="F210" s="30">
        <v>44927</v>
      </c>
      <c r="G210" t="s">
        <v>22</v>
      </c>
      <c r="H210">
        <v>329</v>
      </c>
      <c r="I210" t="str">
        <f>VLOOKUP(B210,товар!$A$1:$C$433,2,FALSE)</f>
        <v>Сахар</v>
      </c>
      <c r="J210" s="23">
        <f t="shared" si="16"/>
        <v>252.76271186440678</v>
      </c>
      <c r="K210" s="24">
        <f t="shared" si="17"/>
        <v>0.78823844967478029</v>
      </c>
      <c r="L210" t="str">
        <f>VLOOKUP(B210,товар!$A$1:$C$433,3,FALSE)</f>
        <v>Сладов</v>
      </c>
      <c r="M210">
        <f t="shared" si="18"/>
        <v>240.26666666666668</v>
      </c>
      <c r="N210" s="30">
        <f>VLOOKUP(H210,клиенты!$A$1:$G$435,5,FALSE)</f>
        <v>44653</v>
      </c>
      <c r="O210">
        <f t="shared" si="19"/>
        <v>274</v>
      </c>
    </row>
    <row r="211" spans="1:15" x14ac:dyDescent="0.3">
      <c r="A211">
        <v>210</v>
      </c>
      <c r="B211">
        <v>344</v>
      </c>
      <c r="C211">
        <v>172</v>
      </c>
      <c r="D211">
        <v>5</v>
      </c>
      <c r="E211">
        <f t="shared" si="15"/>
        <v>860</v>
      </c>
      <c r="F211" s="30">
        <v>45092</v>
      </c>
      <c r="G211" t="s">
        <v>25</v>
      </c>
      <c r="H211">
        <v>186</v>
      </c>
      <c r="I211" t="str">
        <f>VLOOKUP(B211,товар!$A$1:$C$433,2,FALSE)</f>
        <v>Сок</v>
      </c>
      <c r="J211" s="23">
        <f t="shared" si="16"/>
        <v>268.60344827586209</v>
      </c>
      <c r="K211" s="24">
        <f t="shared" si="17"/>
        <v>-0.35965081199050009</v>
      </c>
      <c r="L211" t="str">
        <f>VLOOKUP(B211,товар!$A$1:$C$433,3,FALSE)</f>
        <v>Сады Придонья</v>
      </c>
      <c r="M211">
        <f t="shared" si="18"/>
        <v>254.18181818181819</v>
      </c>
      <c r="N211" s="30">
        <f>VLOOKUP(H211,клиенты!$A$1:$G$435,5,FALSE)</f>
        <v>44914</v>
      </c>
      <c r="O211">
        <f t="shared" si="19"/>
        <v>178</v>
      </c>
    </row>
    <row r="212" spans="1:15" x14ac:dyDescent="0.3">
      <c r="A212">
        <v>211</v>
      </c>
      <c r="B212">
        <v>462</v>
      </c>
      <c r="C212">
        <v>104</v>
      </c>
      <c r="D212">
        <v>4</v>
      </c>
      <c r="E212">
        <f t="shared" si="15"/>
        <v>416</v>
      </c>
      <c r="F212" s="30">
        <v>45105</v>
      </c>
      <c r="G212" t="s">
        <v>27</v>
      </c>
      <c r="H212">
        <v>448</v>
      </c>
      <c r="I212" t="str">
        <f>VLOOKUP(B212,товар!$A$1:$C$433,2,FALSE)</f>
        <v>Рис</v>
      </c>
      <c r="J212" s="23">
        <f t="shared" si="16"/>
        <v>258.375</v>
      </c>
      <c r="K212" s="24">
        <f t="shared" si="17"/>
        <v>-0.59748427672955973</v>
      </c>
      <c r="L212" t="str">
        <f>VLOOKUP(B212,товар!$A$1:$C$433,3,FALSE)</f>
        <v>Белый Злат</v>
      </c>
      <c r="M212">
        <f t="shared" si="18"/>
        <v>269.70588235294116</v>
      </c>
      <c r="N212" s="30">
        <f>VLOOKUP(H212,клиенты!$A$1:$G$435,5,FALSE)</f>
        <v>44770</v>
      </c>
      <c r="O212">
        <f t="shared" si="19"/>
        <v>335</v>
      </c>
    </row>
    <row r="213" spans="1:15" x14ac:dyDescent="0.3">
      <c r="A213">
        <v>212</v>
      </c>
      <c r="B213">
        <v>279</v>
      </c>
      <c r="C213">
        <v>433</v>
      </c>
      <c r="D213">
        <v>4</v>
      </c>
      <c r="E213">
        <f t="shared" si="15"/>
        <v>1732</v>
      </c>
      <c r="F213" s="30">
        <v>45265</v>
      </c>
      <c r="G213" t="s">
        <v>32</v>
      </c>
      <c r="H213">
        <v>377</v>
      </c>
      <c r="I213" t="str">
        <f>VLOOKUP(B213,товар!$A$1:$C$433,2,FALSE)</f>
        <v>Крупа</v>
      </c>
      <c r="J213" s="23">
        <f t="shared" si="16"/>
        <v>255.11627906976744</v>
      </c>
      <c r="K213" s="24">
        <f t="shared" si="17"/>
        <v>0.69726526891522322</v>
      </c>
      <c r="L213" t="str">
        <f>VLOOKUP(B213,товар!$A$1:$C$433,3,FALSE)</f>
        <v>Увелка</v>
      </c>
      <c r="M213">
        <f t="shared" si="18"/>
        <v>251.91666666666666</v>
      </c>
      <c r="N213" s="30">
        <f>VLOOKUP(H213,клиенты!$A$1:$G$435,5,FALSE)</f>
        <v>44794</v>
      </c>
      <c r="O213">
        <f t="shared" si="19"/>
        <v>471</v>
      </c>
    </row>
    <row r="214" spans="1:15" x14ac:dyDescent="0.3">
      <c r="A214">
        <v>213</v>
      </c>
      <c r="B214">
        <v>322</v>
      </c>
      <c r="C214">
        <v>79</v>
      </c>
      <c r="D214">
        <v>5</v>
      </c>
      <c r="E214">
        <f t="shared" si="15"/>
        <v>395</v>
      </c>
      <c r="F214" s="30">
        <v>45108</v>
      </c>
      <c r="G214" t="s">
        <v>20</v>
      </c>
      <c r="H214">
        <v>316</v>
      </c>
      <c r="I214" t="str">
        <f>VLOOKUP(B214,товар!$A$1:$C$433,2,FALSE)</f>
        <v>Крупа</v>
      </c>
      <c r="J214" s="23">
        <f t="shared" si="16"/>
        <v>255.11627906976744</v>
      </c>
      <c r="K214" s="24">
        <f t="shared" si="17"/>
        <v>-0.69033728350045576</v>
      </c>
      <c r="L214" t="str">
        <f>VLOOKUP(B214,товар!$A$1:$C$433,3,FALSE)</f>
        <v>Увелка</v>
      </c>
      <c r="M214">
        <f t="shared" si="18"/>
        <v>251.91666666666666</v>
      </c>
      <c r="N214" s="30">
        <f>VLOOKUP(H214,клиенты!$A$1:$G$435,5,FALSE)</f>
        <v>44787</v>
      </c>
      <c r="O214">
        <f t="shared" si="19"/>
        <v>321</v>
      </c>
    </row>
    <row r="215" spans="1:15" x14ac:dyDescent="0.3">
      <c r="A215">
        <v>214</v>
      </c>
      <c r="B215">
        <v>494</v>
      </c>
      <c r="C215">
        <v>181</v>
      </c>
      <c r="D215">
        <v>1</v>
      </c>
      <c r="E215">
        <f t="shared" si="15"/>
        <v>181</v>
      </c>
      <c r="F215" s="30">
        <v>45251</v>
      </c>
      <c r="G215" t="s">
        <v>31</v>
      </c>
      <c r="H215">
        <v>356</v>
      </c>
      <c r="I215" t="str">
        <f>VLOOKUP(B215,товар!$A$1:$C$433,2,FALSE)</f>
        <v>Сыр</v>
      </c>
      <c r="J215" s="23">
        <f t="shared" si="16"/>
        <v>262.63492063492066</v>
      </c>
      <c r="K215" s="24">
        <f t="shared" si="17"/>
        <v>-0.31083041218421381</v>
      </c>
      <c r="L215" t="str">
        <f>VLOOKUP(B215,товар!$A$1:$C$433,3,FALSE)</f>
        <v>Сырная долина</v>
      </c>
      <c r="M215">
        <f t="shared" si="18"/>
        <v>271</v>
      </c>
      <c r="N215" s="30">
        <f>VLOOKUP(H215,клиенты!$A$1:$G$435,5,FALSE)</f>
        <v>44570</v>
      </c>
      <c r="O215">
        <f t="shared" si="19"/>
        <v>681</v>
      </c>
    </row>
    <row r="216" spans="1:15" x14ac:dyDescent="0.3">
      <c r="A216">
        <v>215</v>
      </c>
      <c r="B216">
        <v>317</v>
      </c>
      <c r="C216">
        <v>196</v>
      </c>
      <c r="D216">
        <v>3</v>
      </c>
      <c r="E216">
        <f t="shared" si="15"/>
        <v>588</v>
      </c>
      <c r="F216" s="30">
        <v>45371</v>
      </c>
      <c r="G216" t="s">
        <v>23</v>
      </c>
      <c r="H216">
        <v>159</v>
      </c>
      <c r="I216" t="str">
        <f>VLOOKUP(B216,товар!$A$1:$C$433,2,FALSE)</f>
        <v>Сок</v>
      </c>
      <c r="J216" s="23">
        <f t="shared" si="16"/>
        <v>268.60344827586209</v>
      </c>
      <c r="K216" s="24">
        <f t="shared" si="17"/>
        <v>-0.27029976250080245</v>
      </c>
      <c r="L216" t="str">
        <f>VLOOKUP(B216,товар!$A$1:$C$433,3,FALSE)</f>
        <v>Фруктовый сад</v>
      </c>
      <c r="M216">
        <f t="shared" si="18"/>
        <v>281.96875</v>
      </c>
      <c r="N216" s="30">
        <f>VLOOKUP(H216,клиенты!$A$1:$G$435,5,FALSE)</f>
        <v>44686</v>
      </c>
      <c r="O216">
        <f t="shared" si="19"/>
        <v>685</v>
      </c>
    </row>
    <row r="217" spans="1:15" x14ac:dyDescent="0.3">
      <c r="A217">
        <v>216</v>
      </c>
      <c r="B217">
        <v>223</v>
      </c>
      <c r="C217">
        <v>174</v>
      </c>
      <c r="D217">
        <v>1</v>
      </c>
      <c r="E217">
        <f t="shared" si="15"/>
        <v>174</v>
      </c>
      <c r="F217" s="30">
        <v>45022</v>
      </c>
      <c r="G217" t="s">
        <v>17</v>
      </c>
      <c r="H217">
        <v>287</v>
      </c>
      <c r="I217" t="str">
        <f>VLOOKUP(B217,товар!$A$1:$C$433,2,FALSE)</f>
        <v>Чай</v>
      </c>
      <c r="J217" s="23">
        <f t="shared" si="16"/>
        <v>271.18181818181819</v>
      </c>
      <c r="K217" s="24">
        <f t="shared" si="17"/>
        <v>-0.35836406302380153</v>
      </c>
      <c r="L217" t="str">
        <f>VLOOKUP(B217,товар!$A$1:$C$433,3,FALSE)</f>
        <v>Greenfield</v>
      </c>
      <c r="M217">
        <f t="shared" si="18"/>
        <v>291.45454545454544</v>
      </c>
      <c r="N217" s="30">
        <f>VLOOKUP(H217,клиенты!$A$1:$G$435,5,FALSE)</f>
        <v>44608</v>
      </c>
      <c r="O217">
        <f t="shared" si="19"/>
        <v>414</v>
      </c>
    </row>
    <row r="218" spans="1:15" x14ac:dyDescent="0.3">
      <c r="A218">
        <v>217</v>
      </c>
      <c r="B218">
        <v>25</v>
      </c>
      <c r="C218">
        <v>356</v>
      </c>
      <c r="D218">
        <v>3</v>
      </c>
      <c r="E218">
        <f t="shared" si="15"/>
        <v>1068</v>
      </c>
      <c r="F218" s="30">
        <v>45018</v>
      </c>
      <c r="G218" t="s">
        <v>22</v>
      </c>
      <c r="H218">
        <v>322</v>
      </c>
      <c r="I218" t="str">
        <f>VLOOKUP(B218,товар!$A$1:$C$433,2,FALSE)</f>
        <v>Чипсы</v>
      </c>
      <c r="J218" s="23">
        <f t="shared" si="16"/>
        <v>273.72549019607845</v>
      </c>
      <c r="K218" s="24">
        <f t="shared" si="17"/>
        <v>0.30057306590257871</v>
      </c>
      <c r="L218" t="str">
        <f>VLOOKUP(B218,товар!$A$1:$C$433,3,FALSE)</f>
        <v>Русская картошка</v>
      </c>
      <c r="M218">
        <f t="shared" si="18"/>
        <v>241.83333333333334</v>
      </c>
      <c r="N218" s="30">
        <f>VLOOKUP(H218,клиенты!$A$1:$G$435,5,FALSE)</f>
        <v>44886</v>
      </c>
      <c r="O218">
        <f t="shared" si="19"/>
        <v>132</v>
      </c>
    </row>
    <row r="219" spans="1:15" x14ac:dyDescent="0.3">
      <c r="A219">
        <v>218</v>
      </c>
      <c r="B219">
        <v>392</v>
      </c>
      <c r="C219">
        <v>125</v>
      </c>
      <c r="D219">
        <v>5</v>
      </c>
      <c r="E219">
        <f t="shared" si="15"/>
        <v>625</v>
      </c>
      <c r="F219" s="30">
        <v>45282</v>
      </c>
      <c r="G219" t="s">
        <v>16</v>
      </c>
      <c r="H219">
        <v>62</v>
      </c>
      <c r="I219" t="str">
        <f>VLOOKUP(B219,товар!$A$1:$C$433,2,FALSE)</f>
        <v>Кофе</v>
      </c>
      <c r="J219" s="23">
        <f t="shared" si="16"/>
        <v>249.02380952380952</v>
      </c>
      <c r="K219" s="24">
        <f t="shared" si="17"/>
        <v>-0.49803996557988339</v>
      </c>
      <c r="L219" t="str">
        <f>VLOOKUP(B219,товар!$A$1:$C$433,3,FALSE)</f>
        <v>Черная Карта</v>
      </c>
      <c r="M219">
        <f t="shared" si="18"/>
        <v>222.2</v>
      </c>
      <c r="N219" s="30">
        <f>VLOOKUP(H219,клиенты!$A$1:$G$435,5,FALSE)</f>
        <v>44671</v>
      </c>
      <c r="O219">
        <f t="shared" si="19"/>
        <v>611</v>
      </c>
    </row>
    <row r="220" spans="1:15" x14ac:dyDescent="0.3">
      <c r="A220">
        <v>219</v>
      </c>
      <c r="B220">
        <v>410</v>
      </c>
      <c r="C220">
        <v>228</v>
      </c>
      <c r="D220">
        <v>2</v>
      </c>
      <c r="E220">
        <f t="shared" si="15"/>
        <v>456</v>
      </c>
      <c r="F220" s="30">
        <v>45224</v>
      </c>
      <c r="G220" t="s">
        <v>29</v>
      </c>
      <c r="H220">
        <v>295</v>
      </c>
      <c r="I220" t="str">
        <f>VLOOKUP(B220,товар!$A$1:$C$433,2,FALSE)</f>
        <v>Чипсы</v>
      </c>
      <c r="J220" s="23">
        <f t="shared" si="16"/>
        <v>273.72549019607845</v>
      </c>
      <c r="K220" s="24">
        <f t="shared" si="17"/>
        <v>-0.16704871060171922</v>
      </c>
      <c r="L220" t="str">
        <f>VLOOKUP(B220,товар!$A$1:$C$433,3,FALSE)</f>
        <v>Lay's</v>
      </c>
      <c r="M220">
        <f t="shared" si="18"/>
        <v>320.57142857142856</v>
      </c>
      <c r="N220" s="30">
        <f>VLOOKUP(H220,клиенты!$A$1:$G$435,5,FALSE)</f>
        <v>44588</v>
      </c>
      <c r="O220">
        <f t="shared" si="19"/>
        <v>636</v>
      </c>
    </row>
    <row r="221" spans="1:15" x14ac:dyDescent="0.3">
      <c r="A221">
        <v>220</v>
      </c>
      <c r="B221">
        <v>498</v>
      </c>
      <c r="C221">
        <v>472</v>
      </c>
      <c r="D221">
        <v>5</v>
      </c>
      <c r="E221">
        <f t="shared" si="15"/>
        <v>2360</v>
      </c>
      <c r="F221" s="30">
        <v>45195</v>
      </c>
      <c r="G221" t="s">
        <v>24</v>
      </c>
      <c r="H221">
        <v>171</v>
      </c>
      <c r="I221" t="str">
        <f>VLOOKUP(B221,товар!$A$1:$C$433,2,FALSE)</f>
        <v>Молоко</v>
      </c>
      <c r="J221" s="23">
        <f t="shared" si="16"/>
        <v>294.95238095238096</v>
      </c>
      <c r="K221" s="24">
        <f t="shared" si="17"/>
        <v>0.60025831449790124</v>
      </c>
      <c r="L221" t="str">
        <f>VLOOKUP(B221,товар!$A$1:$C$433,3,FALSE)</f>
        <v>Домик в деревне</v>
      </c>
      <c r="M221">
        <f t="shared" si="18"/>
        <v>274.77777777777777</v>
      </c>
      <c r="N221" s="30">
        <f>VLOOKUP(H221,клиенты!$A$1:$G$435,5,FALSE)</f>
        <v>44710</v>
      </c>
      <c r="O221">
        <f t="shared" si="19"/>
        <v>485</v>
      </c>
    </row>
    <row r="222" spans="1:15" x14ac:dyDescent="0.3">
      <c r="A222">
        <v>221</v>
      </c>
      <c r="B222">
        <v>304</v>
      </c>
      <c r="C222">
        <v>163</v>
      </c>
      <c r="D222">
        <v>3</v>
      </c>
      <c r="E222">
        <f t="shared" si="15"/>
        <v>489</v>
      </c>
      <c r="F222" s="30">
        <v>45139</v>
      </c>
      <c r="G222" t="s">
        <v>21</v>
      </c>
      <c r="H222">
        <v>392</v>
      </c>
      <c r="I222" t="str">
        <f>VLOOKUP(B222,товар!$A$1:$C$433,2,FALSE)</f>
        <v>Конфеты</v>
      </c>
      <c r="J222" s="23">
        <f t="shared" si="16"/>
        <v>267.85483870967744</v>
      </c>
      <c r="K222" s="24">
        <f t="shared" si="17"/>
        <v>-0.39146143192629623</v>
      </c>
      <c r="L222" t="str">
        <f>VLOOKUP(B222,товар!$A$1:$C$433,3,FALSE)</f>
        <v>Рот Фронт</v>
      </c>
      <c r="M222">
        <f t="shared" si="18"/>
        <v>288.23809523809524</v>
      </c>
      <c r="N222" s="30">
        <f>VLOOKUP(H222,клиенты!$A$1:$G$435,5,FALSE)</f>
        <v>44919</v>
      </c>
      <c r="O222">
        <f t="shared" si="19"/>
        <v>220</v>
      </c>
    </row>
    <row r="223" spans="1:15" x14ac:dyDescent="0.3">
      <c r="A223">
        <v>222</v>
      </c>
      <c r="B223">
        <v>333</v>
      </c>
      <c r="C223">
        <v>70</v>
      </c>
      <c r="D223">
        <v>1</v>
      </c>
      <c r="E223">
        <f t="shared" si="15"/>
        <v>70</v>
      </c>
      <c r="F223" s="30">
        <v>45076</v>
      </c>
      <c r="G223" t="s">
        <v>23</v>
      </c>
      <c r="H223">
        <v>229</v>
      </c>
      <c r="I223" t="str">
        <f>VLOOKUP(B223,товар!$A$1:$C$433,2,FALSE)</f>
        <v>Рыба</v>
      </c>
      <c r="J223" s="23">
        <f t="shared" si="16"/>
        <v>258.5128205128205</v>
      </c>
      <c r="K223" s="24">
        <f t="shared" si="17"/>
        <v>-0.72922039277921047</v>
      </c>
      <c r="L223" t="str">
        <f>VLOOKUP(B223,товар!$A$1:$C$433,3,FALSE)</f>
        <v>Санта Бремор</v>
      </c>
      <c r="M223">
        <f t="shared" si="18"/>
        <v>216.4</v>
      </c>
      <c r="N223" s="30">
        <f>VLOOKUP(H223,клиенты!$A$1:$G$435,5,FALSE)</f>
        <v>44766</v>
      </c>
      <c r="O223">
        <f t="shared" si="19"/>
        <v>310</v>
      </c>
    </row>
    <row r="224" spans="1:15" x14ac:dyDescent="0.3">
      <c r="A224">
        <v>223</v>
      </c>
      <c r="B224">
        <v>207</v>
      </c>
      <c r="C224">
        <v>208</v>
      </c>
      <c r="D224">
        <v>5</v>
      </c>
      <c r="E224">
        <f t="shared" si="15"/>
        <v>1040</v>
      </c>
      <c r="F224" s="30">
        <v>44960</v>
      </c>
      <c r="G224" t="s">
        <v>15</v>
      </c>
      <c r="H224">
        <v>253</v>
      </c>
      <c r="I224" t="str">
        <f>VLOOKUP(B224,товар!$A$1:$C$433,2,FALSE)</f>
        <v>Сахар</v>
      </c>
      <c r="J224" s="23">
        <f t="shared" si="16"/>
        <v>252.76271186440678</v>
      </c>
      <c r="K224" s="24">
        <f t="shared" si="17"/>
        <v>-0.17709381076912767</v>
      </c>
      <c r="L224" t="str">
        <f>VLOOKUP(B224,товар!$A$1:$C$433,3,FALSE)</f>
        <v>Агросахар</v>
      </c>
      <c r="M224">
        <f t="shared" si="18"/>
        <v>215.85714285714286</v>
      </c>
      <c r="N224" s="30">
        <f>VLOOKUP(H224,клиенты!$A$1:$G$435,5,FALSE)</f>
        <v>44750</v>
      </c>
      <c r="O224">
        <f t="shared" si="19"/>
        <v>210</v>
      </c>
    </row>
    <row r="225" spans="1:15" x14ac:dyDescent="0.3">
      <c r="A225">
        <v>224</v>
      </c>
      <c r="B225">
        <v>348</v>
      </c>
      <c r="C225">
        <v>417</v>
      </c>
      <c r="D225">
        <v>4</v>
      </c>
      <c r="E225">
        <f t="shared" si="15"/>
        <v>1668</v>
      </c>
      <c r="F225" s="30">
        <v>45005</v>
      </c>
      <c r="G225" t="s">
        <v>25</v>
      </c>
      <c r="H225">
        <v>235</v>
      </c>
      <c r="I225" t="str">
        <f>VLOOKUP(B225,товар!$A$1:$C$433,2,FALSE)</f>
        <v>Чипсы</v>
      </c>
      <c r="J225" s="23">
        <f t="shared" si="16"/>
        <v>273.72549019607845</v>
      </c>
      <c r="K225" s="24">
        <f t="shared" si="17"/>
        <v>0.52342406876790815</v>
      </c>
      <c r="L225" t="str">
        <f>VLOOKUP(B225,товар!$A$1:$C$433,3,FALSE)</f>
        <v>Estrella</v>
      </c>
      <c r="M225">
        <f t="shared" si="18"/>
        <v>266.27272727272725</v>
      </c>
      <c r="N225" s="30">
        <f>VLOOKUP(H225,клиенты!$A$1:$G$435,5,FALSE)</f>
        <v>44635</v>
      </c>
      <c r="O225">
        <f t="shared" si="19"/>
        <v>370</v>
      </c>
    </row>
    <row r="226" spans="1:15" x14ac:dyDescent="0.3">
      <c r="A226">
        <v>225</v>
      </c>
      <c r="B226">
        <v>4</v>
      </c>
      <c r="C226">
        <v>198</v>
      </c>
      <c r="D226">
        <v>5</v>
      </c>
      <c r="E226">
        <f t="shared" si="15"/>
        <v>990</v>
      </c>
      <c r="F226" s="30">
        <v>45351</v>
      </c>
      <c r="G226" t="s">
        <v>15</v>
      </c>
      <c r="H226">
        <v>156</v>
      </c>
      <c r="I226" t="str">
        <f>VLOOKUP(B226,товар!$A$1:$C$433,2,FALSE)</f>
        <v>Рис</v>
      </c>
      <c r="J226" s="23">
        <f t="shared" si="16"/>
        <v>258.375</v>
      </c>
      <c r="K226" s="24">
        <f t="shared" si="17"/>
        <v>-0.23367198838896952</v>
      </c>
      <c r="L226" t="str">
        <f>VLOOKUP(B226,товар!$A$1:$C$433,3,FALSE)</f>
        <v>Белый Злат</v>
      </c>
      <c r="M226">
        <f t="shared" si="18"/>
        <v>269.70588235294116</v>
      </c>
      <c r="N226" s="30">
        <f>VLOOKUP(H226,клиенты!$A$1:$G$435,5,FALSE)</f>
        <v>44905</v>
      </c>
      <c r="O226">
        <f t="shared" si="19"/>
        <v>446</v>
      </c>
    </row>
    <row r="227" spans="1:15" x14ac:dyDescent="0.3">
      <c r="A227">
        <v>226</v>
      </c>
      <c r="B227">
        <v>317</v>
      </c>
      <c r="C227">
        <v>196</v>
      </c>
      <c r="D227">
        <v>2</v>
      </c>
      <c r="E227">
        <f t="shared" si="15"/>
        <v>392</v>
      </c>
      <c r="F227" s="30">
        <v>45430</v>
      </c>
      <c r="G227" t="s">
        <v>29</v>
      </c>
      <c r="H227">
        <v>327</v>
      </c>
      <c r="I227" t="str">
        <f>VLOOKUP(B227,товар!$A$1:$C$433,2,FALSE)</f>
        <v>Сок</v>
      </c>
      <c r="J227" s="23">
        <f t="shared" si="16"/>
        <v>268.60344827586209</v>
      </c>
      <c r="K227" s="24">
        <f t="shared" si="17"/>
        <v>-0.27029976250080245</v>
      </c>
      <c r="L227" t="str">
        <f>VLOOKUP(B227,товар!$A$1:$C$433,3,FALSE)</f>
        <v>Фруктовый сад</v>
      </c>
      <c r="M227">
        <f t="shared" si="18"/>
        <v>281.96875</v>
      </c>
      <c r="N227" s="30">
        <f>VLOOKUP(H227,клиенты!$A$1:$G$435,5,FALSE)</f>
        <v>44565</v>
      </c>
      <c r="O227">
        <f t="shared" si="19"/>
        <v>865</v>
      </c>
    </row>
    <row r="228" spans="1:15" x14ac:dyDescent="0.3">
      <c r="A228">
        <v>227</v>
      </c>
      <c r="B228">
        <v>131</v>
      </c>
      <c r="C228">
        <v>376</v>
      </c>
      <c r="D228">
        <v>1</v>
      </c>
      <c r="E228">
        <f t="shared" si="15"/>
        <v>376</v>
      </c>
      <c r="F228" s="30">
        <v>45427</v>
      </c>
      <c r="G228" t="s">
        <v>24</v>
      </c>
      <c r="H228">
        <v>275</v>
      </c>
      <c r="I228" t="str">
        <f>VLOOKUP(B228,товар!$A$1:$C$433,2,FALSE)</f>
        <v>Сок</v>
      </c>
      <c r="J228" s="23">
        <f t="shared" si="16"/>
        <v>268.60344827586209</v>
      </c>
      <c r="K228" s="24">
        <f t="shared" si="17"/>
        <v>0.39983310867193</v>
      </c>
      <c r="L228" t="str">
        <f>VLOOKUP(B228,товар!$A$1:$C$433,3,FALSE)</f>
        <v>Сады Придонья</v>
      </c>
      <c r="M228">
        <f t="shared" si="18"/>
        <v>254.18181818181819</v>
      </c>
      <c r="N228" s="30">
        <f>VLOOKUP(H228,клиенты!$A$1:$G$435,5,FALSE)</f>
        <v>44651</v>
      </c>
      <c r="O228">
        <f t="shared" si="19"/>
        <v>776</v>
      </c>
    </row>
    <row r="229" spans="1:15" x14ac:dyDescent="0.3">
      <c r="A229">
        <v>228</v>
      </c>
      <c r="B229">
        <v>96</v>
      </c>
      <c r="C229">
        <v>362</v>
      </c>
      <c r="D229">
        <v>4</v>
      </c>
      <c r="E229">
        <f t="shared" si="15"/>
        <v>1448</v>
      </c>
      <c r="F229" s="30">
        <v>45398</v>
      </c>
      <c r="G229" t="s">
        <v>16</v>
      </c>
      <c r="H229">
        <v>330</v>
      </c>
      <c r="I229" t="str">
        <f>VLOOKUP(B229,товар!$A$1:$C$433,2,FALSE)</f>
        <v>Соль</v>
      </c>
      <c r="J229" s="23">
        <f t="shared" si="16"/>
        <v>264.8679245283019</v>
      </c>
      <c r="K229" s="24">
        <f t="shared" si="17"/>
        <v>0.36671890582704081</v>
      </c>
      <c r="L229" t="str">
        <f>VLOOKUP(B229,товар!$A$1:$C$433,3,FALSE)</f>
        <v>Салта</v>
      </c>
      <c r="M229">
        <f t="shared" si="18"/>
        <v>273.7</v>
      </c>
      <c r="N229" s="30">
        <f>VLOOKUP(H229,клиенты!$A$1:$G$435,5,FALSE)</f>
        <v>44815</v>
      </c>
      <c r="O229">
        <f t="shared" si="19"/>
        <v>583</v>
      </c>
    </row>
    <row r="230" spans="1:15" x14ac:dyDescent="0.3">
      <c r="A230">
        <v>229</v>
      </c>
      <c r="B230">
        <v>311</v>
      </c>
      <c r="C230">
        <v>345</v>
      </c>
      <c r="D230">
        <v>5</v>
      </c>
      <c r="E230">
        <f t="shared" si="15"/>
        <v>1725</v>
      </c>
      <c r="F230" s="30">
        <v>45421</v>
      </c>
      <c r="G230" t="s">
        <v>30</v>
      </c>
      <c r="H230">
        <v>177</v>
      </c>
      <c r="I230" t="str">
        <f>VLOOKUP(B230,товар!$A$1:$C$433,2,FALSE)</f>
        <v>Макароны</v>
      </c>
      <c r="J230" s="23">
        <f t="shared" si="16"/>
        <v>265.47674418604652</v>
      </c>
      <c r="K230" s="24">
        <f t="shared" si="17"/>
        <v>0.29954885900748973</v>
      </c>
      <c r="L230" t="str">
        <f>VLOOKUP(B230,товар!$A$1:$C$433,3,FALSE)</f>
        <v>Паста Зара</v>
      </c>
      <c r="M230">
        <f t="shared" si="18"/>
        <v>276.67567567567568</v>
      </c>
      <c r="N230" s="30">
        <f>VLOOKUP(H230,клиенты!$A$1:$G$435,5,FALSE)</f>
        <v>44857</v>
      </c>
      <c r="O230">
        <f t="shared" si="19"/>
        <v>564</v>
      </c>
    </row>
    <row r="231" spans="1:15" x14ac:dyDescent="0.3">
      <c r="A231">
        <v>230</v>
      </c>
      <c r="B231">
        <v>268</v>
      </c>
      <c r="C231">
        <v>81</v>
      </c>
      <c r="D231">
        <v>3</v>
      </c>
      <c r="E231">
        <f t="shared" si="15"/>
        <v>243</v>
      </c>
      <c r="F231" s="30">
        <v>45106</v>
      </c>
      <c r="G231" t="s">
        <v>32</v>
      </c>
      <c r="H231">
        <v>407</v>
      </c>
      <c r="I231" t="str">
        <f>VLOOKUP(B231,товар!$A$1:$C$433,2,FALSE)</f>
        <v>Рис</v>
      </c>
      <c r="J231" s="23">
        <f t="shared" si="16"/>
        <v>258.375</v>
      </c>
      <c r="K231" s="24">
        <f t="shared" si="17"/>
        <v>-0.68650217706821481</v>
      </c>
      <c r="L231" t="str">
        <f>VLOOKUP(B231,товар!$A$1:$C$433,3,FALSE)</f>
        <v>Мистраль</v>
      </c>
      <c r="M231">
        <f t="shared" si="18"/>
        <v>181.57142857142858</v>
      </c>
      <c r="N231" s="30">
        <f>VLOOKUP(H231,клиенты!$A$1:$G$435,5,FALSE)</f>
        <v>44621</v>
      </c>
      <c r="O231">
        <f t="shared" si="19"/>
        <v>485</v>
      </c>
    </row>
    <row r="232" spans="1:15" x14ac:dyDescent="0.3">
      <c r="A232">
        <v>231</v>
      </c>
      <c r="B232">
        <v>495</v>
      </c>
      <c r="C232">
        <v>97</v>
      </c>
      <c r="D232">
        <v>4</v>
      </c>
      <c r="E232">
        <f t="shared" si="15"/>
        <v>388</v>
      </c>
      <c r="F232" s="30">
        <v>45409</v>
      </c>
      <c r="G232" t="s">
        <v>19</v>
      </c>
      <c r="H232">
        <v>181</v>
      </c>
      <c r="I232" t="str">
        <f>VLOOKUP(B232,товар!$A$1:$C$433,2,FALSE)</f>
        <v>Чай</v>
      </c>
      <c r="J232" s="23">
        <f t="shared" si="16"/>
        <v>271.18181818181819</v>
      </c>
      <c r="K232" s="24">
        <f t="shared" si="17"/>
        <v>-0.64230640295005026</v>
      </c>
      <c r="L232" t="str">
        <f>VLOOKUP(B232,товар!$A$1:$C$433,3,FALSE)</f>
        <v>Greenfield</v>
      </c>
      <c r="M232">
        <f t="shared" si="18"/>
        <v>291.45454545454544</v>
      </c>
      <c r="N232" s="30">
        <f>VLOOKUP(H232,клиенты!$A$1:$G$435,5,FALSE)</f>
        <v>44568</v>
      </c>
      <c r="O232">
        <f t="shared" si="19"/>
        <v>841</v>
      </c>
    </row>
    <row r="233" spans="1:15" x14ac:dyDescent="0.3">
      <c r="A233">
        <v>232</v>
      </c>
      <c r="B233">
        <v>436</v>
      </c>
      <c r="C233">
        <v>184</v>
      </c>
      <c r="D233">
        <v>4</v>
      </c>
      <c r="E233">
        <f t="shared" si="15"/>
        <v>736</v>
      </c>
      <c r="F233" s="30">
        <v>45147</v>
      </c>
      <c r="G233" t="s">
        <v>17</v>
      </c>
      <c r="H233">
        <v>166</v>
      </c>
      <c r="I233" t="str">
        <f>VLOOKUP(B233,товар!$A$1:$C$433,2,FALSE)</f>
        <v>Овощи</v>
      </c>
      <c r="J233" s="23">
        <f t="shared" si="16"/>
        <v>250.48780487804879</v>
      </c>
      <c r="K233" s="24">
        <f t="shared" si="17"/>
        <v>-0.26543330087633887</v>
      </c>
      <c r="L233" t="str">
        <f>VLOOKUP(B233,товар!$A$1:$C$433,3,FALSE)</f>
        <v>Гавриш</v>
      </c>
      <c r="M233">
        <f t="shared" si="18"/>
        <v>247.66666666666666</v>
      </c>
      <c r="N233" s="30">
        <f>VLOOKUP(H233,клиенты!$A$1:$G$435,5,FALSE)</f>
        <v>44796</v>
      </c>
      <c r="O233">
        <f t="shared" si="19"/>
        <v>351</v>
      </c>
    </row>
    <row r="234" spans="1:15" x14ac:dyDescent="0.3">
      <c r="A234">
        <v>233</v>
      </c>
      <c r="B234">
        <v>358</v>
      </c>
      <c r="C234">
        <v>172</v>
      </c>
      <c r="D234">
        <v>1</v>
      </c>
      <c r="E234">
        <f t="shared" si="15"/>
        <v>172</v>
      </c>
      <c r="F234" s="30">
        <v>45379</v>
      </c>
      <c r="G234" t="s">
        <v>30</v>
      </c>
      <c r="H234">
        <v>478</v>
      </c>
      <c r="I234" t="str">
        <f>VLOOKUP(B234,товар!$A$1:$C$433,2,FALSE)</f>
        <v>Конфеты</v>
      </c>
      <c r="J234" s="23">
        <f t="shared" si="16"/>
        <v>267.85483870967744</v>
      </c>
      <c r="K234" s="24">
        <f t="shared" si="17"/>
        <v>-0.3578611428915518</v>
      </c>
      <c r="L234" t="str">
        <f>VLOOKUP(B234,товар!$A$1:$C$433,3,FALSE)</f>
        <v>Славянка</v>
      </c>
      <c r="M234">
        <f t="shared" si="18"/>
        <v>268</v>
      </c>
      <c r="N234" s="30">
        <f>VLOOKUP(H234,клиенты!$A$1:$G$435,5,FALSE)</f>
        <v>44726</v>
      </c>
      <c r="O234">
        <f t="shared" si="19"/>
        <v>653</v>
      </c>
    </row>
    <row r="235" spans="1:15" x14ac:dyDescent="0.3">
      <c r="A235">
        <v>234</v>
      </c>
      <c r="B235">
        <v>160</v>
      </c>
      <c r="C235">
        <v>288</v>
      </c>
      <c r="D235">
        <v>2</v>
      </c>
      <c r="E235">
        <f t="shared" si="15"/>
        <v>576</v>
      </c>
      <c r="F235" s="30">
        <v>44996</v>
      </c>
      <c r="G235" t="s">
        <v>25</v>
      </c>
      <c r="H235">
        <v>429</v>
      </c>
      <c r="I235" t="str">
        <f>VLOOKUP(B235,товар!$A$1:$C$433,2,FALSE)</f>
        <v>Крупа</v>
      </c>
      <c r="J235" s="23">
        <f t="shared" si="16"/>
        <v>255.11627906976744</v>
      </c>
      <c r="K235" s="24">
        <f t="shared" si="17"/>
        <v>0.12889699179580671</v>
      </c>
      <c r="L235" t="str">
        <f>VLOOKUP(B235,товар!$A$1:$C$433,3,FALSE)</f>
        <v>Мистраль</v>
      </c>
      <c r="M235">
        <f t="shared" si="18"/>
        <v>250.30769230769232</v>
      </c>
      <c r="N235" s="30">
        <f>VLOOKUP(H235,клиенты!$A$1:$G$435,5,FALSE)</f>
        <v>44625</v>
      </c>
      <c r="O235">
        <f t="shared" si="19"/>
        <v>371</v>
      </c>
    </row>
    <row r="236" spans="1:15" x14ac:dyDescent="0.3">
      <c r="A236">
        <v>235</v>
      </c>
      <c r="B236">
        <v>23</v>
      </c>
      <c r="C236">
        <v>174</v>
      </c>
      <c r="D236">
        <v>3</v>
      </c>
      <c r="E236">
        <f t="shared" si="15"/>
        <v>522</v>
      </c>
      <c r="F236" s="30">
        <v>45396</v>
      </c>
      <c r="G236" t="s">
        <v>28</v>
      </c>
      <c r="H236">
        <v>181</v>
      </c>
      <c r="I236" t="str">
        <f>VLOOKUP(B236,товар!$A$1:$C$433,2,FALSE)</f>
        <v>Рыба</v>
      </c>
      <c r="J236" s="23">
        <f t="shared" si="16"/>
        <v>258.5128205128205</v>
      </c>
      <c r="K236" s="24">
        <f t="shared" si="17"/>
        <v>-0.32691926205118027</v>
      </c>
      <c r="L236" t="str">
        <f>VLOOKUP(B236,товар!$A$1:$C$433,3,FALSE)</f>
        <v>Санта Бремор</v>
      </c>
      <c r="M236">
        <f t="shared" si="18"/>
        <v>216.4</v>
      </c>
      <c r="N236" s="30">
        <f>VLOOKUP(H236,клиенты!$A$1:$G$435,5,FALSE)</f>
        <v>44568</v>
      </c>
      <c r="O236">
        <f t="shared" si="19"/>
        <v>828</v>
      </c>
    </row>
    <row r="237" spans="1:15" x14ac:dyDescent="0.3">
      <c r="A237">
        <v>236</v>
      </c>
      <c r="B237">
        <v>49</v>
      </c>
      <c r="C237">
        <v>292</v>
      </c>
      <c r="D237">
        <v>3</v>
      </c>
      <c r="E237">
        <f t="shared" si="15"/>
        <v>876</v>
      </c>
      <c r="F237" s="30">
        <v>45059</v>
      </c>
      <c r="G237" t="s">
        <v>16</v>
      </c>
      <c r="H237">
        <v>431</v>
      </c>
      <c r="I237" t="str">
        <f>VLOOKUP(B237,товар!$A$1:$C$433,2,FALSE)</f>
        <v>Рис</v>
      </c>
      <c r="J237" s="23">
        <f t="shared" si="16"/>
        <v>258.375</v>
      </c>
      <c r="K237" s="24">
        <f t="shared" si="17"/>
        <v>0.1301402999516208</v>
      </c>
      <c r="L237" t="str">
        <f>VLOOKUP(B237,товар!$A$1:$C$433,3,FALSE)</f>
        <v>Агро-Альянс</v>
      </c>
      <c r="M237">
        <f t="shared" si="18"/>
        <v>317.85714285714283</v>
      </c>
      <c r="N237" s="30">
        <f>VLOOKUP(H237,клиенты!$A$1:$G$435,5,FALSE)</f>
        <v>44623</v>
      </c>
      <c r="O237">
        <f t="shared" si="19"/>
        <v>436</v>
      </c>
    </row>
    <row r="238" spans="1:15" x14ac:dyDescent="0.3">
      <c r="A238">
        <v>237</v>
      </c>
      <c r="B238">
        <v>485</v>
      </c>
      <c r="C238">
        <v>243</v>
      </c>
      <c r="D238">
        <v>3</v>
      </c>
      <c r="E238">
        <f t="shared" si="15"/>
        <v>729</v>
      </c>
      <c r="F238" s="30">
        <v>44987</v>
      </c>
      <c r="G238" t="s">
        <v>28</v>
      </c>
      <c r="H238">
        <v>34</v>
      </c>
      <c r="I238" t="str">
        <f>VLOOKUP(B238,товар!$A$1:$C$433,2,FALSE)</f>
        <v>Макароны</v>
      </c>
      <c r="J238" s="23">
        <f t="shared" si="16"/>
        <v>265.47674418604652</v>
      </c>
      <c r="K238" s="24">
        <f t="shared" si="17"/>
        <v>-8.4665586264289772E-2</v>
      </c>
      <c r="L238" t="str">
        <f>VLOOKUP(B238,товар!$A$1:$C$433,3,FALSE)</f>
        <v>Борилла</v>
      </c>
      <c r="M238">
        <f t="shared" si="18"/>
        <v>236.27586206896552</v>
      </c>
      <c r="N238" s="30">
        <f>VLOOKUP(H238,клиенты!$A$1:$G$435,5,FALSE)</f>
        <v>44654</v>
      </c>
      <c r="O238">
        <f t="shared" si="19"/>
        <v>333</v>
      </c>
    </row>
    <row r="239" spans="1:15" x14ac:dyDescent="0.3">
      <c r="A239">
        <v>238</v>
      </c>
      <c r="B239">
        <v>131</v>
      </c>
      <c r="C239">
        <v>382</v>
      </c>
      <c r="D239">
        <v>5</v>
      </c>
      <c r="E239">
        <f t="shared" si="15"/>
        <v>1910</v>
      </c>
      <c r="F239" s="30">
        <v>45365</v>
      </c>
      <c r="G239" t="s">
        <v>20</v>
      </c>
      <c r="H239">
        <v>147</v>
      </c>
      <c r="I239" t="str">
        <f>VLOOKUP(B239,товар!$A$1:$C$433,2,FALSE)</f>
        <v>Сок</v>
      </c>
      <c r="J239" s="23">
        <f t="shared" si="16"/>
        <v>268.60344827586209</v>
      </c>
      <c r="K239" s="24">
        <f t="shared" si="17"/>
        <v>0.42217087104435436</v>
      </c>
      <c r="L239" t="str">
        <f>VLOOKUP(B239,товар!$A$1:$C$433,3,FALSE)</f>
        <v>Сады Придонья</v>
      </c>
      <c r="M239">
        <f t="shared" si="18"/>
        <v>254.18181818181819</v>
      </c>
      <c r="N239" s="30">
        <f>VLOOKUP(H239,клиенты!$A$1:$G$435,5,FALSE)</f>
        <v>44827</v>
      </c>
      <c r="O239">
        <f t="shared" si="19"/>
        <v>538</v>
      </c>
    </row>
    <row r="240" spans="1:15" x14ac:dyDescent="0.3">
      <c r="A240">
        <v>239</v>
      </c>
      <c r="B240">
        <v>270</v>
      </c>
      <c r="C240">
        <v>308</v>
      </c>
      <c r="D240">
        <v>1</v>
      </c>
      <c r="E240">
        <f t="shared" si="15"/>
        <v>308</v>
      </c>
      <c r="F240" s="30">
        <v>45322</v>
      </c>
      <c r="G240" t="s">
        <v>16</v>
      </c>
      <c r="H240">
        <v>496</v>
      </c>
      <c r="I240" t="str">
        <f>VLOOKUP(B240,товар!$A$1:$C$433,2,FALSE)</f>
        <v>Соль</v>
      </c>
      <c r="J240" s="23">
        <f t="shared" si="16"/>
        <v>264.8679245283019</v>
      </c>
      <c r="K240" s="24">
        <f t="shared" si="17"/>
        <v>0.16284370993018937</v>
      </c>
      <c r="L240" t="str">
        <f>VLOOKUP(B240,товар!$A$1:$C$433,3,FALSE)</f>
        <v>Славянская</v>
      </c>
      <c r="M240">
        <f t="shared" si="18"/>
        <v>236.91666666666666</v>
      </c>
      <c r="N240" s="30">
        <f>VLOOKUP(H240,клиенты!$A$1:$G$435,5,FALSE)</f>
        <v>44867</v>
      </c>
      <c r="O240">
        <f t="shared" si="19"/>
        <v>455</v>
      </c>
    </row>
    <row r="241" spans="1:15" x14ac:dyDescent="0.3">
      <c r="A241">
        <v>240</v>
      </c>
      <c r="B241">
        <v>345</v>
      </c>
      <c r="C241">
        <v>357</v>
      </c>
      <c r="D241">
        <v>4</v>
      </c>
      <c r="E241">
        <f t="shared" si="15"/>
        <v>1428</v>
      </c>
      <c r="F241" s="30">
        <v>45057</v>
      </c>
      <c r="G241" t="s">
        <v>29</v>
      </c>
      <c r="H241">
        <v>202</v>
      </c>
      <c r="I241" t="str">
        <f>VLOOKUP(B241,товар!$A$1:$C$433,2,FALSE)</f>
        <v>Конфеты</v>
      </c>
      <c r="J241" s="23">
        <f t="shared" si="16"/>
        <v>267.85483870967744</v>
      </c>
      <c r="K241" s="24">
        <f t="shared" si="17"/>
        <v>0.33281146504486059</v>
      </c>
      <c r="L241" t="str">
        <f>VLOOKUP(B241,товар!$A$1:$C$433,3,FALSE)</f>
        <v>Рот Фронт</v>
      </c>
      <c r="M241">
        <f t="shared" si="18"/>
        <v>288.23809523809524</v>
      </c>
      <c r="N241" s="30">
        <f>VLOOKUP(H241,клиенты!$A$1:$G$435,5,FALSE)</f>
        <v>44766</v>
      </c>
      <c r="O241">
        <f t="shared" si="19"/>
        <v>291</v>
      </c>
    </row>
    <row r="242" spans="1:15" x14ac:dyDescent="0.3">
      <c r="A242">
        <v>241</v>
      </c>
      <c r="B242">
        <v>40</v>
      </c>
      <c r="C242">
        <v>82</v>
      </c>
      <c r="D242">
        <v>1</v>
      </c>
      <c r="E242">
        <f t="shared" si="15"/>
        <v>82</v>
      </c>
      <c r="F242" s="30">
        <v>45011</v>
      </c>
      <c r="G242" t="s">
        <v>19</v>
      </c>
      <c r="H242">
        <v>312</v>
      </c>
      <c r="I242" t="str">
        <f>VLOOKUP(B242,товар!$A$1:$C$433,2,FALSE)</f>
        <v>Колбаса</v>
      </c>
      <c r="J242" s="23">
        <f t="shared" si="16"/>
        <v>286.92307692307691</v>
      </c>
      <c r="K242" s="24">
        <f t="shared" si="17"/>
        <v>-0.71420911528150133</v>
      </c>
      <c r="L242" t="str">
        <f>VLOOKUP(B242,товар!$A$1:$C$433,3,FALSE)</f>
        <v>Микоян</v>
      </c>
      <c r="M242">
        <f t="shared" si="18"/>
        <v>82</v>
      </c>
      <c r="N242" s="30">
        <f>VLOOKUP(H242,клиенты!$A$1:$G$435,5,FALSE)</f>
        <v>44886</v>
      </c>
      <c r="O242">
        <f t="shared" si="19"/>
        <v>125</v>
      </c>
    </row>
    <row r="243" spans="1:15" x14ac:dyDescent="0.3">
      <c r="A243">
        <v>242</v>
      </c>
      <c r="B243">
        <v>275</v>
      </c>
      <c r="C243">
        <v>219</v>
      </c>
      <c r="D243">
        <v>1</v>
      </c>
      <c r="E243">
        <f t="shared" si="15"/>
        <v>219</v>
      </c>
      <c r="F243" s="30">
        <v>45028</v>
      </c>
      <c r="G243" t="s">
        <v>31</v>
      </c>
      <c r="H243">
        <v>41</v>
      </c>
      <c r="I243" t="str">
        <f>VLOOKUP(B243,товар!$A$1:$C$433,2,FALSE)</f>
        <v>Сыр</v>
      </c>
      <c r="J243" s="23">
        <f t="shared" si="16"/>
        <v>262.63492063492066</v>
      </c>
      <c r="K243" s="24">
        <f t="shared" si="17"/>
        <v>-0.16614287441073383</v>
      </c>
      <c r="L243" t="str">
        <f>VLOOKUP(B243,товар!$A$1:$C$433,3,FALSE)</f>
        <v>Сырная долина</v>
      </c>
      <c r="M243">
        <f t="shared" si="18"/>
        <v>271</v>
      </c>
      <c r="N243" s="30">
        <f>VLOOKUP(H243,клиенты!$A$1:$G$435,5,FALSE)</f>
        <v>44842</v>
      </c>
      <c r="O243">
        <f t="shared" si="19"/>
        <v>186</v>
      </c>
    </row>
    <row r="244" spans="1:15" x14ac:dyDescent="0.3">
      <c r="A244">
        <v>243</v>
      </c>
      <c r="B244">
        <v>205</v>
      </c>
      <c r="C244">
        <v>117</v>
      </c>
      <c r="D244">
        <v>5</v>
      </c>
      <c r="E244">
        <f t="shared" si="15"/>
        <v>585</v>
      </c>
      <c r="F244" s="30">
        <v>45006</v>
      </c>
      <c r="G244" t="s">
        <v>34</v>
      </c>
      <c r="H244">
        <v>389</v>
      </c>
      <c r="I244" t="str">
        <f>VLOOKUP(B244,товар!$A$1:$C$433,2,FALSE)</f>
        <v>Макароны</v>
      </c>
      <c r="J244" s="23">
        <f t="shared" si="16"/>
        <v>265.47674418604652</v>
      </c>
      <c r="K244" s="24">
        <f t="shared" si="17"/>
        <v>-0.559283430423547</v>
      </c>
      <c r="L244" t="str">
        <f>VLOOKUP(B244,товар!$A$1:$C$433,3,FALSE)</f>
        <v>Борилла</v>
      </c>
      <c r="M244">
        <f t="shared" si="18"/>
        <v>236.27586206896552</v>
      </c>
      <c r="N244" s="30">
        <f>VLOOKUP(H244,клиенты!$A$1:$G$435,5,FALSE)</f>
        <v>44876</v>
      </c>
      <c r="O244">
        <f t="shared" si="19"/>
        <v>130</v>
      </c>
    </row>
    <row r="245" spans="1:15" x14ac:dyDescent="0.3">
      <c r="A245">
        <v>244</v>
      </c>
      <c r="B245">
        <v>219</v>
      </c>
      <c r="C245">
        <v>474</v>
      </c>
      <c r="D245">
        <v>5</v>
      </c>
      <c r="E245">
        <f t="shared" si="15"/>
        <v>2370</v>
      </c>
      <c r="F245" s="30">
        <v>45300</v>
      </c>
      <c r="G245" t="s">
        <v>25</v>
      </c>
      <c r="H245">
        <v>24</v>
      </c>
      <c r="I245" t="str">
        <f>VLOOKUP(B245,товар!$A$1:$C$433,2,FALSE)</f>
        <v>Йогурт</v>
      </c>
      <c r="J245" s="23">
        <f t="shared" si="16"/>
        <v>263.25423728813558</v>
      </c>
      <c r="K245" s="24">
        <f t="shared" si="17"/>
        <v>0.80054081895441676</v>
      </c>
      <c r="L245" t="str">
        <f>VLOOKUP(B245,товар!$A$1:$C$433,3,FALSE)</f>
        <v>Чудо</v>
      </c>
      <c r="M245">
        <f t="shared" si="18"/>
        <v>287.10000000000002</v>
      </c>
      <c r="N245" s="30">
        <f>VLOOKUP(H245,клиенты!$A$1:$G$435,5,FALSE)</f>
        <v>44609</v>
      </c>
      <c r="O245">
        <f t="shared" si="19"/>
        <v>691</v>
      </c>
    </row>
    <row r="246" spans="1:15" x14ac:dyDescent="0.3">
      <c r="A246">
        <v>245</v>
      </c>
      <c r="B246">
        <v>425</v>
      </c>
      <c r="C246">
        <v>334</v>
      </c>
      <c r="D246">
        <v>2</v>
      </c>
      <c r="E246">
        <f t="shared" si="15"/>
        <v>668</v>
      </c>
      <c r="F246" s="30">
        <v>45187</v>
      </c>
      <c r="G246" t="s">
        <v>22</v>
      </c>
      <c r="H246">
        <v>25</v>
      </c>
      <c r="I246" t="str">
        <f>VLOOKUP(B246,товар!$A$1:$C$433,2,FALSE)</f>
        <v>Соль</v>
      </c>
      <c r="J246" s="23">
        <f t="shared" si="16"/>
        <v>264.8679245283019</v>
      </c>
      <c r="K246" s="24">
        <f t="shared" si="17"/>
        <v>0.2610058412879328</v>
      </c>
      <c r="L246" t="str">
        <f>VLOOKUP(B246,товар!$A$1:$C$433,3,FALSE)</f>
        <v>Экстра</v>
      </c>
      <c r="M246">
        <f t="shared" si="18"/>
        <v>320.84615384615387</v>
      </c>
      <c r="N246" s="30">
        <f>VLOOKUP(H246,клиенты!$A$1:$G$435,5,FALSE)</f>
        <v>44582</v>
      </c>
      <c r="O246">
        <f t="shared" si="19"/>
        <v>605</v>
      </c>
    </row>
    <row r="247" spans="1:15" x14ac:dyDescent="0.3">
      <c r="A247">
        <v>246</v>
      </c>
      <c r="B247">
        <v>452</v>
      </c>
      <c r="C247">
        <v>220</v>
      </c>
      <c r="D247">
        <v>5</v>
      </c>
      <c r="E247">
        <f t="shared" si="15"/>
        <v>1100</v>
      </c>
      <c r="F247" s="30">
        <v>44951</v>
      </c>
      <c r="G247" t="s">
        <v>19</v>
      </c>
      <c r="H247">
        <v>411</v>
      </c>
      <c r="I247" t="str">
        <f>VLOOKUP(B247,товар!$A$1:$C$433,2,FALSE)</f>
        <v>Фрукты</v>
      </c>
      <c r="J247" s="23">
        <f t="shared" si="16"/>
        <v>274.16279069767444</v>
      </c>
      <c r="K247" s="24">
        <f t="shared" si="17"/>
        <v>-0.19755704470268898</v>
      </c>
      <c r="L247" t="str">
        <f>VLOOKUP(B247,товар!$A$1:$C$433,3,FALSE)</f>
        <v>Экзотик</v>
      </c>
      <c r="M247">
        <f t="shared" si="18"/>
        <v>253.6875</v>
      </c>
      <c r="N247" s="30">
        <f>VLOOKUP(H247,клиенты!$A$1:$G$435,5,FALSE)</f>
        <v>44673</v>
      </c>
      <c r="O247">
        <f t="shared" si="19"/>
        <v>278</v>
      </c>
    </row>
    <row r="248" spans="1:15" x14ac:dyDescent="0.3">
      <c r="A248">
        <v>247</v>
      </c>
      <c r="B248">
        <v>285</v>
      </c>
      <c r="C248">
        <v>282</v>
      </c>
      <c r="D248">
        <v>5</v>
      </c>
      <c r="E248">
        <f t="shared" si="15"/>
        <v>1410</v>
      </c>
      <c r="F248" s="30">
        <v>45405</v>
      </c>
      <c r="G248" t="s">
        <v>31</v>
      </c>
      <c r="H248">
        <v>106</v>
      </c>
      <c r="I248" t="str">
        <f>VLOOKUP(B248,товар!$A$1:$C$433,2,FALSE)</f>
        <v>Макароны</v>
      </c>
      <c r="J248" s="23">
        <f t="shared" si="16"/>
        <v>265.47674418604652</v>
      </c>
      <c r="K248" s="24">
        <f t="shared" si="17"/>
        <v>6.2239936927861228E-2</v>
      </c>
      <c r="L248" t="str">
        <f>VLOOKUP(B248,товар!$A$1:$C$433,3,FALSE)</f>
        <v>Паста Зара</v>
      </c>
      <c r="M248">
        <f t="shared" si="18"/>
        <v>276.67567567567568</v>
      </c>
      <c r="N248" s="30">
        <f>VLOOKUP(H248,клиенты!$A$1:$G$435,5,FALSE)</f>
        <v>44858</v>
      </c>
      <c r="O248">
        <f t="shared" si="19"/>
        <v>547</v>
      </c>
    </row>
    <row r="249" spans="1:15" x14ac:dyDescent="0.3">
      <c r="A249">
        <v>248</v>
      </c>
      <c r="B249">
        <v>435</v>
      </c>
      <c r="C249">
        <v>499</v>
      </c>
      <c r="D249">
        <v>5</v>
      </c>
      <c r="E249">
        <f t="shared" si="15"/>
        <v>2495</v>
      </c>
      <c r="F249" s="30">
        <v>44942</v>
      </c>
      <c r="G249" t="s">
        <v>19</v>
      </c>
      <c r="H249">
        <v>175</v>
      </c>
      <c r="I249" t="str">
        <f>VLOOKUP(B249,товар!$A$1:$C$433,2,FALSE)</f>
        <v>Мясо</v>
      </c>
      <c r="J249" s="23">
        <f t="shared" si="16"/>
        <v>271.74545454545455</v>
      </c>
      <c r="K249" s="24">
        <f t="shared" si="17"/>
        <v>0.83627726482001874</v>
      </c>
      <c r="L249" t="str">
        <f>VLOOKUP(B249,товар!$A$1:$C$433,3,FALSE)</f>
        <v>Снежана</v>
      </c>
      <c r="M249">
        <f t="shared" si="18"/>
        <v>272.35294117647061</v>
      </c>
      <c r="N249" s="30">
        <f>VLOOKUP(H249,клиенты!$A$1:$G$435,5,FALSE)</f>
        <v>44565</v>
      </c>
      <c r="O249">
        <f t="shared" si="19"/>
        <v>377</v>
      </c>
    </row>
    <row r="250" spans="1:15" x14ac:dyDescent="0.3">
      <c r="A250">
        <v>249</v>
      </c>
      <c r="B250">
        <v>26</v>
      </c>
      <c r="C250">
        <v>170</v>
      </c>
      <c r="D250">
        <v>1</v>
      </c>
      <c r="E250">
        <f t="shared" si="15"/>
        <v>170</v>
      </c>
      <c r="F250" s="30">
        <v>45139</v>
      </c>
      <c r="G250" t="s">
        <v>32</v>
      </c>
      <c r="H250">
        <v>286</v>
      </c>
      <c r="I250" t="str">
        <f>VLOOKUP(B250,товар!$A$1:$C$433,2,FALSE)</f>
        <v>Мясо</v>
      </c>
      <c r="J250" s="23">
        <f t="shared" si="16"/>
        <v>271.74545454545455</v>
      </c>
      <c r="K250" s="24">
        <f t="shared" si="17"/>
        <v>-0.37441455907935239</v>
      </c>
      <c r="L250" t="str">
        <f>VLOOKUP(B250,товар!$A$1:$C$433,3,FALSE)</f>
        <v>Сава</v>
      </c>
      <c r="M250">
        <f t="shared" si="18"/>
        <v>212.8125</v>
      </c>
      <c r="N250" s="30">
        <f>VLOOKUP(H250,клиенты!$A$1:$G$435,5,FALSE)</f>
        <v>44563</v>
      </c>
      <c r="O250">
        <f t="shared" si="19"/>
        <v>576</v>
      </c>
    </row>
    <row r="251" spans="1:15" x14ac:dyDescent="0.3">
      <c r="A251">
        <v>250</v>
      </c>
      <c r="B251">
        <v>157</v>
      </c>
      <c r="C251">
        <v>52</v>
      </c>
      <c r="D251">
        <v>1</v>
      </c>
      <c r="E251">
        <f t="shared" si="15"/>
        <v>52</v>
      </c>
      <c r="F251" s="30">
        <v>44961</v>
      </c>
      <c r="G251" t="s">
        <v>15</v>
      </c>
      <c r="H251">
        <v>249</v>
      </c>
      <c r="I251" t="str">
        <f>VLOOKUP(B251,товар!$A$1:$C$433,2,FALSE)</f>
        <v>Сыр</v>
      </c>
      <c r="J251" s="23">
        <f t="shared" si="16"/>
        <v>262.63492063492066</v>
      </c>
      <c r="K251" s="24">
        <f t="shared" si="17"/>
        <v>-0.80200652725734312</v>
      </c>
      <c r="L251" t="str">
        <f>VLOOKUP(B251,товар!$A$1:$C$433,3,FALSE)</f>
        <v>President</v>
      </c>
      <c r="M251">
        <f t="shared" si="18"/>
        <v>238.72222222222223</v>
      </c>
      <c r="N251" s="30">
        <f>VLOOKUP(H251,клиенты!$A$1:$G$435,5,FALSE)</f>
        <v>44781</v>
      </c>
      <c r="O251">
        <f t="shared" si="19"/>
        <v>180</v>
      </c>
    </row>
    <row r="252" spans="1:15" x14ac:dyDescent="0.3">
      <c r="A252">
        <v>251</v>
      </c>
      <c r="B252">
        <v>273</v>
      </c>
      <c r="C252">
        <v>156</v>
      </c>
      <c r="D252">
        <v>5</v>
      </c>
      <c r="E252">
        <f t="shared" si="15"/>
        <v>780</v>
      </c>
      <c r="F252" s="30">
        <v>45029</v>
      </c>
      <c r="G252" t="s">
        <v>30</v>
      </c>
      <c r="H252">
        <v>168</v>
      </c>
      <c r="I252" t="str">
        <f>VLOOKUP(B252,товар!$A$1:$C$433,2,FALSE)</f>
        <v>Конфеты</v>
      </c>
      <c r="J252" s="23">
        <f t="shared" si="16"/>
        <v>267.85483870967744</v>
      </c>
      <c r="K252" s="24">
        <f t="shared" si="17"/>
        <v>-0.41759499006443068</v>
      </c>
      <c r="L252" t="str">
        <f>VLOOKUP(B252,товар!$A$1:$C$433,3,FALSE)</f>
        <v>Красный Октябрь</v>
      </c>
      <c r="M252">
        <f t="shared" si="18"/>
        <v>273.625</v>
      </c>
      <c r="N252" s="30">
        <f>VLOOKUP(H252,клиенты!$A$1:$G$435,5,FALSE)</f>
        <v>44706</v>
      </c>
      <c r="O252">
        <f t="shared" si="19"/>
        <v>323</v>
      </c>
    </row>
    <row r="253" spans="1:15" x14ac:dyDescent="0.3">
      <c r="A253">
        <v>252</v>
      </c>
      <c r="B253">
        <v>340</v>
      </c>
      <c r="C253">
        <v>450</v>
      </c>
      <c r="D253">
        <v>3</v>
      </c>
      <c r="E253">
        <f t="shared" si="15"/>
        <v>1350</v>
      </c>
      <c r="F253" s="30">
        <v>44933</v>
      </c>
      <c r="G253" t="s">
        <v>22</v>
      </c>
      <c r="H253">
        <v>121</v>
      </c>
      <c r="I253" t="str">
        <f>VLOOKUP(B253,товар!$A$1:$C$433,2,FALSE)</f>
        <v>Сыр</v>
      </c>
      <c r="J253" s="23">
        <f t="shared" si="16"/>
        <v>262.63492063492066</v>
      </c>
      <c r="K253" s="24">
        <f t="shared" si="17"/>
        <v>0.71340505258068387</v>
      </c>
      <c r="L253" t="str">
        <f>VLOOKUP(B253,товар!$A$1:$C$433,3,FALSE)</f>
        <v>Карат</v>
      </c>
      <c r="M253">
        <f t="shared" si="18"/>
        <v>311.33333333333331</v>
      </c>
      <c r="N253" s="30">
        <f>VLOOKUP(H253,клиенты!$A$1:$G$435,5,FALSE)</f>
        <v>44763</v>
      </c>
      <c r="O253">
        <f t="shared" si="19"/>
        <v>170</v>
      </c>
    </row>
    <row r="254" spans="1:15" x14ac:dyDescent="0.3">
      <c r="A254">
        <v>253</v>
      </c>
      <c r="B254">
        <v>34</v>
      </c>
      <c r="C254">
        <v>366</v>
      </c>
      <c r="D254">
        <v>4</v>
      </c>
      <c r="E254">
        <f t="shared" si="15"/>
        <v>1464</v>
      </c>
      <c r="F254" s="30">
        <v>45264</v>
      </c>
      <c r="G254" t="s">
        <v>21</v>
      </c>
      <c r="H254">
        <v>259</v>
      </c>
      <c r="I254" t="str">
        <f>VLOOKUP(B254,товар!$A$1:$C$433,2,FALSE)</f>
        <v>Крупа</v>
      </c>
      <c r="J254" s="23">
        <f t="shared" si="16"/>
        <v>255.11627906976744</v>
      </c>
      <c r="K254" s="24">
        <f t="shared" si="17"/>
        <v>0.4346399270738377</v>
      </c>
      <c r="L254" t="str">
        <f>VLOOKUP(B254,товар!$A$1:$C$433,3,FALSE)</f>
        <v>Ярмарка</v>
      </c>
      <c r="M254">
        <f t="shared" si="18"/>
        <v>252.09090909090909</v>
      </c>
      <c r="N254" s="30">
        <f>VLOOKUP(H254,клиенты!$A$1:$G$435,5,FALSE)</f>
        <v>44707</v>
      </c>
      <c r="O254">
        <f t="shared" si="19"/>
        <v>557</v>
      </c>
    </row>
    <row r="255" spans="1:15" x14ac:dyDescent="0.3">
      <c r="A255">
        <v>254</v>
      </c>
      <c r="B255">
        <v>296</v>
      </c>
      <c r="C255">
        <v>210</v>
      </c>
      <c r="D255">
        <v>1</v>
      </c>
      <c r="E255">
        <f t="shared" si="15"/>
        <v>210</v>
      </c>
      <c r="F255" s="30">
        <v>45010</v>
      </c>
      <c r="G255" t="s">
        <v>16</v>
      </c>
      <c r="H255">
        <v>255</v>
      </c>
      <c r="I255" t="str">
        <f>VLOOKUP(B255,товар!$A$1:$C$433,2,FALSE)</f>
        <v>Крупа</v>
      </c>
      <c r="J255" s="23">
        <f t="shared" si="16"/>
        <v>255.11627906976744</v>
      </c>
      <c r="K255" s="24">
        <f t="shared" si="17"/>
        <v>-0.17684594348222427</v>
      </c>
      <c r="L255" t="str">
        <f>VLOOKUP(B255,товар!$A$1:$C$433,3,FALSE)</f>
        <v>Мистраль</v>
      </c>
      <c r="M255">
        <f t="shared" si="18"/>
        <v>250.30769230769232</v>
      </c>
      <c r="N255" s="30">
        <f>VLOOKUP(H255,клиенты!$A$1:$G$435,5,FALSE)</f>
        <v>44793</v>
      </c>
      <c r="O255">
        <f t="shared" si="19"/>
        <v>217</v>
      </c>
    </row>
    <row r="256" spans="1:15" x14ac:dyDescent="0.3">
      <c r="A256">
        <v>255</v>
      </c>
      <c r="B256">
        <v>116</v>
      </c>
      <c r="C256">
        <v>379</v>
      </c>
      <c r="D256">
        <v>4</v>
      </c>
      <c r="E256">
        <f t="shared" si="15"/>
        <v>1516</v>
      </c>
      <c r="F256" s="30">
        <v>45261</v>
      </c>
      <c r="G256" t="s">
        <v>29</v>
      </c>
      <c r="H256">
        <v>405</v>
      </c>
      <c r="I256" t="str">
        <f>VLOOKUP(B256,товар!$A$1:$C$433,2,FALSE)</f>
        <v>Соль</v>
      </c>
      <c r="J256" s="23">
        <f t="shared" si="16"/>
        <v>264.8679245283019</v>
      </c>
      <c r="K256" s="24">
        <f t="shared" si="17"/>
        <v>0.43090183786864222</v>
      </c>
      <c r="L256" t="str">
        <f>VLOOKUP(B256,товар!$A$1:$C$433,3,FALSE)</f>
        <v>Экстра</v>
      </c>
      <c r="M256">
        <f t="shared" si="18"/>
        <v>320.84615384615387</v>
      </c>
      <c r="N256" s="30">
        <f>VLOOKUP(H256,клиенты!$A$1:$G$435,5,FALSE)</f>
        <v>44798</v>
      </c>
      <c r="O256">
        <f t="shared" si="19"/>
        <v>463</v>
      </c>
    </row>
    <row r="257" spans="1:15" x14ac:dyDescent="0.3">
      <c r="A257">
        <v>256</v>
      </c>
      <c r="B257">
        <v>117</v>
      </c>
      <c r="C257">
        <v>102</v>
      </c>
      <c r="D257">
        <v>4</v>
      </c>
      <c r="E257">
        <f t="shared" si="15"/>
        <v>408</v>
      </c>
      <c r="F257" s="30">
        <v>45329</v>
      </c>
      <c r="G257" t="s">
        <v>31</v>
      </c>
      <c r="H257">
        <v>376</v>
      </c>
      <c r="I257" t="str">
        <f>VLOOKUP(B257,товар!$A$1:$C$433,2,FALSE)</f>
        <v>Макароны</v>
      </c>
      <c r="J257" s="23">
        <f t="shared" si="16"/>
        <v>265.47674418604652</v>
      </c>
      <c r="K257" s="24">
        <f t="shared" si="17"/>
        <v>-0.61578555472822039</v>
      </c>
      <c r="L257" t="str">
        <f>VLOOKUP(B257,товар!$A$1:$C$433,3,FALSE)</f>
        <v>Роллтон</v>
      </c>
      <c r="M257">
        <f t="shared" si="18"/>
        <v>235.55555555555554</v>
      </c>
      <c r="N257" s="30">
        <f>VLOOKUP(H257,клиенты!$A$1:$G$435,5,FALSE)</f>
        <v>44730</v>
      </c>
      <c r="O257">
        <f t="shared" si="19"/>
        <v>599</v>
      </c>
    </row>
    <row r="258" spans="1:15" x14ac:dyDescent="0.3">
      <c r="A258">
        <v>257</v>
      </c>
      <c r="B258">
        <v>239</v>
      </c>
      <c r="C258">
        <v>380</v>
      </c>
      <c r="D258">
        <v>5</v>
      </c>
      <c r="E258">
        <f t="shared" ref="E258:E321" si="20">C258*D258</f>
        <v>1900</v>
      </c>
      <c r="F258" s="30">
        <v>45129</v>
      </c>
      <c r="G258" t="s">
        <v>15</v>
      </c>
      <c r="H258">
        <v>489</v>
      </c>
      <c r="I258" t="str">
        <f>VLOOKUP(B258,товар!$A$1:$C$433,2,FALSE)</f>
        <v>Йогурт</v>
      </c>
      <c r="J258" s="23">
        <f t="shared" ref="J258:J321" si="21">AVERAGEIF($I$2:$I$1001,I258,$C$2:$C$1001)</f>
        <v>263.25423728813558</v>
      </c>
      <c r="K258" s="24">
        <f t="shared" ref="K258:K321" si="22">C258/J258-1</f>
        <v>0.44347154262168442</v>
      </c>
      <c r="L258" t="str">
        <f>VLOOKUP(B258,товар!$A$1:$C$433,3,FALSE)</f>
        <v>Эрманн</v>
      </c>
      <c r="M258">
        <f t="shared" ref="M258:M321" si="23">AVERAGEIFS($C$2:$C$1001,$I$2:$I$1001,I258,$L$2:$L$1001,L258)</f>
        <v>248.5</v>
      </c>
      <c r="N258" s="30">
        <f>VLOOKUP(H258,клиенты!$A$1:$G$435,5,FALSE)</f>
        <v>44587</v>
      </c>
      <c r="O258">
        <f t="shared" ref="O258:O321" si="24">F258-N258</f>
        <v>542</v>
      </c>
    </row>
    <row r="259" spans="1:15" x14ac:dyDescent="0.3">
      <c r="A259">
        <v>258</v>
      </c>
      <c r="B259">
        <v>201</v>
      </c>
      <c r="C259">
        <v>355</v>
      </c>
      <c r="D259">
        <v>5</v>
      </c>
      <c r="E259">
        <f t="shared" si="20"/>
        <v>1775</v>
      </c>
      <c r="F259" s="30">
        <v>45343</v>
      </c>
      <c r="G259" t="s">
        <v>26</v>
      </c>
      <c r="H259">
        <v>483</v>
      </c>
      <c r="I259" t="str">
        <f>VLOOKUP(B259,товар!$A$1:$C$433,2,FALSE)</f>
        <v>Печенье</v>
      </c>
      <c r="J259" s="23">
        <f t="shared" si="21"/>
        <v>283.468085106383</v>
      </c>
      <c r="K259" s="24">
        <f t="shared" si="22"/>
        <v>0.25234556781505657</v>
      </c>
      <c r="L259" t="str">
        <f>VLOOKUP(B259,товар!$A$1:$C$433,3,FALSE)</f>
        <v>Белогорье</v>
      </c>
      <c r="M259">
        <f t="shared" si="23"/>
        <v>249.5</v>
      </c>
      <c r="N259" s="30">
        <f>VLOOKUP(H259,клиенты!$A$1:$G$435,5,FALSE)</f>
        <v>44855</v>
      </c>
      <c r="O259">
        <f t="shared" si="24"/>
        <v>488</v>
      </c>
    </row>
    <row r="260" spans="1:15" x14ac:dyDescent="0.3">
      <c r="A260">
        <v>259</v>
      </c>
      <c r="B260">
        <v>377</v>
      </c>
      <c r="C260">
        <v>403</v>
      </c>
      <c r="D260">
        <v>4</v>
      </c>
      <c r="E260">
        <f t="shared" si="20"/>
        <v>1612</v>
      </c>
      <c r="F260" s="30">
        <v>45337</v>
      </c>
      <c r="G260" t="s">
        <v>31</v>
      </c>
      <c r="H260">
        <v>107</v>
      </c>
      <c r="I260" t="str">
        <f>VLOOKUP(B260,товар!$A$1:$C$433,2,FALSE)</f>
        <v>Колбаса</v>
      </c>
      <c r="J260" s="23">
        <f t="shared" si="21"/>
        <v>286.92307692307691</v>
      </c>
      <c r="K260" s="24">
        <f t="shared" si="22"/>
        <v>0.40455764075067036</v>
      </c>
      <c r="L260" t="str">
        <f>VLOOKUP(B260,товар!$A$1:$C$433,3,FALSE)</f>
        <v>Окраина</v>
      </c>
      <c r="M260">
        <f t="shared" si="23"/>
        <v>273.58333333333331</v>
      </c>
      <c r="N260" s="30">
        <f>VLOOKUP(H260,клиенты!$A$1:$G$435,5,FALSE)</f>
        <v>44744</v>
      </c>
      <c r="O260">
        <f t="shared" si="24"/>
        <v>593</v>
      </c>
    </row>
    <row r="261" spans="1:15" x14ac:dyDescent="0.3">
      <c r="A261">
        <v>260</v>
      </c>
      <c r="B261">
        <v>485</v>
      </c>
      <c r="C261">
        <v>101</v>
      </c>
      <c r="D261">
        <v>1</v>
      </c>
      <c r="E261">
        <f t="shared" si="20"/>
        <v>101</v>
      </c>
      <c r="F261" s="30">
        <v>45331</v>
      </c>
      <c r="G261" t="s">
        <v>28</v>
      </c>
      <c r="H261">
        <v>51</v>
      </c>
      <c r="I261" t="str">
        <f>VLOOKUP(B261,товар!$A$1:$C$433,2,FALSE)</f>
        <v>Макароны</v>
      </c>
      <c r="J261" s="23">
        <f t="shared" si="21"/>
        <v>265.47674418604652</v>
      </c>
      <c r="K261" s="24">
        <f t="shared" si="22"/>
        <v>-0.61955236301519867</v>
      </c>
      <c r="L261" t="str">
        <f>VLOOKUP(B261,товар!$A$1:$C$433,3,FALSE)</f>
        <v>Борилла</v>
      </c>
      <c r="M261">
        <f t="shared" si="23"/>
        <v>236.27586206896552</v>
      </c>
      <c r="N261" s="30">
        <f>VLOOKUP(H261,клиенты!$A$1:$G$435,5,FALSE)</f>
        <v>44605</v>
      </c>
      <c r="O261">
        <f t="shared" si="24"/>
        <v>726</v>
      </c>
    </row>
    <row r="262" spans="1:15" x14ac:dyDescent="0.3">
      <c r="A262">
        <v>261</v>
      </c>
      <c r="B262">
        <v>251</v>
      </c>
      <c r="C262">
        <v>294</v>
      </c>
      <c r="D262">
        <v>1</v>
      </c>
      <c r="E262">
        <f t="shared" si="20"/>
        <v>294</v>
      </c>
      <c r="F262" s="30">
        <v>45082</v>
      </c>
      <c r="G262" t="s">
        <v>19</v>
      </c>
      <c r="H262">
        <v>47</v>
      </c>
      <c r="I262" t="str">
        <f>VLOOKUP(B262,товар!$A$1:$C$433,2,FALSE)</f>
        <v>Овощи</v>
      </c>
      <c r="J262" s="23">
        <f t="shared" si="21"/>
        <v>250.48780487804879</v>
      </c>
      <c r="K262" s="24">
        <f t="shared" si="22"/>
        <v>0.17370983446932819</v>
      </c>
      <c r="L262" t="str">
        <f>VLOOKUP(B262,товар!$A$1:$C$433,3,FALSE)</f>
        <v>Гавриш</v>
      </c>
      <c r="M262">
        <f t="shared" si="23"/>
        <v>247.66666666666666</v>
      </c>
      <c r="N262" s="30">
        <f>VLOOKUP(H262,клиенты!$A$1:$G$435,5,FALSE)</f>
        <v>44693</v>
      </c>
      <c r="O262">
        <f t="shared" si="24"/>
        <v>389</v>
      </c>
    </row>
    <row r="263" spans="1:15" x14ac:dyDescent="0.3">
      <c r="A263">
        <v>262</v>
      </c>
      <c r="B263">
        <v>409</v>
      </c>
      <c r="C263">
        <v>299</v>
      </c>
      <c r="D263">
        <v>1</v>
      </c>
      <c r="E263">
        <f t="shared" si="20"/>
        <v>299</v>
      </c>
      <c r="F263" s="30">
        <v>45361</v>
      </c>
      <c r="G263" t="s">
        <v>17</v>
      </c>
      <c r="H263">
        <v>411</v>
      </c>
      <c r="I263" t="str">
        <f>VLOOKUP(B263,товар!$A$1:$C$433,2,FALSE)</f>
        <v>Фрукты</v>
      </c>
      <c r="J263" s="23">
        <f t="shared" si="21"/>
        <v>274.16279069767444</v>
      </c>
      <c r="K263" s="24">
        <f t="shared" si="22"/>
        <v>9.0592925608618202E-2</v>
      </c>
      <c r="L263" t="str">
        <f>VLOOKUP(B263,товар!$A$1:$C$433,3,FALSE)</f>
        <v>Фруктовый Рай</v>
      </c>
      <c r="M263">
        <f t="shared" si="23"/>
        <v>258.30769230769232</v>
      </c>
      <c r="N263" s="30">
        <f>VLOOKUP(H263,клиенты!$A$1:$G$435,5,FALSE)</f>
        <v>44673</v>
      </c>
      <c r="O263">
        <f t="shared" si="24"/>
        <v>688</v>
      </c>
    </row>
    <row r="264" spans="1:15" x14ac:dyDescent="0.3">
      <c r="A264">
        <v>263</v>
      </c>
      <c r="B264">
        <v>422</v>
      </c>
      <c r="C264">
        <v>349</v>
      </c>
      <c r="D264">
        <v>2</v>
      </c>
      <c r="E264">
        <f t="shared" si="20"/>
        <v>698</v>
      </c>
      <c r="F264" s="30">
        <v>45045</v>
      </c>
      <c r="G264" t="s">
        <v>25</v>
      </c>
      <c r="H264">
        <v>160</v>
      </c>
      <c r="I264" t="str">
        <f>VLOOKUP(B264,товар!$A$1:$C$433,2,FALSE)</f>
        <v>Кофе</v>
      </c>
      <c r="J264" s="23">
        <f t="shared" si="21"/>
        <v>249.02380952380952</v>
      </c>
      <c r="K264" s="24">
        <f t="shared" si="22"/>
        <v>0.40147241610096573</v>
      </c>
      <c r="L264" t="str">
        <f>VLOOKUP(B264,товар!$A$1:$C$433,3,FALSE)</f>
        <v>Nescafe</v>
      </c>
      <c r="M264">
        <f t="shared" si="23"/>
        <v>256.89999999999998</v>
      </c>
      <c r="N264" s="30">
        <f>VLOOKUP(H264,клиенты!$A$1:$G$435,5,FALSE)</f>
        <v>44649</v>
      </c>
      <c r="O264">
        <f t="shared" si="24"/>
        <v>396</v>
      </c>
    </row>
    <row r="265" spans="1:15" x14ac:dyDescent="0.3">
      <c r="A265">
        <v>264</v>
      </c>
      <c r="B265">
        <v>222</v>
      </c>
      <c r="C265">
        <v>500</v>
      </c>
      <c r="D265">
        <v>2</v>
      </c>
      <c r="E265">
        <f t="shared" si="20"/>
        <v>1000</v>
      </c>
      <c r="F265" s="30">
        <v>45157</v>
      </c>
      <c r="G265" t="s">
        <v>33</v>
      </c>
      <c r="H265">
        <v>9</v>
      </c>
      <c r="I265" t="str">
        <f>VLOOKUP(B265,товар!$A$1:$C$433,2,FALSE)</f>
        <v>Молоко</v>
      </c>
      <c r="J265" s="23">
        <f t="shared" si="21"/>
        <v>294.95238095238096</v>
      </c>
      <c r="K265" s="24">
        <f t="shared" si="22"/>
        <v>0.6951888924765901</v>
      </c>
      <c r="L265" t="str">
        <f>VLOOKUP(B265,товар!$A$1:$C$433,3,FALSE)</f>
        <v>Простоквашино</v>
      </c>
      <c r="M265">
        <f t="shared" si="23"/>
        <v>318.81818181818181</v>
      </c>
      <c r="N265" s="30">
        <f>VLOOKUP(H265,клиенты!$A$1:$G$435,5,FALSE)</f>
        <v>44900</v>
      </c>
      <c r="O265">
        <f t="shared" si="24"/>
        <v>257</v>
      </c>
    </row>
    <row r="266" spans="1:15" x14ac:dyDescent="0.3">
      <c r="A266">
        <v>265</v>
      </c>
      <c r="B266">
        <v>497</v>
      </c>
      <c r="C266">
        <v>387</v>
      </c>
      <c r="D266">
        <v>2</v>
      </c>
      <c r="E266">
        <f t="shared" si="20"/>
        <v>774</v>
      </c>
      <c r="F266" s="30">
        <v>44945</v>
      </c>
      <c r="G266" t="s">
        <v>22</v>
      </c>
      <c r="H266">
        <v>456</v>
      </c>
      <c r="I266" t="str">
        <f>VLOOKUP(B266,товар!$A$1:$C$433,2,FALSE)</f>
        <v>Конфеты</v>
      </c>
      <c r="J266" s="23">
        <f t="shared" si="21"/>
        <v>267.85483870967744</v>
      </c>
      <c r="K266" s="24">
        <f t="shared" si="22"/>
        <v>0.44481242849400848</v>
      </c>
      <c r="L266" t="str">
        <f>VLOOKUP(B266,товар!$A$1:$C$433,3,FALSE)</f>
        <v>Бабаевский</v>
      </c>
      <c r="M266">
        <f t="shared" si="23"/>
        <v>250.25925925925927</v>
      </c>
      <c r="N266" s="30">
        <f>VLOOKUP(H266,клиенты!$A$1:$G$435,5,FALSE)</f>
        <v>44618</v>
      </c>
      <c r="O266">
        <f t="shared" si="24"/>
        <v>327</v>
      </c>
    </row>
    <row r="267" spans="1:15" x14ac:dyDescent="0.3">
      <c r="A267">
        <v>266</v>
      </c>
      <c r="B267">
        <v>217</v>
      </c>
      <c r="C267">
        <v>412</v>
      </c>
      <c r="D267">
        <v>2</v>
      </c>
      <c r="E267">
        <f t="shared" si="20"/>
        <v>824</v>
      </c>
      <c r="F267" s="30">
        <v>45174</v>
      </c>
      <c r="G267" t="s">
        <v>26</v>
      </c>
      <c r="H267">
        <v>110</v>
      </c>
      <c r="I267" t="str">
        <f>VLOOKUP(B267,товар!$A$1:$C$433,2,FALSE)</f>
        <v>Мясо</v>
      </c>
      <c r="J267" s="23">
        <f t="shared" si="21"/>
        <v>271.74545454545455</v>
      </c>
      <c r="K267" s="24">
        <f t="shared" si="22"/>
        <v>0.51612471564298135</v>
      </c>
      <c r="L267" t="str">
        <f>VLOOKUP(B267,товар!$A$1:$C$433,3,FALSE)</f>
        <v>Агрокомплекс</v>
      </c>
      <c r="M267">
        <f t="shared" si="23"/>
        <v>311.2</v>
      </c>
      <c r="N267" s="30">
        <f>VLOOKUP(H267,клиенты!$A$1:$G$435,5,FALSE)</f>
        <v>44580</v>
      </c>
      <c r="O267">
        <f t="shared" si="24"/>
        <v>594</v>
      </c>
    </row>
    <row r="268" spans="1:15" x14ac:dyDescent="0.3">
      <c r="A268">
        <v>267</v>
      </c>
      <c r="B268">
        <v>351</v>
      </c>
      <c r="C268">
        <v>155</v>
      </c>
      <c r="D268">
        <v>5</v>
      </c>
      <c r="E268">
        <f t="shared" si="20"/>
        <v>775</v>
      </c>
      <c r="F268" s="30">
        <v>45189</v>
      </c>
      <c r="G268" t="s">
        <v>24</v>
      </c>
      <c r="H268">
        <v>216</v>
      </c>
      <c r="I268" t="str">
        <f>VLOOKUP(B268,товар!$A$1:$C$433,2,FALSE)</f>
        <v>Чипсы</v>
      </c>
      <c r="J268" s="23">
        <f t="shared" si="21"/>
        <v>273.72549019607845</v>
      </c>
      <c r="K268" s="24">
        <f t="shared" si="22"/>
        <v>-0.43373925501432664</v>
      </c>
      <c r="L268" t="str">
        <f>VLOOKUP(B268,товар!$A$1:$C$433,3,FALSE)</f>
        <v>Русская картошка</v>
      </c>
      <c r="M268">
        <f t="shared" si="23"/>
        <v>241.83333333333334</v>
      </c>
      <c r="N268" s="30">
        <f>VLOOKUP(H268,клиенты!$A$1:$G$435,5,FALSE)</f>
        <v>44655</v>
      </c>
      <c r="O268">
        <f t="shared" si="24"/>
        <v>534</v>
      </c>
    </row>
    <row r="269" spans="1:15" x14ac:dyDescent="0.3">
      <c r="A269">
        <v>268</v>
      </c>
      <c r="B269">
        <v>494</v>
      </c>
      <c r="C269">
        <v>214</v>
      </c>
      <c r="D269">
        <v>1</v>
      </c>
      <c r="E269">
        <f t="shared" si="20"/>
        <v>214</v>
      </c>
      <c r="F269" s="30">
        <v>45029</v>
      </c>
      <c r="G269" t="s">
        <v>21</v>
      </c>
      <c r="H269">
        <v>424</v>
      </c>
      <c r="I269" t="str">
        <f>VLOOKUP(B269,товар!$A$1:$C$433,2,FALSE)</f>
        <v>Сыр</v>
      </c>
      <c r="J269" s="23">
        <f t="shared" si="21"/>
        <v>262.63492063492066</v>
      </c>
      <c r="K269" s="24">
        <f t="shared" si="22"/>
        <v>-0.18518070832829692</v>
      </c>
      <c r="L269" t="str">
        <f>VLOOKUP(B269,товар!$A$1:$C$433,3,FALSE)</f>
        <v>Сырная долина</v>
      </c>
      <c r="M269">
        <f t="shared" si="23"/>
        <v>271</v>
      </c>
      <c r="N269" s="30">
        <f>VLOOKUP(H269,клиенты!$A$1:$G$435,5,FALSE)</f>
        <v>44585</v>
      </c>
      <c r="O269">
        <f t="shared" si="24"/>
        <v>444</v>
      </c>
    </row>
    <row r="270" spans="1:15" x14ac:dyDescent="0.3">
      <c r="A270">
        <v>269</v>
      </c>
      <c r="B270">
        <v>464</v>
      </c>
      <c r="C270">
        <v>290</v>
      </c>
      <c r="D270">
        <v>3</v>
      </c>
      <c r="E270">
        <f t="shared" si="20"/>
        <v>870</v>
      </c>
      <c r="F270" s="30">
        <v>45185</v>
      </c>
      <c r="G270" t="s">
        <v>29</v>
      </c>
      <c r="H270">
        <v>77</v>
      </c>
      <c r="I270" t="str">
        <f>VLOOKUP(B270,товар!$A$1:$C$433,2,FALSE)</f>
        <v>Сыр</v>
      </c>
      <c r="J270" s="23">
        <f t="shared" si="21"/>
        <v>262.63492063492066</v>
      </c>
      <c r="K270" s="24">
        <f t="shared" si="22"/>
        <v>0.10419436721866293</v>
      </c>
      <c r="L270" t="str">
        <f>VLOOKUP(B270,товар!$A$1:$C$433,3,FALSE)</f>
        <v>Сырная долина</v>
      </c>
      <c r="M270">
        <f t="shared" si="23"/>
        <v>271</v>
      </c>
      <c r="N270" s="30">
        <f>VLOOKUP(H270,клиенты!$A$1:$G$435,5,FALSE)</f>
        <v>44644</v>
      </c>
      <c r="O270">
        <f t="shared" si="24"/>
        <v>541</v>
      </c>
    </row>
    <row r="271" spans="1:15" x14ac:dyDescent="0.3">
      <c r="A271">
        <v>270</v>
      </c>
      <c r="B271">
        <v>462</v>
      </c>
      <c r="C271">
        <v>271</v>
      </c>
      <c r="D271">
        <v>2</v>
      </c>
      <c r="E271">
        <f t="shared" si="20"/>
        <v>542</v>
      </c>
      <c r="F271" s="30">
        <v>44976</v>
      </c>
      <c r="G271" t="s">
        <v>15</v>
      </c>
      <c r="H271">
        <v>192</v>
      </c>
      <c r="I271" t="str">
        <f>VLOOKUP(B271,товар!$A$1:$C$433,2,FALSE)</f>
        <v>Рис</v>
      </c>
      <c r="J271" s="23">
        <f t="shared" si="21"/>
        <v>258.375</v>
      </c>
      <c r="K271" s="24">
        <f t="shared" si="22"/>
        <v>4.8863086598935679E-2</v>
      </c>
      <c r="L271" t="str">
        <f>VLOOKUP(B271,товар!$A$1:$C$433,3,FALSE)</f>
        <v>Белый Злат</v>
      </c>
      <c r="M271">
        <f t="shared" si="23"/>
        <v>269.70588235294116</v>
      </c>
      <c r="N271" s="30">
        <f>VLOOKUP(H271,клиенты!$A$1:$G$435,5,FALSE)</f>
        <v>44572</v>
      </c>
      <c r="O271">
        <f t="shared" si="24"/>
        <v>404</v>
      </c>
    </row>
    <row r="272" spans="1:15" x14ac:dyDescent="0.3">
      <c r="A272">
        <v>271</v>
      </c>
      <c r="B272">
        <v>102</v>
      </c>
      <c r="C272">
        <v>326</v>
      </c>
      <c r="D272">
        <v>2</v>
      </c>
      <c r="E272">
        <f t="shared" si="20"/>
        <v>652</v>
      </c>
      <c r="F272" s="30">
        <v>45142</v>
      </c>
      <c r="G272" t="s">
        <v>31</v>
      </c>
      <c r="H272">
        <v>130</v>
      </c>
      <c r="I272" t="str">
        <f>VLOOKUP(B272,товар!$A$1:$C$433,2,FALSE)</f>
        <v>Печенье</v>
      </c>
      <c r="J272" s="23">
        <f t="shared" si="21"/>
        <v>283.468085106383</v>
      </c>
      <c r="K272" s="24">
        <f t="shared" si="22"/>
        <v>0.15004128199354483</v>
      </c>
      <c r="L272" t="str">
        <f>VLOOKUP(B272,товар!$A$1:$C$433,3,FALSE)</f>
        <v>Белогорье</v>
      </c>
      <c r="M272">
        <f t="shared" si="23"/>
        <v>249.5</v>
      </c>
      <c r="N272" s="30">
        <f>VLOOKUP(H272,клиенты!$A$1:$G$435,5,FALSE)</f>
        <v>44863</v>
      </c>
      <c r="O272">
        <f t="shared" si="24"/>
        <v>279</v>
      </c>
    </row>
    <row r="273" spans="1:15" x14ac:dyDescent="0.3">
      <c r="A273">
        <v>272</v>
      </c>
      <c r="B273">
        <v>345</v>
      </c>
      <c r="C273">
        <v>420</v>
      </c>
      <c r="D273">
        <v>2</v>
      </c>
      <c r="E273">
        <f t="shared" si="20"/>
        <v>840</v>
      </c>
      <c r="F273" s="30">
        <v>45037</v>
      </c>
      <c r="G273" t="s">
        <v>26</v>
      </c>
      <c r="H273">
        <v>308</v>
      </c>
      <c r="I273" t="str">
        <f>VLOOKUP(B273,товар!$A$1:$C$433,2,FALSE)</f>
        <v>Конфеты</v>
      </c>
      <c r="J273" s="23">
        <f t="shared" si="21"/>
        <v>267.85483870967744</v>
      </c>
      <c r="K273" s="24">
        <f t="shared" si="22"/>
        <v>0.56801348828807119</v>
      </c>
      <c r="L273" t="str">
        <f>VLOOKUP(B273,товар!$A$1:$C$433,3,FALSE)</f>
        <v>Рот Фронт</v>
      </c>
      <c r="M273">
        <f t="shared" si="23"/>
        <v>288.23809523809524</v>
      </c>
      <c r="N273" s="30">
        <f>VLOOKUP(H273,клиенты!$A$1:$G$435,5,FALSE)</f>
        <v>44562</v>
      </c>
      <c r="O273">
        <f t="shared" si="24"/>
        <v>475</v>
      </c>
    </row>
    <row r="274" spans="1:15" x14ac:dyDescent="0.3">
      <c r="A274">
        <v>273</v>
      </c>
      <c r="B274">
        <v>445</v>
      </c>
      <c r="C274">
        <v>71</v>
      </c>
      <c r="D274">
        <v>4</v>
      </c>
      <c r="E274">
        <f t="shared" si="20"/>
        <v>284</v>
      </c>
      <c r="F274" s="30">
        <v>45250</v>
      </c>
      <c r="G274" t="s">
        <v>32</v>
      </c>
      <c r="H274">
        <v>455</v>
      </c>
      <c r="I274" t="str">
        <f>VLOOKUP(B274,товар!$A$1:$C$433,2,FALSE)</f>
        <v>Сахар</v>
      </c>
      <c r="J274" s="23">
        <f t="shared" si="21"/>
        <v>252.76271186440678</v>
      </c>
      <c r="K274" s="24">
        <f t="shared" si="22"/>
        <v>-0.71910413732984646</v>
      </c>
      <c r="L274" t="str">
        <f>VLOOKUP(B274,товар!$A$1:$C$433,3,FALSE)</f>
        <v>Сладов</v>
      </c>
      <c r="M274">
        <f t="shared" si="23"/>
        <v>240.26666666666668</v>
      </c>
      <c r="N274" s="30">
        <f>VLOOKUP(H274,клиенты!$A$1:$G$435,5,FALSE)</f>
        <v>44820</v>
      </c>
      <c r="O274">
        <f t="shared" si="24"/>
        <v>430</v>
      </c>
    </row>
    <row r="275" spans="1:15" x14ac:dyDescent="0.3">
      <c r="A275">
        <v>274</v>
      </c>
      <c r="B275">
        <v>241</v>
      </c>
      <c r="C275">
        <v>400</v>
      </c>
      <c r="D275">
        <v>3</v>
      </c>
      <c r="E275">
        <f t="shared" si="20"/>
        <v>1200</v>
      </c>
      <c r="F275" s="30">
        <v>45371</v>
      </c>
      <c r="G275" t="s">
        <v>32</v>
      </c>
      <c r="H275">
        <v>490</v>
      </c>
      <c r="I275" t="str">
        <f>VLOOKUP(B275,товар!$A$1:$C$433,2,FALSE)</f>
        <v>Колбаса</v>
      </c>
      <c r="J275" s="23">
        <f t="shared" si="21"/>
        <v>286.92307692307691</v>
      </c>
      <c r="K275" s="24">
        <f t="shared" si="22"/>
        <v>0.39410187667560326</v>
      </c>
      <c r="L275" t="str">
        <f>VLOOKUP(B275,товар!$A$1:$C$433,3,FALSE)</f>
        <v>Окраина</v>
      </c>
      <c r="M275">
        <f t="shared" si="23"/>
        <v>273.58333333333331</v>
      </c>
      <c r="N275" s="30">
        <f>VLOOKUP(H275,клиенты!$A$1:$G$435,5,FALSE)</f>
        <v>44603</v>
      </c>
      <c r="O275">
        <f t="shared" si="24"/>
        <v>768</v>
      </c>
    </row>
    <row r="276" spans="1:15" x14ac:dyDescent="0.3">
      <c r="A276">
        <v>275</v>
      </c>
      <c r="B276">
        <v>258</v>
      </c>
      <c r="C276">
        <v>109</v>
      </c>
      <c r="D276">
        <v>2</v>
      </c>
      <c r="E276">
        <f t="shared" si="20"/>
        <v>218</v>
      </c>
      <c r="F276" s="30">
        <v>45416</v>
      </c>
      <c r="G276" t="s">
        <v>17</v>
      </c>
      <c r="H276">
        <v>480</v>
      </c>
      <c r="I276" t="str">
        <f>VLOOKUP(B276,товар!$A$1:$C$433,2,FALSE)</f>
        <v>Рыба</v>
      </c>
      <c r="J276" s="23">
        <f t="shared" si="21"/>
        <v>258.5128205128205</v>
      </c>
      <c r="K276" s="24">
        <f t="shared" si="22"/>
        <v>-0.5783574687561992</v>
      </c>
      <c r="L276" t="str">
        <f>VLOOKUP(B276,товар!$A$1:$C$433,3,FALSE)</f>
        <v>Санта Бремор</v>
      </c>
      <c r="M276">
        <f t="shared" si="23"/>
        <v>216.4</v>
      </c>
      <c r="N276" s="30">
        <f>VLOOKUP(H276,клиенты!$A$1:$G$435,5,FALSE)</f>
        <v>44568</v>
      </c>
      <c r="O276">
        <f t="shared" si="24"/>
        <v>848</v>
      </c>
    </row>
    <row r="277" spans="1:15" x14ac:dyDescent="0.3">
      <c r="A277">
        <v>276</v>
      </c>
      <c r="B277">
        <v>376</v>
      </c>
      <c r="C277">
        <v>217</v>
      </c>
      <c r="D277">
        <v>1</v>
      </c>
      <c r="E277">
        <f t="shared" si="20"/>
        <v>217</v>
      </c>
      <c r="F277" s="30">
        <v>45199</v>
      </c>
      <c r="G277" t="s">
        <v>19</v>
      </c>
      <c r="H277">
        <v>321</v>
      </c>
      <c r="I277" t="str">
        <f>VLOOKUP(B277,товар!$A$1:$C$433,2,FALSE)</f>
        <v>Конфеты</v>
      </c>
      <c r="J277" s="23">
        <f t="shared" si="21"/>
        <v>267.85483870967744</v>
      </c>
      <c r="K277" s="24">
        <f t="shared" si="22"/>
        <v>-0.18985969771782985</v>
      </c>
      <c r="L277" t="str">
        <f>VLOOKUP(B277,товар!$A$1:$C$433,3,FALSE)</f>
        <v>Красный Октябрь</v>
      </c>
      <c r="M277">
        <f t="shared" si="23"/>
        <v>273.625</v>
      </c>
      <c r="N277" s="30">
        <f>VLOOKUP(H277,клиенты!$A$1:$G$435,5,FALSE)</f>
        <v>44756</v>
      </c>
      <c r="O277">
        <f t="shared" si="24"/>
        <v>443</v>
      </c>
    </row>
    <row r="278" spans="1:15" x14ac:dyDescent="0.3">
      <c r="A278">
        <v>277</v>
      </c>
      <c r="B278">
        <v>7</v>
      </c>
      <c r="C278">
        <v>104</v>
      </c>
      <c r="D278">
        <v>1</v>
      </c>
      <c r="E278">
        <f t="shared" si="20"/>
        <v>104</v>
      </c>
      <c r="F278" s="30">
        <v>44989</v>
      </c>
      <c r="G278" t="s">
        <v>22</v>
      </c>
      <c r="H278">
        <v>496</v>
      </c>
      <c r="I278" t="str">
        <f>VLOOKUP(B278,товар!$A$1:$C$433,2,FALSE)</f>
        <v>Сыр</v>
      </c>
      <c r="J278" s="23">
        <f t="shared" si="21"/>
        <v>262.63492063492066</v>
      </c>
      <c r="K278" s="24">
        <f t="shared" si="22"/>
        <v>-0.60401305451468634</v>
      </c>
      <c r="L278" t="str">
        <f>VLOOKUP(B278,товар!$A$1:$C$433,3,FALSE)</f>
        <v>President</v>
      </c>
      <c r="M278">
        <f t="shared" si="23"/>
        <v>238.72222222222223</v>
      </c>
      <c r="N278" s="30">
        <f>VLOOKUP(H278,клиенты!$A$1:$G$435,5,FALSE)</f>
        <v>44867</v>
      </c>
      <c r="O278">
        <f t="shared" si="24"/>
        <v>122</v>
      </c>
    </row>
    <row r="279" spans="1:15" x14ac:dyDescent="0.3">
      <c r="A279">
        <v>278</v>
      </c>
      <c r="B279">
        <v>428</v>
      </c>
      <c r="C279">
        <v>428</v>
      </c>
      <c r="D279">
        <v>4</v>
      </c>
      <c r="E279">
        <f t="shared" si="20"/>
        <v>1712</v>
      </c>
      <c r="F279" s="30">
        <v>45123</v>
      </c>
      <c r="G279" t="s">
        <v>25</v>
      </c>
      <c r="H279">
        <v>203</v>
      </c>
      <c r="I279" t="str">
        <f>VLOOKUP(B279,товар!$A$1:$C$433,2,FALSE)</f>
        <v>Конфеты</v>
      </c>
      <c r="J279" s="23">
        <f t="shared" si="21"/>
        <v>267.85483870967744</v>
      </c>
      <c r="K279" s="24">
        <f t="shared" si="22"/>
        <v>0.59788041187451069</v>
      </c>
      <c r="L279" t="str">
        <f>VLOOKUP(B279,товар!$A$1:$C$433,3,FALSE)</f>
        <v>Бабаевский</v>
      </c>
      <c r="M279">
        <f t="shared" si="23"/>
        <v>250.25925925925927</v>
      </c>
      <c r="N279" s="30">
        <f>VLOOKUP(H279,клиенты!$A$1:$G$435,5,FALSE)</f>
        <v>44685</v>
      </c>
      <c r="O279">
        <f t="shared" si="24"/>
        <v>438</v>
      </c>
    </row>
    <row r="280" spans="1:15" x14ac:dyDescent="0.3">
      <c r="A280">
        <v>279</v>
      </c>
      <c r="B280">
        <v>216</v>
      </c>
      <c r="C280">
        <v>83</v>
      </c>
      <c r="D280">
        <v>3</v>
      </c>
      <c r="E280">
        <f t="shared" si="20"/>
        <v>249</v>
      </c>
      <c r="F280" s="30">
        <v>45033</v>
      </c>
      <c r="G280" t="s">
        <v>24</v>
      </c>
      <c r="H280">
        <v>457</v>
      </c>
      <c r="I280" t="str">
        <f>VLOOKUP(B280,товар!$A$1:$C$433,2,FALSE)</f>
        <v>Кофе</v>
      </c>
      <c r="J280" s="23">
        <f t="shared" si="21"/>
        <v>249.02380952380952</v>
      </c>
      <c r="K280" s="24">
        <f t="shared" si="22"/>
        <v>-0.66669853714504246</v>
      </c>
      <c r="L280" t="str">
        <f>VLOOKUP(B280,товар!$A$1:$C$433,3,FALSE)</f>
        <v>Черная Карта</v>
      </c>
      <c r="M280">
        <f t="shared" si="23"/>
        <v>222.2</v>
      </c>
      <c r="N280" s="30">
        <f>VLOOKUP(H280,клиенты!$A$1:$G$435,5,FALSE)</f>
        <v>44595</v>
      </c>
      <c r="O280">
        <f t="shared" si="24"/>
        <v>438</v>
      </c>
    </row>
    <row r="281" spans="1:15" x14ac:dyDescent="0.3">
      <c r="A281">
        <v>280</v>
      </c>
      <c r="B281">
        <v>272</v>
      </c>
      <c r="C281">
        <v>113</v>
      </c>
      <c r="D281">
        <v>3</v>
      </c>
      <c r="E281">
        <f t="shared" si="20"/>
        <v>339</v>
      </c>
      <c r="F281" s="30">
        <v>45019</v>
      </c>
      <c r="G281" t="s">
        <v>30</v>
      </c>
      <c r="H281">
        <v>21</v>
      </c>
      <c r="I281" t="str">
        <f>VLOOKUP(B281,товар!$A$1:$C$433,2,FALSE)</f>
        <v>Крупа</v>
      </c>
      <c r="J281" s="23">
        <f t="shared" si="21"/>
        <v>255.11627906976744</v>
      </c>
      <c r="K281" s="24">
        <f t="shared" si="22"/>
        <v>-0.55706472196900636</v>
      </c>
      <c r="L281" t="str">
        <f>VLOOKUP(B281,товар!$A$1:$C$433,3,FALSE)</f>
        <v>Ярмарка</v>
      </c>
      <c r="M281">
        <f t="shared" si="23"/>
        <v>252.09090909090909</v>
      </c>
      <c r="N281" s="30">
        <f>VLOOKUP(H281,клиенты!$A$1:$G$435,5,FALSE)</f>
        <v>44881</v>
      </c>
      <c r="O281">
        <f t="shared" si="24"/>
        <v>138</v>
      </c>
    </row>
    <row r="282" spans="1:15" x14ac:dyDescent="0.3">
      <c r="A282">
        <v>281</v>
      </c>
      <c r="B282">
        <v>236</v>
      </c>
      <c r="C282">
        <v>221</v>
      </c>
      <c r="D282">
        <v>4</v>
      </c>
      <c r="E282">
        <f t="shared" si="20"/>
        <v>884</v>
      </c>
      <c r="F282" s="30">
        <v>45166</v>
      </c>
      <c r="G282" t="s">
        <v>26</v>
      </c>
      <c r="H282">
        <v>333</v>
      </c>
      <c r="I282" t="str">
        <f>VLOOKUP(B282,товар!$A$1:$C$433,2,FALSE)</f>
        <v>Печенье</v>
      </c>
      <c r="J282" s="23">
        <f t="shared" si="21"/>
        <v>283.468085106383</v>
      </c>
      <c r="K282" s="24">
        <f t="shared" si="22"/>
        <v>-0.22037078736020421</v>
      </c>
      <c r="L282" t="str">
        <f>VLOOKUP(B282,товар!$A$1:$C$433,3,FALSE)</f>
        <v>Посиделкино</v>
      </c>
      <c r="M282">
        <f t="shared" si="23"/>
        <v>321.63636363636363</v>
      </c>
      <c r="N282" s="30">
        <f>VLOOKUP(H282,клиенты!$A$1:$G$435,5,FALSE)</f>
        <v>44857</v>
      </c>
      <c r="O282">
        <f t="shared" si="24"/>
        <v>309</v>
      </c>
    </row>
    <row r="283" spans="1:15" x14ac:dyDescent="0.3">
      <c r="A283">
        <v>282</v>
      </c>
      <c r="B283">
        <v>225</v>
      </c>
      <c r="C283">
        <v>114</v>
      </c>
      <c r="D283">
        <v>3</v>
      </c>
      <c r="E283">
        <f t="shared" si="20"/>
        <v>342</v>
      </c>
      <c r="F283" s="30">
        <v>45126</v>
      </c>
      <c r="G283" t="s">
        <v>22</v>
      </c>
      <c r="H283">
        <v>405</v>
      </c>
      <c r="I283" t="str">
        <f>VLOOKUP(B283,товар!$A$1:$C$433,2,FALSE)</f>
        <v>Соль</v>
      </c>
      <c r="J283" s="23">
        <f t="shared" si="21"/>
        <v>264.8679245283019</v>
      </c>
      <c r="K283" s="24">
        <f t="shared" si="22"/>
        <v>-0.56959680866220264</v>
      </c>
      <c r="L283" t="str">
        <f>VLOOKUP(B283,товар!$A$1:$C$433,3,FALSE)</f>
        <v>Илецкая</v>
      </c>
      <c r="M283">
        <f t="shared" si="23"/>
        <v>238.16666666666666</v>
      </c>
      <c r="N283" s="30">
        <f>VLOOKUP(H283,клиенты!$A$1:$G$435,5,FALSE)</f>
        <v>44798</v>
      </c>
      <c r="O283">
        <f t="shared" si="24"/>
        <v>328</v>
      </c>
    </row>
    <row r="284" spans="1:15" x14ac:dyDescent="0.3">
      <c r="A284">
        <v>283</v>
      </c>
      <c r="B284">
        <v>167</v>
      </c>
      <c r="C284">
        <v>488</v>
      </c>
      <c r="D284">
        <v>3</v>
      </c>
      <c r="E284">
        <f t="shared" si="20"/>
        <v>1464</v>
      </c>
      <c r="F284" s="30">
        <v>45164</v>
      </c>
      <c r="G284" t="s">
        <v>15</v>
      </c>
      <c r="H284">
        <v>32</v>
      </c>
      <c r="I284" t="str">
        <f>VLOOKUP(B284,товар!$A$1:$C$433,2,FALSE)</f>
        <v>Мясо</v>
      </c>
      <c r="J284" s="23">
        <f t="shared" si="21"/>
        <v>271.74545454545455</v>
      </c>
      <c r="K284" s="24">
        <f t="shared" si="22"/>
        <v>0.79579820687809444</v>
      </c>
      <c r="L284" t="str">
        <f>VLOOKUP(B284,товар!$A$1:$C$433,3,FALSE)</f>
        <v>Сава</v>
      </c>
      <c r="M284">
        <f t="shared" si="23"/>
        <v>212.8125</v>
      </c>
      <c r="N284" s="30">
        <f>VLOOKUP(H284,клиенты!$A$1:$G$435,5,FALSE)</f>
        <v>44922</v>
      </c>
      <c r="O284">
        <f t="shared" si="24"/>
        <v>242</v>
      </c>
    </row>
    <row r="285" spans="1:15" x14ac:dyDescent="0.3">
      <c r="A285">
        <v>284</v>
      </c>
      <c r="B285">
        <v>467</v>
      </c>
      <c r="C285">
        <v>421</v>
      </c>
      <c r="D285">
        <v>5</v>
      </c>
      <c r="E285">
        <f t="shared" si="20"/>
        <v>2105</v>
      </c>
      <c r="F285" s="30">
        <v>45070</v>
      </c>
      <c r="G285" t="s">
        <v>21</v>
      </c>
      <c r="H285">
        <v>334</v>
      </c>
      <c r="I285" t="str">
        <f>VLOOKUP(B285,товар!$A$1:$C$433,2,FALSE)</f>
        <v>Макароны</v>
      </c>
      <c r="J285" s="23">
        <f t="shared" si="21"/>
        <v>265.47674418604652</v>
      </c>
      <c r="K285" s="24">
        <f t="shared" si="22"/>
        <v>0.58582628881783538</v>
      </c>
      <c r="L285" t="str">
        <f>VLOOKUP(B285,товар!$A$1:$C$433,3,FALSE)</f>
        <v>Борилла</v>
      </c>
      <c r="M285">
        <f t="shared" si="23"/>
        <v>236.27586206896552</v>
      </c>
      <c r="N285" s="30">
        <f>VLOOKUP(H285,клиенты!$A$1:$G$435,5,FALSE)</f>
        <v>44881</v>
      </c>
      <c r="O285">
        <f t="shared" si="24"/>
        <v>189</v>
      </c>
    </row>
    <row r="286" spans="1:15" x14ac:dyDescent="0.3">
      <c r="A286">
        <v>285</v>
      </c>
      <c r="B286">
        <v>430</v>
      </c>
      <c r="C286">
        <v>380</v>
      </c>
      <c r="D286">
        <v>1</v>
      </c>
      <c r="E286">
        <f t="shared" si="20"/>
        <v>380</v>
      </c>
      <c r="F286" s="30">
        <v>45391</v>
      </c>
      <c r="G286" t="s">
        <v>34</v>
      </c>
      <c r="H286">
        <v>449</v>
      </c>
      <c r="I286" t="str">
        <f>VLOOKUP(B286,товар!$A$1:$C$433,2,FALSE)</f>
        <v>Чай</v>
      </c>
      <c r="J286" s="23">
        <f t="shared" si="21"/>
        <v>271.18181818181819</v>
      </c>
      <c r="K286" s="24">
        <f t="shared" si="22"/>
        <v>0.40127388535031838</v>
      </c>
      <c r="L286" t="str">
        <f>VLOOKUP(B286,товар!$A$1:$C$433,3,FALSE)</f>
        <v>Ахмад</v>
      </c>
      <c r="M286">
        <f t="shared" si="23"/>
        <v>243.3</v>
      </c>
      <c r="N286" s="30">
        <f>VLOOKUP(H286,клиенты!$A$1:$G$435,5,FALSE)</f>
        <v>44645</v>
      </c>
      <c r="O286">
        <f t="shared" si="24"/>
        <v>746</v>
      </c>
    </row>
    <row r="287" spans="1:15" x14ac:dyDescent="0.3">
      <c r="A287">
        <v>286</v>
      </c>
      <c r="B287">
        <v>139</v>
      </c>
      <c r="C287">
        <v>232</v>
      </c>
      <c r="D287">
        <v>3</v>
      </c>
      <c r="E287">
        <f t="shared" si="20"/>
        <v>696</v>
      </c>
      <c r="F287" s="30">
        <v>45197</v>
      </c>
      <c r="G287" t="s">
        <v>33</v>
      </c>
      <c r="H287">
        <v>302</v>
      </c>
      <c r="I287" t="str">
        <f>VLOOKUP(B287,товар!$A$1:$C$433,2,FALSE)</f>
        <v>Йогурт</v>
      </c>
      <c r="J287" s="23">
        <f t="shared" si="21"/>
        <v>263.25423728813558</v>
      </c>
      <c r="K287" s="24">
        <f t="shared" si="22"/>
        <v>-0.11872263713623488</v>
      </c>
      <c r="L287" t="str">
        <f>VLOOKUP(B287,товар!$A$1:$C$433,3,FALSE)</f>
        <v>Ростагроэкспорт</v>
      </c>
      <c r="M287">
        <f t="shared" si="23"/>
        <v>257.78260869565219</v>
      </c>
      <c r="N287" s="30">
        <f>VLOOKUP(H287,клиенты!$A$1:$G$435,5,FALSE)</f>
        <v>44859</v>
      </c>
      <c r="O287">
        <f t="shared" si="24"/>
        <v>338</v>
      </c>
    </row>
    <row r="288" spans="1:15" x14ac:dyDescent="0.3">
      <c r="A288">
        <v>287</v>
      </c>
      <c r="B288">
        <v>351</v>
      </c>
      <c r="C288">
        <v>93</v>
      </c>
      <c r="D288">
        <v>3</v>
      </c>
      <c r="E288">
        <f t="shared" si="20"/>
        <v>279</v>
      </c>
      <c r="F288" s="30">
        <v>45392</v>
      </c>
      <c r="G288" t="s">
        <v>27</v>
      </c>
      <c r="H288">
        <v>341</v>
      </c>
      <c r="I288" t="str">
        <f>VLOOKUP(B288,товар!$A$1:$C$433,2,FALSE)</f>
        <v>Чипсы</v>
      </c>
      <c r="J288" s="23">
        <f t="shared" si="21"/>
        <v>273.72549019607845</v>
      </c>
      <c r="K288" s="24">
        <f t="shared" si="22"/>
        <v>-0.66024355300859594</v>
      </c>
      <c r="L288" t="str">
        <f>VLOOKUP(B288,товар!$A$1:$C$433,3,FALSE)</f>
        <v>Русская картошка</v>
      </c>
      <c r="M288">
        <f t="shared" si="23"/>
        <v>241.83333333333334</v>
      </c>
      <c r="N288" s="30">
        <f>VLOOKUP(H288,клиенты!$A$1:$G$435,5,FALSE)</f>
        <v>44724</v>
      </c>
      <c r="O288">
        <f t="shared" si="24"/>
        <v>668</v>
      </c>
    </row>
    <row r="289" spans="1:15" x14ac:dyDescent="0.3">
      <c r="A289">
        <v>288</v>
      </c>
      <c r="B289">
        <v>404</v>
      </c>
      <c r="C289">
        <v>136</v>
      </c>
      <c r="D289">
        <v>2</v>
      </c>
      <c r="E289">
        <f t="shared" si="20"/>
        <v>272</v>
      </c>
      <c r="F289" s="30">
        <v>45287</v>
      </c>
      <c r="G289" t="s">
        <v>18</v>
      </c>
      <c r="H289">
        <v>62</v>
      </c>
      <c r="I289" t="str">
        <f>VLOOKUP(B289,товар!$A$1:$C$433,2,FALSE)</f>
        <v>Йогурт</v>
      </c>
      <c r="J289" s="23">
        <f t="shared" si="21"/>
        <v>263.25423728813558</v>
      </c>
      <c r="K289" s="24">
        <f t="shared" si="22"/>
        <v>-0.48338913211434453</v>
      </c>
      <c r="L289" t="str">
        <f>VLOOKUP(B289,товар!$A$1:$C$433,3,FALSE)</f>
        <v>Ростагроэкспорт</v>
      </c>
      <c r="M289">
        <f t="shared" si="23"/>
        <v>257.78260869565219</v>
      </c>
      <c r="N289" s="30">
        <f>VLOOKUP(H289,клиенты!$A$1:$G$435,5,FALSE)</f>
        <v>44671</v>
      </c>
      <c r="O289">
        <f t="shared" si="24"/>
        <v>616</v>
      </c>
    </row>
    <row r="290" spans="1:15" x14ac:dyDescent="0.3">
      <c r="A290">
        <v>289</v>
      </c>
      <c r="B290">
        <v>237</v>
      </c>
      <c r="C290">
        <v>157</v>
      </c>
      <c r="D290">
        <v>5</v>
      </c>
      <c r="E290">
        <f t="shared" si="20"/>
        <v>785</v>
      </c>
      <c r="F290" s="30">
        <v>44946</v>
      </c>
      <c r="G290" t="s">
        <v>31</v>
      </c>
      <c r="H290">
        <v>366</v>
      </c>
      <c r="I290" t="str">
        <f>VLOOKUP(B290,товар!$A$1:$C$433,2,FALSE)</f>
        <v>Конфеты</v>
      </c>
      <c r="J290" s="23">
        <f t="shared" si="21"/>
        <v>267.85483870967744</v>
      </c>
      <c r="K290" s="24">
        <f t="shared" si="22"/>
        <v>-0.41386162461612575</v>
      </c>
      <c r="L290" t="str">
        <f>VLOOKUP(B290,товар!$A$1:$C$433,3,FALSE)</f>
        <v>Рот Фронт</v>
      </c>
      <c r="M290">
        <f t="shared" si="23"/>
        <v>288.23809523809524</v>
      </c>
      <c r="N290" s="30">
        <f>VLOOKUP(H290,клиенты!$A$1:$G$435,5,FALSE)</f>
        <v>44827</v>
      </c>
      <c r="O290">
        <f t="shared" si="24"/>
        <v>119</v>
      </c>
    </row>
    <row r="291" spans="1:15" x14ac:dyDescent="0.3">
      <c r="A291">
        <v>290</v>
      </c>
      <c r="B291">
        <v>323</v>
      </c>
      <c r="C291">
        <v>363</v>
      </c>
      <c r="D291">
        <v>4</v>
      </c>
      <c r="E291">
        <f t="shared" si="20"/>
        <v>1452</v>
      </c>
      <c r="F291" s="30">
        <v>45362</v>
      </c>
      <c r="G291" t="s">
        <v>22</v>
      </c>
      <c r="H291">
        <v>463</v>
      </c>
      <c r="I291" t="str">
        <f>VLOOKUP(B291,товар!$A$1:$C$433,2,FALSE)</f>
        <v>Рыба</v>
      </c>
      <c r="J291" s="23">
        <f t="shared" si="21"/>
        <v>258.5128205128205</v>
      </c>
      <c r="K291" s="24">
        <f t="shared" si="22"/>
        <v>0.40418567744495149</v>
      </c>
      <c r="L291" t="str">
        <f>VLOOKUP(B291,товар!$A$1:$C$433,3,FALSE)</f>
        <v>Меридиан</v>
      </c>
      <c r="M291">
        <f t="shared" si="23"/>
        <v>260.64705882352939</v>
      </c>
      <c r="N291" s="30">
        <f>VLOOKUP(H291,клиенты!$A$1:$G$435,5,FALSE)</f>
        <v>44869</v>
      </c>
      <c r="O291">
        <f t="shared" si="24"/>
        <v>493</v>
      </c>
    </row>
    <row r="292" spans="1:15" x14ac:dyDescent="0.3">
      <c r="A292">
        <v>291</v>
      </c>
      <c r="B292">
        <v>457</v>
      </c>
      <c r="C292">
        <v>289</v>
      </c>
      <c r="D292">
        <v>5</v>
      </c>
      <c r="E292">
        <f t="shared" si="20"/>
        <v>1445</v>
      </c>
      <c r="F292" s="30">
        <v>45167</v>
      </c>
      <c r="G292" t="s">
        <v>31</v>
      </c>
      <c r="H292">
        <v>421</v>
      </c>
      <c r="I292" t="str">
        <f>VLOOKUP(B292,товар!$A$1:$C$433,2,FALSE)</f>
        <v>Сок</v>
      </c>
      <c r="J292" s="23">
        <f t="shared" si="21"/>
        <v>268.60344827586209</v>
      </c>
      <c r="K292" s="24">
        <f t="shared" si="22"/>
        <v>7.5935554271776118E-2</v>
      </c>
      <c r="L292" t="str">
        <f>VLOOKUP(B292,товар!$A$1:$C$433,3,FALSE)</f>
        <v>Rich</v>
      </c>
      <c r="M292">
        <f t="shared" si="23"/>
        <v>272.25</v>
      </c>
      <c r="N292" s="30">
        <f>VLOOKUP(H292,клиенты!$A$1:$G$435,5,FALSE)</f>
        <v>44620</v>
      </c>
      <c r="O292">
        <f t="shared" si="24"/>
        <v>547</v>
      </c>
    </row>
    <row r="293" spans="1:15" x14ac:dyDescent="0.3">
      <c r="A293">
        <v>292</v>
      </c>
      <c r="B293">
        <v>328</v>
      </c>
      <c r="C293">
        <v>448</v>
      </c>
      <c r="D293">
        <v>4</v>
      </c>
      <c r="E293">
        <f t="shared" si="20"/>
        <v>1792</v>
      </c>
      <c r="F293" s="30">
        <v>45166</v>
      </c>
      <c r="G293" t="s">
        <v>25</v>
      </c>
      <c r="H293">
        <v>86</v>
      </c>
      <c r="I293" t="str">
        <f>VLOOKUP(B293,товар!$A$1:$C$433,2,FALSE)</f>
        <v>Чипсы</v>
      </c>
      <c r="J293" s="23">
        <f t="shared" si="21"/>
        <v>273.72549019607845</v>
      </c>
      <c r="K293" s="24">
        <f t="shared" si="22"/>
        <v>0.63667621776504291</v>
      </c>
      <c r="L293" t="str">
        <f>VLOOKUP(B293,товар!$A$1:$C$433,3,FALSE)</f>
        <v>Русская картошка</v>
      </c>
      <c r="M293">
        <f t="shared" si="23"/>
        <v>241.83333333333334</v>
      </c>
      <c r="N293" s="30">
        <f>VLOOKUP(H293,клиенты!$A$1:$G$435,5,FALSE)</f>
        <v>44692</v>
      </c>
      <c r="O293">
        <f t="shared" si="24"/>
        <v>474</v>
      </c>
    </row>
    <row r="294" spans="1:15" x14ac:dyDescent="0.3">
      <c r="A294">
        <v>293</v>
      </c>
      <c r="B294">
        <v>424</v>
      </c>
      <c r="C294">
        <v>226</v>
      </c>
      <c r="D294">
        <v>2</v>
      </c>
      <c r="E294">
        <f t="shared" si="20"/>
        <v>452</v>
      </c>
      <c r="F294" s="30">
        <v>45108</v>
      </c>
      <c r="G294" t="s">
        <v>24</v>
      </c>
      <c r="H294">
        <v>397</v>
      </c>
      <c r="I294" t="str">
        <f>VLOOKUP(B294,товар!$A$1:$C$433,2,FALSE)</f>
        <v>Печенье</v>
      </c>
      <c r="J294" s="23">
        <f t="shared" si="21"/>
        <v>283.468085106383</v>
      </c>
      <c r="K294" s="24">
        <f t="shared" si="22"/>
        <v>-0.20273211739097807</v>
      </c>
      <c r="L294" t="str">
        <f>VLOOKUP(B294,товар!$A$1:$C$433,3,FALSE)</f>
        <v>КДВ</v>
      </c>
      <c r="M294">
        <f t="shared" si="23"/>
        <v>323.07692307692309</v>
      </c>
      <c r="N294" s="30">
        <f>VLOOKUP(H294,клиенты!$A$1:$G$435,5,FALSE)</f>
        <v>44728</v>
      </c>
      <c r="O294">
        <f t="shared" si="24"/>
        <v>380</v>
      </c>
    </row>
    <row r="295" spans="1:15" x14ac:dyDescent="0.3">
      <c r="A295">
        <v>294</v>
      </c>
      <c r="B295">
        <v>86</v>
      </c>
      <c r="C295">
        <v>261</v>
      </c>
      <c r="D295">
        <v>5</v>
      </c>
      <c r="E295">
        <f t="shared" si="20"/>
        <v>1305</v>
      </c>
      <c r="F295" s="30">
        <v>45001</v>
      </c>
      <c r="G295" t="s">
        <v>17</v>
      </c>
      <c r="H295">
        <v>319</v>
      </c>
      <c r="I295" t="str">
        <f>VLOOKUP(B295,товар!$A$1:$C$433,2,FALSE)</f>
        <v>Сахар</v>
      </c>
      <c r="J295" s="23">
        <f t="shared" si="21"/>
        <v>252.76271186440678</v>
      </c>
      <c r="K295" s="24">
        <f t="shared" si="22"/>
        <v>3.2589016294508166E-2</v>
      </c>
      <c r="L295" t="str">
        <f>VLOOKUP(B295,товар!$A$1:$C$433,3,FALSE)</f>
        <v>Русский сахар</v>
      </c>
      <c r="M295">
        <f t="shared" si="23"/>
        <v>293.41176470588238</v>
      </c>
      <c r="N295" s="30">
        <f>VLOOKUP(H295,клиенты!$A$1:$G$435,5,FALSE)</f>
        <v>44674</v>
      </c>
      <c r="O295">
        <f t="shared" si="24"/>
        <v>327</v>
      </c>
    </row>
    <row r="296" spans="1:15" x14ac:dyDescent="0.3">
      <c r="A296">
        <v>295</v>
      </c>
      <c r="B296">
        <v>17</v>
      </c>
      <c r="C296">
        <v>253</v>
      </c>
      <c r="D296">
        <v>3</v>
      </c>
      <c r="E296">
        <f t="shared" si="20"/>
        <v>759</v>
      </c>
      <c r="F296" s="30">
        <v>45369</v>
      </c>
      <c r="G296" t="s">
        <v>30</v>
      </c>
      <c r="H296">
        <v>290</v>
      </c>
      <c r="I296" t="str">
        <f>VLOOKUP(B296,товар!$A$1:$C$433,2,FALSE)</f>
        <v>Кофе</v>
      </c>
      <c r="J296" s="23">
        <f t="shared" si="21"/>
        <v>249.02380952380952</v>
      </c>
      <c r="K296" s="24">
        <f t="shared" si="22"/>
        <v>1.5967109666316093E-2</v>
      </c>
      <c r="L296" t="str">
        <f>VLOOKUP(B296,товар!$A$1:$C$433,3,FALSE)</f>
        <v>Jacobs</v>
      </c>
      <c r="M296">
        <f t="shared" si="23"/>
        <v>276.21052631578948</v>
      </c>
      <c r="N296" s="30">
        <f>VLOOKUP(H296,клиенты!$A$1:$G$435,5,FALSE)</f>
        <v>44777</v>
      </c>
      <c r="O296">
        <f t="shared" si="24"/>
        <v>592</v>
      </c>
    </row>
    <row r="297" spans="1:15" x14ac:dyDescent="0.3">
      <c r="A297">
        <v>296</v>
      </c>
      <c r="B297">
        <v>43</v>
      </c>
      <c r="C297">
        <v>457</v>
      </c>
      <c r="D297">
        <v>3</v>
      </c>
      <c r="E297">
        <f t="shared" si="20"/>
        <v>1371</v>
      </c>
      <c r="F297" s="30">
        <v>44943</v>
      </c>
      <c r="G297" t="s">
        <v>23</v>
      </c>
      <c r="H297">
        <v>13</v>
      </c>
      <c r="I297" t="str">
        <f>VLOOKUP(B297,товар!$A$1:$C$433,2,FALSE)</f>
        <v>Печенье</v>
      </c>
      <c r="J297" s="23">
        <f t="shared" si="21"/>
        <v>283.468085106383</v>
      </c>
      <c r="K297" s="24">
        <f t="shared" si="22"/>
        <v>0.61217443518726999</v>
      </c>
      <c r="L297" t="str">
        <f>VLOOKUP(B297,товар!$A$1:$C$433,3,FALSE)</f>
        <v>КДВ</v>
      </c>
      <c r="M297">
        <f t="shared" si="23"/>
        <v>323.07692307692309</v>
      </c>
      <c r="N297" s="30">
        <f>VLOOKUP(H297,клиенты!$A$1:$G$435,5,FALSE)</f>
        <v>44724</v>
      </c>
      <c r="O297">
        <f t="shared" si="24"/>
        <v>219</v>
      </c>
    </row>
    <row r="298" spans="1:15" x14ac:dyDescent="0.3">
      <c r="A298">
        <v>297</v>
      </c>
      <c r="B298">
        <v>5</v>
      </c>
      <c r="C298">
        <v>65</v>
      </c>
      <c r="D298">
        <v>5</v>
      </c>
      <c r="E298">
        <f t="shared" si="20"/>
        <v>325</v>
      </c>
      <c r="F298" s="30">
        <v>45251</v>
      </c>
      <c r="G298" t="s">
        <v>29</v>
      </c>
      <c r="H298">
        <v>302</v>
      </c>
      <c r="I298" t="str">
        <f>VLOOKUP(B298,товар!$A$1:$C$433,2,FALSE)</f>
        <v>Макароны</v>
      </c>
      <c r="J298" s="23">
        <f t="shared" si="21"/>
        <v>265.47674418604652</v>
      </c>
      <c r="K298" s="24">
        <f t="shared" si="22"/>
        <v>-0.75515746134641493</v>
      </c>
      <c r="L298" t="str">
        <f>VLOOKUP(B298,товар!$A$1:$C$433,3,FALSE)</f>
        <v>Роллтон</v>
      </c>
      <c r="M298">
        <f t="shared" si="23"/>
        <v>235.55555555555554</v>
      </c>
      <c r="N298" s="30">
        <f>VLOOKUP(H298,клиенты!$A$1:$G$435,5,FALSE)</f>
        <v>44859</v>
      </c>
      <c r="O298">
        <f t="shared" si="24"/>
        <v>392</v>
      </c>
    </row>
    <row r="299" spans="1:15" x14ac:dyDescent="0.3">
      <c r="A299">
        <v>298</v>
      </c>
      <c r="B299">
        <v>298</v>
      </c>
      <c r="C299">
        <v>65</v>
      </c>
      <c r="D299">
        <v>1</v>
      </c>
      <c r="E299">
        <f t="shared" si="20"/>
        <v>65</v>
      </c>
      <c r="F299" s="30">
        <v>44985</v>
      </c>
      <c r="G299" t="s">
        <v>34</v>
      </c>
      <c r="H299">
        <v>453</v>
      </c>
      <c r="I299" t="str">
        <f>VLOOKUP(B299,товар!$A$1:$C$433,2,FALSE)</f>
        <v>Крупа</v>
      </c>
      <c r="J299" s="23">
        <f t="shared" si="21"/>
        <v>255.11627906976744</v>
      </c>
      <c r="K299" s="24">
        <f t="shared" si="22"/>
        <v>-0.74521422060164078</v>
      </c>
      <c r="L299" t="str">
        <f>VLOOKUP(B299,товар!$A$1:$C$433,3,FALSE)</f>
        <v>Увелка</v>
      </c>
      <c r="M299">
        <f t="shared" si="23"/>
        <v>251.91666666666666</v>
      </c>
      <c r="N299" s="30">
        <f>VLOOKUP(H299,клиенты!$A$1:$G$435,5,FALSE)</f>
        <v>44635</v>
      </c>
      <c r="O299">
        <f t="shared" si="24"/>
        <v>350</v>
      </c>
    </row>
    <row r="300" spans="1:15" x14ac:dyDescent="0.3">
      <c r="A300">
        <v>299</v>
      </c>
      <c r="B300">
        <v>436</v>
      </c>
      <c r="C300">
        <v>320</v>
      </c>
      <c r="D300">
        <v>3</v>
      </c>
      <c r="E300">
        <f t="shared" si="20"/>
        <v>960</v>
      </c>
      <c r="F300" s="30">
        <v>45388</v>
      </c>
      <c r="G300" t="s">
        <v>28</v>
      </c>
      <c r="H300">
        <v>16</v>
      </c>
      <c r="I300" t="str">
        <f>VLOOKUP(B300,товар!$A$1:$C$433,2,FALSE)</f>
        <v>Овощи</v>
      </c>
      <c r="J300" s="23">
        <f t="shared" si="21"/>
        <v>250.48780487804879</v>
      </c>
      <c r="K300" s="24">
        <f t="shared" si="22"/>
        <v>0.27750730282375846</v>
      </c>
      <c r="L300" t="str">
        <f>VLOOKUP(B300,товар!$A$1:$C$433,3,FALSE)</f>
        <v>Гавриш</v>
      </c>
      <c r="M300">
        <f t="shared" si="23"/>
        <v>247.66666666666666</v>
      </c>
      <c r="N300" s="30">
        <f>VLOOKUP(H300,клиенты!$A$1:$G$435,5,FALSE)</f>
        <v>44713</v>
      </c>
      <c r="O300">
        <f t="shared" si="24"/>
        <v>675</v>
      </c>
    </row>
    <row r="301" spans="1:15" x14ac:dyDescent="0.3">
      <c r="A301">
        <v>300</v>
      </c>
      <c r="B301">
        <v>421</v>
      </c>
      <c r="C301">
        <v>145</v>
      </c>
      <c r="D301">
        <v>4</v>
      </c>
      <c r="E301">
        <f t="shared" si="20"/>
        <v>580</v>
      </c>
      <c r="F301" s="30">
        <v>45323</v>
      </c>
      <c r="G301" t="s">
        <v>28</v>
      </c>
      <c r="H301">
        <v>120</v>
      </c>
      <c r="I301" t="str">
        <f>VLOOKUP(B301,товар!$A$1:$C$433,2,FALSE)</f>
        <v>Чай</v>
      </c>
      <c r="J301" s="23">
        <f t="shared" si="21"/>
        <v>271.18181818181819</v>
      </c>
      <c r="K301" s="24">
        <f t="shared" si="22"/>
        <v>-0.46530338585316799</v>
      </c>
      <c r="L301" t="str">
        <f>VLOOKUP(B301,товар!$A$1:$C$433,3,FALSE)</f>
        <v>Greenfield</v>
      </c>
      <c r="M301">
        <f t="shared" si="23"/>
        <v>291.45454545454544</v>
      </c>
      <c r="N301" s="30">
        <f>VLOOKUP(H301,клиенты!$A$1:$G$435,5,FALSE)</f>
        <v>44691</v>
      </c>
      <c r="O301">
        <f t="shared" si="24"/>
        <v>632</v>
      </c>
    </row>
    <row r="302" spans="1:15" x14ac:dyDescent="0.3">
      <c r="A302">
        <v>301</v>
      </c>
      <c r="B302">
        <v>223</v>
      </c>
      <c r="C302">
        <v>467</v>
      </c>
      <c r="D302">
        <v>5</v>
      </c>
      <c r="E302">
        <f t="shared" si="20"/>
        <v>2335</v>
      </c>
      <c r="F302" s="30">
        <v>45310</v>
      </c>
      <c r="G302" t="s">
        <v>19</v>
      </c>
      <c r="H302">
        <v>295</v>
      </c>
      <c r="I302" t="str">
        <f>VLOOKUP(B302,товар!$A$1:$C$433,2,FALSE)</f>
        <v>Чай</v>
      </c>
      <c r="J302" s="23">
        <f t="shared" si="21"/>
        <v>271.18181818181819</v>
      </c>
      <c r="K302" s="24">
        <f t="shared" si="22"/>
        <v>0.72209185383841756</v>
      </c>
      <c r="L302" t="str">
        <f>VLOOKUP(B302,товар!$A$1:$C$433,3,FALSE)</f>
        <v>Greenfield</v>
      </c>
      <c r="M302">
        <f t="shared" si="23"/>
        <v>291.45454545454544</v>
      </c>
      <c r="N302" s="30">
        <f>VLOOKUP(H302,клиенты!$A$1:$G$435,5,FALSE)</f>
        <v>44588</v>
      </c>
      <c r="O302">
        <f t="shared" si="24"/>
        <v>722</v>
      </c>
    </row>
    <row r="303" spans="1:15" x14ac:dyDescent="0.3">
      <c r="A303">
        <v>302</v>
      </c>
      <c r="B303">
        <v>483</v>
      </c>
      <c r="C303">
        <v>124</v>
      </c>
      <c r="D303">
        <v>4</v>
      </c>
      <c r="E303">
        <f t="shared" si="20"/>
        <v>496</v>
      </c>
      <c r="F303" s="30">
        <v>45299</v>
      </c>
      <c r="G303" t="s">
        <v>21</v>
      </c>
      <c r="H303">
        <v>381</v>
      </c>
      <c r="I303" t="str">
        <f>VLOOKUP(B303,товар!$A$1:$C$433,2,FALSE)</f>
        <v>Колбаса</v>
      </c>
      <c r="J303" s="23">
        <f t="shared" si="21"/>
        <v>286.92307692307691</v>
      </c>
      <c r="K303" s="24">
        <f t="shared" si="22"/>
        <v>-0.56782841823056296</v>
      </c>
      <c r="L303" t="str">
        <f>VLOOKUP(B303,товар!$A$1:$C$433,3,FALSE)</f>
        <v>Дымов</v>
      </c>
      <c r="M303">
        <f t="shared" si="23"/>
        <v>312.66666666666669</v>
      </c>
      <c r="N303" s="30">
        <f>VLOOKUP(H303,клиенты!$A$1:$G$435,5,FALSE)</f>
        <v>44714</v>
      </c>
      <c r="O303">
        <f t="shared" si="24"/>
        <v>585</v>
      </c>
    </row>
    <row r="304" spans="1:15" x14ac:dyDescent="0.3">
      <c r="A304">
        <v>303</v>
      </c>
      <c r="B304">
        <v>414</v>
      </c>
      <c r="C304">
        <v>406</v>
      </c>
      <c r="D304">
        <v>3</v>
      </c>
      <c r="E304">
        <f t="shared" si="20"/>
        <v>1218</v>
      </c>
      <c r="F304" s="30">
        <v>45246</v>
      </c>
      <c r="G304" t="s">
        <v>18</v>
      </c>
      <c r="H304">
        <v>287</v>
      </c>
      <c r="I304" t="str">
        <f>VLOOKUP(B304,товар!$A$1:$C$433,2,FALSE)</f>
        <v>Фрукты</v>
      </c>
      <c r="J304" s="23">
        <f t="shared" si="21"/>
        <v>274.16279069767444</v>
      </c>
      <c r="K304" s="24">
        <f t="shared" si="22"/>
        <v>0.48087199932140123</v>
      </c>
      <c r="L304" t="str">
        <f>VLOOKUP(B304,товар!$A$1:$C$433,3,FALSE)</f>
        <v>Экзотик</v>
      </c>
      <c r="M304">
        <f t="shared" si="23"/>
        <v>253.6875</v>
      </c>
      <c r="N304" s="30">
        <f>VLOOKUP(H304,клиенты!$A$1:$G$435,5,FALSE)</f>
        <v>44608</v>
      </c>
      <c r="O304">
        <f t="shared" si="24"/>
        <v>638</v>
      </c>
    </row>
    <row r="305" spans="1:15" x14ac:dyDescent="0.3">
      <c r="A305">
        <v>304</v>
      </c>
      <c r="B305">
        <v>389</v>
      </c>
      <c r="C305">
        <v>76</v>
      </c>
      <c r="D305">
        <v>4</v>
      </c>
      <c r="E305">
        <f t="shared" si="20"/>
        <v>304</v>
      </c>
      <c r="F305" s="30">
        <v>45067</v>
      </c>
      <c r="G305" t="s">
        <v>25</v>
      </c>
      <c r="H305">
        <v>415</v>
      </c>
      <c r="I305" t="str">
        <f>VLOOKUP(B305,товар!$A$1:$C$433,2,FALSE)</f>
        <v>Чай</v>
      </c>
      <c r="J305" s="23">
        <f t="shared" si="21"/>
        <v>271.18181818181819</v>
      </c>
      <c r="K305" s="24">
        <f t="shared" si="22"/>
        <v>-0.71974522292993637</v>
      </c>
      <c r="L305" t="str">
        <f>VLOOKUP(B305,товар!$A$1:$C$433,3,FALSE)</f>
        <v>Ахмад</v>
      </c>
      <c r="M305">
        <f t="shared" si="23"/>
        <v>243.3</v>
      </c>
      <c r="N305" s="30">
        <f>VLOOKUP(H305,клиенты!$A$1:$G$435,5,FALSE)</f>
        <v>44661</v>
      </c>
      <c r="O305">
        <f t="shared" si="24"/>
        <v>406</v>
      </c>
    </row>
    <row r="306" spans="1:15" x14ac:dyDescent="0.3">
      <c r="A306">
        <v>305</v>
      </c>
      <c r="B306">
        <v>367</v>
      </c>
      <c r="C306">
        <v>79</v>
      </c>
      <c r="D306">
        <v>5</v>
      </c>
      <c r="E306">
        <f t="shared" si="20"/>
        <v>395</v>
      </c>
      <c r="F306" s="30">
        <v>45107</v>
      </c>
      <c r="G306" t="s">
        <v>33</v>
      </c>
      <c r="H306">
        <v>292</v>
      </c>
      <c r="I306" t="str">
        <f>VLOOKUP(B306,товар!$A$1:$C$433,2,FALSE)</f>
        <v>Колбаса</v>
      </c>
      <c r="J306" s="23">
        <f t="shared" si="21"/>
        <v>286.92307692307691</v>
      </c>
      <c r="K306" s="24">
        <f t="shared" si="22"/>
        <v>-0.72466487935656843</v>
      </c>
      <c r="L306" t="str">
        <f>VLOOKUP(B306,товар!$A$1:$C$433,3,FALSE)</f>
        <v>Окраина</v>
      </c>
      <c r="M306">
        <f t="shared" si="23"/>
        <v>273.58333333333331</v>
      </c>
      <c r="N306" s="30">
        <f>VLOOKUP(H306,клиенты!$A$1:$G$435,5,FALSE)</f>
        <v>44608</v>
      </c>
      <c r="O306">
        <f t="shared" si="24"/>
        <v>499</v>
      </c>
    </row>
    <row r="307" spans="1:15" x14ac:dyDescent="0.3">
      <c r="A307">
        <v>306</v>
      </c>
      <c r="B307">
        <v>128</v>
      </c>
      <c r="C307">
        <v>466</v>
      </c>
      <c r="D307">
        <v>1</v>
      </c>
      <c r="E307">
        <f t="shared" si="20"/>
        <v>466</v>
      </c>
      <c r="F307" s="30">
        <v>44984</v>
      </c>
      <c r="G307" t="s">
        <v>34</v>
      </c>
      <c r="H307">
        <v>389</v>
      </c>
      <c r="I307" t="str">
        <f>VLOOKUP(B307,товар!$A$1:$C$433,2,FALSE)</f>
        <v>Мясо</v>
      </c>
      <c r="J307" s="23">
        <f t="shared" si="21"/>
        <v>271.74545454545455</v>
      </c>
      <c r="K307" s="24">
        <f t="shared" si="22"/>
        <v>0.71484009099424584</v>
      </c>
      <c r="L307" t="str">
        <f>VLOOKUP(B307,товар!$A$1:$C$433,3,FALSE)</f>
        <v>Мираторг</v>
      </c>
      <c r="M307">
        <f t="shared" si="23"/>
        <v>316.58333333333331</v>
      </c>
      <c r="N307" s="30">
        <f>VLOOKUP(H307,клиенты!$A$1:$G$435,5,FALSE)</f>
        <v>44876</v>
      </c>
      <c r="O307">
        <f t="shared" si="24"/>
        <v>108</v>
      </c>
    </row>
    <row r="308" spans="1:15" x14ac:dyDescent="0.3">
      <c r="A308">
        <v>307</v>
      </c>
      <c r="B308">
        <v>368</v>
      </c>
      <c r="C308">
        <v>265</v>
      </c>
      <c r="D308">
        <v>5</v>
      </c>
      <c r="E308">
        <f t="shared" si="20"/>
        <v>1325</v>
      </c>
      <c r="F308" s="30">
        <v>45192</v>
      </c>
      <c r="G308" t="s">
        <v>22</v>
      </c>
      <c r="H308">
        <v>106</v>
      </c>
      <c r="I308" t="str">
        <f>VLOOKUP(B308,товар!$A$1:$C$433,2,FALSE)</f>
        <v>Сыр</v>
      </c>
      <c r="J308" s="23">
        <f t="shared" si="21"/>
        <v>262.63492063492066</v>
      </c>
      <c r="K308" s="24">
        <f t="shared" si="22"/>
        <v>9.0051976308471726E-3</v>
      </c>
      <c r="L308" t="str">
        <f>VLOOKUP(B308,товар!$A$1:$C$433,3,FALSE)</f>
        <v>Сырная долина</v>
      </c>
      <c r="M308">
        <f t="shared" si="23"/>
        <v>271</v>
      </c>
      <c r="N308" s="30">
        <f>VLOOKUP(H308,клиенты!$A$1:$G$435,5,FALSE)</f>
        <v>44858</v>
      </c>
      <c r="O308">
        <f t="shared" si="24"/>
        <v>334</v>
      </c>
    </row>
    <row r="309" spans="1:15" x14ac:dyDescent="0.3">
      <c r="A309">
        <v>308</v>
      </c>
      <c r="B309">
        <v>74</v>
      </c>
      <c r="C309">
        <v>397</v>
      </c>
      <c r="D309">
        <v>2</v>
      </c>
      <c r="E309">
        <f t="shared" si="20"/>
        <v>794</v>
      </c>
      <c r="F309" s="30">
        <v>45178</v>
      </c>
      <c r="G309" t="s">
        <v>26</v>
      </c>
      <c r="H309">
        <v>458</v>
      </c>
      <c r="I309" t="str">
        <f>VLOOKUP(B309,товар!$A$1:$C$433,2,FALSE)</f>
        <v>Колбаса</v>
      </c>
      <c r="J309" s="23">
        <f t="shared" si="21"/>
        <v>286.92307692307691</v>
      </c>
      <c r="K309" s="24">
        <f t="shared" si="22"/>
        <v>0.38364611260053638</v>
      </c>
      <c r="L309" t="str">
        <f>VLOOKUP(B309,товар!$A$1:$C$433,3,FALSE)</f>
        <v>Черкизово</v>
      </c>
      <c r="M309">
        <f t="shared" si="23"/>
        <v>320.25</v>
      </c>
      <c r="N309" s="30">
        <f>VLOOKUP(H309,клиенты!$A$1:$G$435,5,FALSE)</f>
        <v>44694</v>
      </c>
      <c r="O309">
        <f t="shared" si="24"/>
        <v>484</v>
      </c>
    </row>
    <row r="310" spans="1:15" x14ac:dyDescent="0.3">
      <c r="A310">
        <v>309</v>
      </c>
      <c r="B310">
        <v>276</v>
      </c>
      <c r="C310">
        <v>359</v>
      </c>
      <c r="D310">
        <v>2</v>
      </c>
      <c r="E310">
        <f t="shared" si="20"/>
        <v>718</v>
      </c>
      <c r="F310" s="30">
        <v>45147</v>
      </c>
      <c r="G310" t="s">
        <v>20</v>
      </c>
      <c r="H310">
        <v>203</v>
      </c>
      <c r="I310" t="str">
        <f>VLOOKUP(B310,товар!$A$1:$C$433,2,FALSE)</f>
        <v>Колбаса</v>
      </c>
      <c r="J310" s="23">
        <f t="shared" si="21"/>
        <v>286.92307692307691</v>
      </c>
      <c r="K310" s="24">
        <f t="shared" si="22"/>
        <v>0.25120643431635403</v>
      </c>
      <c r="L310" t="str">
        <f>VLOOKUP(B310,товар!$A$1:$C$433,3,FALSE)</f>
        <v>Дымов</v>
      </c>
      <c r="M310">
        <f t="shared" si="23"/>
        <v>312.66666666666669</v>
      </c>
      <c r="N310" s="30">
        <f>VLOOKUP(H310,клиенты!$A$1:$G$435,5,FALSE)</f>
        <v>44685</v>
      </c>
      <c r="O310">
        <f t="shared" si="24"/>
        <v>462</v>
      </c>
    </row>
    <row r="311" spans="1:15" x14ac:dyDescent="0.3">
      <c r="A311">
        <v>310</v>
      </c>
      <c r="B311">
        <v>149</v>
      </c>
      <c r="C311">
        <v>168</v>
      </c>
      <c r="D311">
        <v>4</v>
      </c>
      <c r="E311">
        <f t="shared" si="20"/>
        <v>672</v>
      </c>
      <c r="F311" s="30">
        <v>44936</v>
      </c>
      <c r="G311" t="s">
        <v>16</v>
      </c>
      <c r="H311">
        <v>1</v>
      </c>
      <c r="I311" t="str">
        <f>VLOOKUP(B311,товар!$A$1:$C$433,2,FALSE)</f>
        <v>Конфеты</v>
      </c>
      <c r="J311" s="23">
        <f t="shared" si="21"/>
        <v>267.85483870967744</v>
      </c>
      <c r="K311" s="24">
        <f t="shared" si="22"/>
        <v>-0.37279460468477155</v>
      </c>
      <c r="L311" t="str">
        <f>VLOOKUP(B311,товар!$A$1:$C$433,3,FALSE)</f>
        <v>Бабаевский</v>
      </c>
      <c r="M311">
        <f t="shared" si="23"/>
        <v>250.25925925925927</v>
      </c>
      <c r="N311" s="30">
        <f>VLOOKUP(H311,клиенты!$A$1:$G$435,5,FALSE)</f>
        <v>44585</v>
      </c>
      <c r="O311">
        <f t="shared" si="24"/>
        <v>351</v>
      </c>
    </row>
    <row r="312" spans="1:15" x14ac:dyDescent="0.3">
      <c r="A312">
        <v>311</v>
      </c>
      <c r="B312">
        <v>229</v>
      </c>
      <c r="C312">
        <v>156</v>
      </c>
      <c r="D312">
        <v>4</v>
      </c>
      <c r="E312">
        <f t="shared" si="20"/>
        <v>624</v>
      </c>
      <c r="F312" s="30">
        <v>45168</v>
      </c>
      <c r="G312" t="s">
        <v>29</v>
      </c>
      <c r="H312">
        <v>204</v>
      </c>
      <c r="I312" t="str">
        <f>VLOOKUP(B312,товар!$A$1:$C$433,2,FALSE)</f>
        <v>Мясо</v>
      </c>
      <c r="J312" s="23">
        <f t="shared" si="21"/>
        <v>271.74545454545455</v>
      </c>
      <c r="K312" s="24">
        <f t="shared" si="22"/>
        <v>-0.42593336009634686</v>
      </c>
      <c r="L312" t="str">
        <f>VLOOKUP(B312,товар!$A$1:$C$433,3,FALSE)</f>
        <v>Сава</v>
      </c>
      <c r="M312">
        <f t="shared" si="23"/>
        <v>212.8125</v>
      </c>
      <c r="N312" s="30">
        <f>VLOOKUP(H312,клиенты!$A$1:$G$435,5,FALSE)</f>
        <v>44867</v>
      </c>
      <c r="O312">
        <f t="shared" si="24"/>
        <v>301</v>
      </c>
    </row>
    <row r="313" spans="1:15" x14ac:dyDescent="0.3">
      <c r="A313">
        <v>312</v>
      </c>
      <c r="B313">
        <v>28</v>
      </c>
      <c r="C313">
        <v>78</v>
      </c>
      <c r="D313">
        <v>4</v>
      </c>
      <c r="E313">
        <f t="shared" si="20"/>
        <v>312</v>
      </c>
      <c r="F313" s="30">
        <v>44955</v>
      </c>
      <c r="G313" t="s">
        <v>29</v>
      </c>
      <c r="H313">
        <v>490</v>
      </c>
      <c r="I313" t="str">
        <f>VLOOKUP(B313,товар!$A$1:$C$433,2,FALSE)</f>
        <v>Крупа</v>
      </c>
      <c r="J313" s="23">
        <f t="shared" si="21"/>
        <v>255.11627906976744</v>
      </c>
      <c r="K313" s="24">
        <f t="shared" si="22"/>
        <v>-0.69425706472196902</v>
      </c>
      <c r="L313" t="str">
        <f>VLOOKUP(B313,товар!$A$1:$C$433,3,FALSE)</f>
        <v>Националь</v>
      </c>
      <c r="M313">
        <f t="shared" si="23"/>
        <v>274.28571428571428</v>
      </c>
      <c r="N313" s="30">
        <f>VLOOKUP(H313,клиенты!$A$1:$G$435,5,FALSE)</f>
        <v>44603</v>
      </c>
      <c r="O313">
        <f t="shared" si="24"/>
        <v>352</v>
      </c>
    </row>
    <row r="314" spans="1:15" x14ac:dyDescent="0.3">
      <c r="A314">
        <v>313</v>
      </c>
      <c r="B314">
        <v>260</v>
      </c>
      <c r="C314">
        <v>489</v>
      </c>
      <c r="D314">
        <v>3</v>
      </c>
      <c r="E314">
        <f t="shared" si="20"/>
        <v>1467</v>
      </c>
      <c r="F314" s="30">
        <v>45297</v>
      </c>
      <c r="G314" t="s">
        <v>32</v>
      </c>
      <c r="H314">
        <v>98</v>
      </c>
      <c r="I314" t="str">
        <f>VLOOKUP(B314,товар!$A$1:$C$433,2,FALSE)</f>
        <v>Соль</v>
      </c>
      <c r="J314" s="23">
        <f t="shared" si="21"/>
        <v>264.8679245283019</v>
      </c>
      <c r="K314" s="24">
        <f t="shared" si="22"/>
        <v>0.84620316284370989</v>
      </c>
      <c r="L314" t="str">
        <f>VLOOKUP(B314,товар!$A$1:$C$433,3,FALSE)</f>
        <v>Экстра</v>
      </c>
      <c r="M314">
        <f t="shared" si="23"/>
        <v>320.84615384615387</v>
      </c>
      <c r="N314" s="30">
        <f>VLOOKUP(H314,клиенты!$A$1:$G$435,5,FALSE)</f>
        <v>44637</v>
      </c>
      <c r="O314">
        <f t="shared" si="24"/>
        <v>660</v>
      </c>
    </row>
    <row r="315" spans="1:15" x14ac:dyDescent="0.3">
      <c r="A315">
        <v>314</v>
      </c>
      <c r="B315">
        <v>140</v>
      </c>
      <c r="C315">
        <v>106</v>
      </c>
      <c r="D315">
        <v>3</v>
      </c>
      <c r="E315">
        <f t="shared" si="20"/>
        <v>318</v>
      </c>
      <c r="F315" s="30">
        <v>44949</v>
      </c>
      <c r="G315" t="s">
        <v>18</v>
      </c>
      <c r="H315">
        <v>181</v>
      </c>
      <c r="I315" t="str">
        <f>VLOOKUP(B315,товар!$A$1:$C$433,2,FALSE)</f>
        <v>Рис</v>
      </c>
      <c r="J315" s="23">
        <f t="shared" si="21"/>
        <v>258.375</v>
      </c>
      <c r="K315" s="24">
        <f t="shared" si="22"/>
        <v>-0.58974358974358976</v>
      </c>
      <c r="L315" t="str">
        <f>VLOOKUP(B315,товар!$A$1:$C$433,3,FALSE)</f>
        <v>Белый Злат</v>
      </c>
      <c r="M315">
        <f t="shared" si="23"/>
        <v>269.70588235294116</v>
      </c>
      <c r="N315" s="30">
        <f>VLOOKUP(H315,клиенты!$A$1:$G$435,5,FALSE)</f>
        <v>44568</v>
      </c>
      <c r="O315">
        <f t="shared" si="24"/>
        <v>381</v>
      </c>
    </row>
    <row r="316" spans="1:15" x14ac:dyDescent="0.3">
      <c r="A316">
        <v>315</v>
      </c>
      <c r="B316">
        <v>270</v>
      </c>
      <c r="C316">
        <v>204</v>
      </c>
      <c r="D316">
        <v>3</v>
      </c>
      <c r="E316">
        <f t="shared" si="20"/>
        <v>612</v>
      </c>
      <c r="F316" s="30">
        <v>45009</v>
      </c>
      <c r="G316" t="s">
        <v>28</v>
      </c>
      <c r="H316">
        <v>226</v>
      </c>
      <c r="I316" t="str">
        <f>VLOOKUP(B316,товар!$A$1:$C$433,2,FALSE)</f>
        <v>Соль</v>
      </c>
      <c r="J316" s="23">
        <f t="shared" si="21"/>
        <v>264.8679245283019</v>
      </c>
      <c r="K316" s="24">
        <f t="shared" si="22"/>
        <v>-0.22980481550078358</v>
      </c>
      <c r="L316" t="str">
        <f>VLOOKUP(B316,товар!$A$1:$C$433,3,FALSE)</f>
        <v>Славянская</v>
      </c>
      <c r="M316">
        <f t="shared" si="23"/>
        <v>236.91666666666666</v>
      </c>
      <c r="N316" s="30">
        <f>VLOOKUP(H316,клиенты!$A$1:$G$435,5,FALSE)</f>
        <v>44702</v>
      </c>
      <c r="O316">
        <f t="shared" si="24"/>
        <v>307</v>
      </c>
    </row>
    <row r="317" spans="1:15" x14ac:dyDescent="0.3">
      <c r="A317">
        <v>316</v>
      </c>
      <c r="B317">
        <v>67</v>
      </c>
      <c r="C317">
        <v>317</v>
      </c>
      <c r="D317">
        <v>4</v>
      </c>
      <c r="E317">
        <f t="shared" si="20"/>
        <v>1268</v>
      </c>
      <c r="F317" s="30">
        <v>45222</v>
      </c>
      <c r="G317" t="s">
        <v>19</v>
      </c>
      <c r="H317">
        <v>322</v>
      </c>
      <c r="I317" t="str">
        <f>VLOOKUP(B317,товар!$A$1:$C$433,2,FALSE)</f>
        <v>Йогурт</v>
      </c>
      <c r="J317" s="23">
        <f t="shared" si="21"/>
        <v>263.25423728813558</v>
      </c>
      <c r="K317" s="24">
        <f t="shared" si="22"/>
        <v>0.20415915529229989</v>
      </c>
      <c r="L317" t="str">
        <f>VLOOKUP(B317,товар!$A$1:$C$433,3,FALSE)</f>
        <v>Чудо</v>
      </c>
      <c r="M317">
        <f t="shared" si="23"/>
        <v>287.10000000000002</v>
      </c>
      <c r="N317" s="30">
        <f>VLOOKUP(H317,клиенты!$A$1:$G$435,5,FALSE)</f>
        <v>44886</v>
      </c>
      <c r="O317">
        <f t="shared" si="24"/>
        <v>336</v>
      </c>
    </row>
    <row r="318" spans="1:15" x14ac:dyDescent="0.3">
      <c r="A318">
        <v>317</v>
      </c>
      <c r="B318">
        <v>448</v>
      </c>
      <c r="C318">
        <v>442</v>
      </c>
      <c r="D318">
        <v>1</v>
      </c>
      <c r="E318">
        <f t="shared" si="20"/>
        <v>442</v>
      </c>
      <c r="F318" s="30">
        <v>45040</v>
      </c>
      <c r="G318" t="s">
        <v>30</v>
      </c>
      <c r="H318">
        <v>296</v>
      </c>
      <c r="I318" t="str">
        <f>VLOOKUP(B318,товар!$A$1:$C$433,2,FALSE)</f>
        <v>Йогурт</v>
      </c>
      <c r="J318" s="23">
        <f t="shared" si="21"/>
        <v>263.25423728813558</v>
      </c>
      <c r="K318" s="24">
        <f t="shared" si="22"/>
        <v>0.67898532062838024</v>
      </c>
      <c r="L318" t="str">
        <f>VLOOKUP(B318,товар!$A$1:$C$433,3,FALSE)</f>
        <v>Ростагроэкспорт</v>
      </c>
      <c r="M318">
        <f t="shared" si="23"/>
        <v>257.78260869565219</v>
      </c>
      <c r="N318" s="30">
        <f>VLOOKUP(H318,клиенты!$A$1:$G$435,5,FALSE)</f>
        <v>44758</v>
      </c>
      <c r="O318">
        <f t="shared" si="24"/>
        <v>282</v>
      </c>
    </row>
    <row r="319" spans="1:15" x14ac:dyDescent="0.3">
      <c r="A319">
        <v>318</v>
      </c>
      <c r="B319">
        <v>331</v>
      </c>
      <c r="C319">
        <v>88</v>
      </c>
      <c r="D319">
        <v>3</v>
      </c>
      <c r="E319">
        <f t="shared" si="20"/>
        <v>264</v>
      </c>
      <c r="F319" s="30">
        <v>45211</v>
      </c>
      <c r="G319" t="s">
        <v>15</v>
      </c>
      <c r="H319">
        <v>458</v>
      </c>
      <c r="I319" t="str">
        <f>VLOOKUP(B319,товар!$A$1:$C$433,2,FALSE)</f>
        <v>Соль</v>
      </c>
      <c r="J319" s="23">
        <f t="shared" si="21"/>
        <v>264.8679245283019</v>
      </c>
      <c r="K319" s="24">
        <f t="shared" si="22"/>
        <v>-0.66775894001994596</v>
      </c>
      <c r="L319" t="str">
        <f>VLOOKUP(B319,товар!$A$1:$C$433,3,FALSE)</f>
        <v>Салта</v>
      </c>
      <c r="M319">
        <f t="shared" si="23"/>
        <v>273.7</v>
      </c>
      <c r="N319" s="30">
        <f>VLOOKUP(H319,клиенты!$A$1:$G$435,5,FALSE)</f>
        <v>44694</v>
      </c>
      <c r="O319">
        <f t="shared" si="24"/>
        <v>517</v>
      </c>
    </row>
    <row r="320" spans="1:15" x14ac:dyDescent="0.3">
      <c r="A320">
        <v>319</v>
      </c>
      <c r="B320">
        <v>325</v>
      </c>
      <c r="C320">
        <v>99</v>
      </c>
      <c r="D320">
        <v>2</v>
      </c>
      <c r="E320">
        <f t="shared" si="20"/>
        <v>198</v>
      </c>
      <c r="F320" s="30">
        <v>45184</v>
      </c>
      <c r="G320" t="s">
        <v>23</v>
      </c>
      <c r="H320">
        <v>11</v>
      </c>
      <c r="I320" t="str">
        <f>VLOOKUP(B320,товар!$A$1:$C$433,2,FALSE)</f>
        <v>Сок</v>
      </c>
      <c r="J320" s="23">
        <f t="shared" si="21"/>
        <v>268.60344827586209</v>
      </c>
      <c r="K320" s="24">
        <f t="shared" si="22"/>
        <v>-0.63142692085499719</v>
      </c>
      <c r="L320" t="str">
        <f>VLOOKUP(B320,товар!$A$1:$C$433,3,FALSE)</f>
        <v>Добрый</v>
      </c>
      <c r="M320">
        <f t="shared" si="23"/>
        <v>242.81818181818181</v>
      </c>
      <c r="N320" s="30">
        <f>VLOOKUP(H320,клиенты!$A$1:$G$435,5,FALSE)</f>
        <v>44690</v>
      </c>
      <c r="O320">
        <f t="shared" si="24"/>
        <v>494</v>
      </c>
    </row>
    <row r="321" spans="1:15" x14ac:dyDescent="0.3">
      <c r="A321">
        <v>320</v>
      </c>
      <c r="B321">
        <v>346</v>
      </c>
      <c r="C321">
        <v>178</v>
      </c>
      <c r="D321">
        <v>5</v>
      </c>
      <c r="E321">
        <f t="shared" si="20"/>
        <v>890</v>
      </c>
      <c r="F321" s="30">
        <v>45297</v>
      </c>
      <c r="G321" t="s">
        <v>29</v>
      </c>
      <c r="H321">
        <v>75</v>
      </c>
      <c r="I321" t="str">
        <f>VLOOKUP(B321,товар!$A$1:$C$433,2,FALSE)</f>
        <v>Чай</v>
      </c>
      <c r="J321" s="23">
        <f t="shared" si="21"/>
        <v>271.18181818181819</v>
      </c>
      <c r="K321" s="24">
        <f t="shared" si="22"/>
        <v>-0.34361381159906135</v>
      </c>
      <c r="L321" t="str">
        <f>VLOOKUP(B321,товар!$A$1:$C$433,3,FALSE)</f>
        <v>Greenfield</v>
      </c>
      <c r="M321">
        <f t="shared" si="23"/>
        <v>291.45454545454544</v>
      </c>
      <c r="N321" s="30">
        <f>VLOOKUP(H321,клиенты!$A$1:$G$435,5,FALSE)</f>
        <v>44796</v>
      </c>
      <c r="O321">
        <f t="shared" si="24"/>
        <v>501</v>
      </c>
    </row>
    <row r="322" spans="1:15" x14ac:dyDescent="0.3">
      <c r="A322">
        <v>321</v>
      </c>
      <c r="B322">
        <v>397</v>
      </c>
      <c r="C322">
        <v>299</v>
      </c>
      <c r="D322">
        <v>3</v>
      </c>
      <c r="E322">
        <f t="shared" ref="E322:E385" si="25">C322*D322</f>
        <v>897</v>
      </c>
      <c r="F322" s="30">
        <v>45064</v>
      </c>
      <c r="G322" t="s">
        <v>22</v>
      </c>
      <c r="H322">
        <v>29</v>
      </c>
      <c r="I322" t="str">
        <f>VLOOKUP(B322,товар!$A$1:$C$433,2,FALSE)</f>
        <v>Йогурт</v>
      </c>
      <c r="J322" s="23">
        <f t="shared" ref="J322:J385" si="26">AVERAGEIF($I$2:$I$1001,I322,$C$2:$C$1001)</f>
        <v>263.25423728813558</v>
      </c>
      <c r="K322" s="24">
        <f t="shared" ref="K322:K385" si="27">C322/J322-1</f>
        <v>0.13578418748390431</v>
      </c>
      <c r="L322" t="str">
        <f>VLOOKUP(B322,товар!$A$1:$C$433,3,FALSE)</f>
        <v>Ростагроэкспорт</v>
      </c>
      <c r="M322">
        <f t="shared" ref="M322:M385" si="28">AVERAGEIFS($C$2:$C$1001,$I$2:$I$1001,I322,$L$2:$L$1001,L322)</f>
        <v>257.78260869565219</v>
      </c>
      <c r="N322" s="30">
        <f>VLOOKUP(H322,клиенты!$A$1:$G$435,5,FALSE)</f>
        <v>44704</v>
      </c>
      <c r="O322">
        <f t="shared" ref="O322:O385" si="29">F322-N322</f>
        <v>360</v>
      </c>
    </row>
    <row r="323" spans="1:15" x14ac:dyDescent="0.3">
      <c r="A323">
        <v>322</v>
      </c>
      <c r="B323">
        <v>115</v>
      </c>
      <c r="C323">
        <v>479</v>
      </c>
      <c r="D323">
        <v>1</v>
      </c>
      <c r="E323">
        <f t="shared" si="25"/>
        <v>479</v>
      </c>
      <c r="F323" s="30">
        <v>45283</v>
      </c>
      <c r="G323" t="s">
        <v>27</v>
      </c>
      <c r="H323">
        <v>297</v>
      </c>
      <c r="I323" t="str">
        <f>VLOOKUP(B323,товар!$A$1:$C$433,2,FALSE)</f>
        <v>Сыр</v>
      </c>
      <c r="J323" s="23">
        <f t="shared" si="26"/>
        <v>262.63492063492066</v>
      </c>
      <c r="K323" s="24">
        <f t="shared" si="27"/>
        <v>0.82382448930255037</v>
      </c>
      <c r="L323" t="str">
        <f>VLOOKUP(B323,товар!$A$1:$C$433,3,FALSE)</f>
        <v>President</v>
      </c>
      <c r="M323">
        <f t="shared" si="28"/>
        <v>238.72222222222223</v>
      </c>
      <c r="N323" s="30">
        <f>VLOOKUP(H323,клиенты!$A$1:$G$435,5,FALSE)</f>
        <v>44666</v>
      </c>
      <c r="O323">
        <f t="shared" si="29"/>
        <v>617</v>
      </c>
    </row>
    <row r="324" spans="1:15" x14ac:dyDescent="0.3">
      <c r="A324">
        <v>323</v>
      </c>
      <c r="B324">
        <v>360</v>
      </c>
      <c r="C324">
        <v>463</v>
      </c>
      <c r="D324">
        <v>3</v>
      </c>
      <c r="E324">
        <f t="shared" si="25"/>
        <v>1389</v>
      </c>
      <c r="F324" s="30">
        <v>45258</v>
      </c>
      <c r="G324" t="s">
        <v>34</v>
      </c>
      <c r="H324">
        <v>497</v>
      </c>
      <c r="I324" t="str">
        <f>VLOOKUP(B324,товар!$A$1:$C$433,2,FALSE)</f>
        <v>Соль</v>
      </c>
      <c r="J324" s="23">
        <f t="shared" si="26"/>
        <v>264.8679245283019</v>
      </c>
      <c r="K324" s="24">
        <f t="shared" si="27"/>
        <v>0.74804103148596668</v>
      </c>
      <c r="L324" t="str">
        <f>VLOOKUP(B324,товар!$A$1:$C$433,3,FALSE)</f>
        <v>Славянская</v>
      </c>
      <c r="M324">
        <f t="shared" si="28"/>
        <v>236.91666666666666</v>
      </c>
      <c r="N324" s="30">
        <f>VLOOKUP(H324,клиенты!$A$1:$G$435,5,FALSE)</f>
        <v>44826</v>
      </c>
      <c r="O324">
        <f t="shared" si="29"/>
        <v>432</v>
      </c>
    </row>
    <row r="325" spans="1:15" x14ac:dyDescent="0.3">
      <c r="A325">
        <v>324</v>
      </c>
      <c r="B325">
        <v>230</v>
      </c>
      <c r="C325">
        <v>431</v>
      </c>
      <c r="D325">
        <v>3</v>
      </c>
      <c r="E325">
        <f t="shared" si="25"/>
        <v>1293</v>
      </c>
      <c r="F325" s="30">
        <v>45282</v>
      </c>
      <c r="G325" t="s">
        <v>33</v>
      </c>
      <c r="H325">
        <v>191</v>
      </c>
      <c r="I325" t="str">
        <f>VLOOKUP(B325,товар!$A$1:$C$433,2,FALSE)</f>
        <v>Сок</v>
      </c>
      <c r="J325" s="23">
        <f t="shared" si="26"/>
        <v>268.60344827586209</v>
      </c>
      <c r="K325" s="24">
        <f t="shared" si="27"/>
        <v>0.60459593041915394</v>
      </c>
      <c r="L325" t="str">
        <f>VLOOKUP(B325,товар!$A$1:$C$433,3,FALSE)</f>
        <v>Фруктовый сад</v>
      </c>
      <c r="M325">
        <f t="shared" si="28"/>
        <v>281.96875</v>
      </c>
      <c r="N325" s="30">
        <f>VLOOKUP(H325,клиенты!$A$1:$G$435,5,FALSE)</f>
        <v>44866</v>
      </c>
      <c r="O325">
        <f t="shared" si="29"/>
        <v>416</v>
      </c>
    </row>
    <row r="326" spans="1:15" x14ac:dyDescent="0.3">
      <c r="A326">
        <v>325</v>
      </c>
      <c r="B326">
        <v>229</v>
      </c>
      <c r="C326">
        <v>173</v>
      </c>
      <c r="D326">
        <v>4</v>
      </c>
      <c r="E326">
        <f t="shared" si="25"/>
        <v>692</v>
      </c>
      <c r="F326" s="30">
        <v>45038</v>
      </c>
      <c r="G326" t="s">
        <v>31</v>
      </c>
      <c r="H326">
        <v>327</v>
      </c>
      <c r="I326" t="str">
        <f>VLOOKUP(B326,товар!$A$1:$C$433,2,FALSE)</f>
        <v>Мясо</v>
      </c>
      <c r="J326" s="23">
        <f t="shared" si="26"/>
        <v>271.74545454545455</v>
      </c>
      <c r="K326" s="24">
        <f t="shared" si="27"/>
        <v>-0.36337481600428212</v>
      </c>
      <c r="L326" t="str">
        <f>VLOOKUP(B326,товар!$A$1:$C$433,3,FALSE)</f>
        <v>Сава</v>
      </c>
      <c r="M326">
        <f t="shared" si="28"/>
        <v>212.8125</v>
      </c>
      <c r="N326" s="30">
        <f>VLOOKUP(H326,клиенты!$A$1:$G$435,5,FALSE)</f>
        <v>44565</v>
      </c>
      <c r="O326">
        <f t="shared" si="29"/>
        <v>473</v>
      </c>
    </row>
    <row r="327" spans="1:15" x14ac:dyDescent="0.3">
      <c r="A327">
        <v>326</v>
      </c>
      <c r="B327">
        <v>486</v>
      </c>
      <c r="C327">
        <v>213</v>
      </c>
      <c r="D327">
        <v>1</v>
      </c>
      <c r="E327">
        <f t="shared" si="25"/>
        <v>213</v>
      </c>
      <c r="F327" s="30">
        <v>45279</v>
      </c>
      <c r="G327" t="s">
        <v>33</v>
      </c>
      <c r="H327">
        <v>58</v>
      </c>
      <c r="I327" t="str">
        <f>VLOOKUP(B327,товар!$A$1:$C$433,2,FALSE)</f>
        <v>Соль</v>
      </c>
      <c r="J327" s="23">
        <f t="shared" si="26"/>
        <v>264.8679245283019</v>
      </c>
      <c r="K327" s="24">
        <f t="shared" si="27"/>
        <v>-0.19582561618464167</v>
      </c>
      <c r="L327" t="str">
        <f>VLOOKUP(B327,товар!$A$1:$C$433,3,FALSE)</f>
        <v>Илецкая</v>
      </c>
      <c r="M327">
        <f t="shared" si="28"/>
        <v>238.16666666666666</v>
      </c>
      <c r="N327" s="30">
        <f>VLOOKUP(H327,клиенты!$A$1:$G$435,5,FALSE)</f>
        <v>44628</v>
      </c>
      <c r="O327">
        <f t="shared" si="29"/>
        <v>651</v>
      </c>
    </row>
    <row r="328" spans="1:15" x14ac:dyDescent="0.3">
      <c r="A328">
        <v>327</v>
      </c>
      <c r="B328">
        <v>353</v>
      </c>
      <c r="C328">
        <v>115</v>
      </c>
      <c r="D328">
        <v>2</v>
      </c>
      <c r="E328">
        <f t="shared" si="25"/>
        <v>230</v>
      </c>
      <c r="F328" s="30">
        <v>45087</v>
      </c>
      <c r="G328" t="s">
        <v>28</v>
      </c>
      <c r="H328">
        <v>446</v>
      </c>
      <c r="I328" t="str">
        <f>VLOOKUP(B328,товар!$A$1:$C$433,2,FALSE)</f>
        <v>Макароны</v>
      </c>
      <c r="J328" s="23">
        <f t="shared" si="26"/>
        <v>265.47674418604652</v>
      </c>
      <c r="K328" s="24">
        <f t="shared" si="27"/>
        <v>-0.56681704699750335</v>
      </c>
      <c r="L328" t="str">
        <f>VLOOKUP(B328,товар!$A$1:$C$433,3,FALSE)</f>
        <v>Паста Зара</v>
      </c>
      <c r="M328">
        <f t="shared" si="28"/>
        <v>276.67567567567568</v>
      </c>
      <c r="N328" s="30">
        <f>VLOOKUP(H328,клиенты!$A$1:$G$435,5,FALSE)</f>
        <v>44671</v>
      </c>
      <c r="O328">
        <f t="shared" si="29"/>
        <v>416</v>
      </c>
    </row>
    <row r="329" spans="1:15" x14ac:dyDescent="0.3">
      <c r="A329">
        <v>328</v>
      </c>
      <c r="B329">
        <v>65</v>
      </c>
      <c r="C329">
        <v>455</v>
      </c>
      <c r="D329">
        <v>5</v>
      </c>
      <c r="E329">
        <f t="shared" si="25"/>
        <v>2275</v>
      </c>
      <c r="F329" s="30">
        <v>45370</v>
      </c>
      <c r="G329" t="s">
        <v>24</v>
      </c>
      <c r="H329">
        <v>117</v>
      </c>
      <c r="I329" t="str">
        <f>VLOOKUP(B329,товар!$A$1:$C$433,2,FALSE)</f>
        <v>Хлеб</v>
      </c>
      <c r="J329" s="23">
        <f t="shared" si="26"/>
        <v>300.31818181818181</v>
      </c>
      <c r="K329" s="24">
        <f t="shared" si="27"/>
        <v>0.51505978507643402</v>
      </c>
      <c r="L329" t="str">
        <f>VLOOKUP(B329,товар!$A$1:$C$433,3,FALSE)</f>
        <v>Хлебный Дом</v>
      </c>
      <c r="M329">
        <f t="shared" si="28"/>
        <v>281.73333333333335</v>
      </c>
      <c r="N329" s="30">
        <f>VLOOKUP(H329,клиенты!$A$1:$G$435,5,FALSE)</f>
        <v>44706</v>
      </c>
      <c r="O329">
        <f t="shared" si="29"/>
        <v>664</v>
      </c>
    </row>
    <row r="330" spans="1:15" x14ac:dyDescent="0.3">
      <c r="A330">
        <v>329</v>
      </c>
      <c r="B330">
        <v>490</v>
      </c>
      <c r="C330">
        <v>176</v>
      </c>
      <c r="D330">
        <v>3</v>
      </c>
      <c r="E330">
        <f t="shared" si="25"/>
        <v>528</v>
      </c>
      <c r="F330" s="30">
        <v>45183</v>
      </c>
      <c r="G330" t="s">
        <v>30</v>
      </c>
      <c r="H330">
        <v>32</v>
      </c>
      <c r="I330" t="str">
        <f>VLOOKUP(B330,товар!$A$1:$C$433,2,FALSE)</f>
        <v>Сыр</v>
      </c>
      <c r="J330" s="23">
        <f t="shared" si="26"/>
        <v>262.63492063492066</v>
      </c>
      <c r="K330" s="24">
        <f t="shared" si="27"/>
        <v>-0.3298682461017769</v>
      </c>
      <c r="L330" t="str">
        <f>VLOOKUP(B330,товар!$A$1:$C$433,3,FALSE)</f>
        <v>Сырная долина</v>
      </c>
      <c r="M330">
        <f t="shared" si="28"/>
        <v>271</v>
      </c>
      <c r="N330" s="30">
        <f>VLOOKUP(H330,клиенты!$A$1:$G$435,5,FALSE)</f>
        <v>44922</v>
      </c>
      <c r="O330">
        <f t="shared" si="29"/>
        <v>261</v>
      </c>
    </row>
    <row r="331" spans="1:15" x14ac:dyDescent="0.3">
      <c r="A331">
        <v>330</v>
      </c>
      <c r="B331">
        <v>188</v>
      </c>
      <c r="C331">
        <v>154</v>
      </c>
      <c r="D331">
        <v>4</v>
      </c>
      <c r="E331">
        <f t="shared" si="25"/>
        <v>616</v>
      </c>
      <c r="F331" s="30">
        <v>45243</v>
      </c>
      <c r="G331" t="s">
        <v>33</v>
      </c>
      <c r="H331">
        <v>187</v>
      </c>
      <c r="I331" t="str">
        <f>VLOOKUP(B331,товар!$A$1:$C$433,2,FALSE)</f>
        <v>Молоко</v>
      </c>
      <c r="J331" s="23">
        <f t="shared" si="26"/>
        <v>294.95238095238096</v>
      </c>
      <c r="K331" s="24">
        <f t="shared" si="27"/>
        <v>-0.47788182111721023</v>
      </c>
      <c r="L331" t="str">
        <f>VLOOKUP(B331,товар!$A$1:$C$433,3,FALSE)</f>
        <v>Вимм-Билль-Данн</v>
      </c>
      <c r="M331">
        <f t="shared" si="28"/>
        <v>193.5</v>
      </c>
      <c r="N331" s="30">
        <f>VLOOKUP(H331,клиенты!$A$1:$G$435,5,FALSE)</f>
        <v>44848</v>
      </c>
      <c r="O331">
        <f t="shared" si="29"/>
        <v>395</v>
      </c>
    </row>
    <row r="332" spans="1:15" x14ac:dyDescent="0.3">
      <c r="A332">
        <v>331</v>
      </c>
      <c r="B332">
        <v>17</v>
      </c>
      <c r="C332">
        <v>212</v>
      </c>
      <c r="D332">
        <v>3</v>
      </c>
      <c r="E332">
        <f t="shared" si="25"/>
        <v>636</v>
      </c>
      <c r="F332" s="30">
        <v>45366</v>
      </c>
      <c r="G332" t="s">
        <v>31</v>
      </c>
      <c r="H332">
        <v>111</v>
      </c>
      <c r="I332" t="str">
        <f>VLOOKUP(B332,товар!$A$1:$C$433,2,FALSE)</f>
        <v>Кофе</v>
      </c>
      <c r="J332" s="23">
        <f t="shared" si="26"/>
        <v>249.02380952380952</v>
      </c>
      <c r="K332" s="24">
        <f t="shared" si="27"/>
        <v>-0.14867578162348216</v>
      </c>
      <c r="L332" t="str">
        <f>VLOOKUP(B332,товар!$A$1:$C$433,3,FALSE)</f>
        <v>Jacobs</v>
      </c>
      <c r="M332">
        <f t="shared" si="28"/>
        <v>276.21052631578948</v>
      </c>
      <c r="N332" s="30">
        <f>VLOOKUP(H332,клиенты!$A$1:$G$435,5,FALSE)</f>
        <v>44804</v>
      </c>
      <c r="O332">
        <f t="shared" si="29"/>
        <v>562</v>
      </c>
    </row>
    <row r="333" spans="1:15" x14ac:dyDescent="0.3">
      <c r="A333">
        <v>332</v>
      </c>
      <c r="B333">
        <v>405</v>
      </c>
      <c r="C333">
        <v>389</v>
      </c>
      <c r="D333">
        <v>5</v>
      </c>
      <c r="E333">
        <f t="shared" si="25"/>
        <v>1945</v>
      </c>
      <c r="F333" s="30">
        <v>45009</v>
      </c>
      <c r="G333" t="s">
        <v>21</v>
      </c>
      <c r="H333">
        <v>231</v>
      </c>
      <c r="I333" t="str">
        <f>VLOOKUP(B333,товар!$A$1:$C$433,2,FALSE)</f>
        <v>Хлеб</v>
      </c>
      <c r="J333" s="23">
        <f t="shared" si="26"/>
        <v>300.31818181818181</v>
      </c>
      <c r="K333" s="24">
        <f t="shared" si="27"/>
        <v>0.29529287119721515</v>
      </c>
      <c r="L333" t="str">
        <f>VLOOKUP(B333,товар!$A$1:$C$433,3,FALSE)</f>
        <v>Каравай</v>
      </c>
      <c r="M333">
        <f t="shared" si="28"/>
        <v>331.16666666666669</v>
      </c>
      <c r="N333" s="30">
        <f>VLOOKUP(H333,клиенты!$A$1:$G$435,5,FALSE)</f>
        <v>44752</v>
      </c>
      <c r="O333">
        <f t="shared" si="29"/>
        <v>257</v>
      </c>
    </row>
    <row r="334" spans="1:15" x14ac:dyDescent="0.3">
      <c r="A334">
        <v>333</v>
      </c>
      <c r="B334">
        <v>23</v>
      </c>
      <c r="C334">
        <v>476</v>
      </c>
      <c r="D334">
        <v>3</v>
      </c>
      <c r="E334">
        <f t="shared" si="25"/>
        <v>1428</v>
      </c>
      <c r="F334" s="30">
        <v>45102</v>
      </c>
      <c r="G334" t="s">
        <v>17</v>
      </c>
      <c r="H334">
        <v>283</v>
      </c>
      <c r="I334" t="str">
        <f>VLOOKUP(B334,товар!$A$1:$C$433,2,FALSE)</f>
        <v>Рыба</v>
      </c>
      <c r="J334" s="23">
        <f t="shared" si="26"/>
        <v>258.5128205128205</v>
      </c>
      <c r="K334" s="24">
        <f t="shared" si="27"/>
        <v>0.8413013291013689</v>
      </c>
      <c r="L334" t="str">
        <f>VLOOKUP(B334,товар!$A$1:$C$433,3,FALSE)</f>
        <v>Санта Бремор</v>
      </c>
      <c r="M334">
        <f t="shared" si="28"/>
        <v>216.4</v>
      </c>
      <c r="N334" s="30">
        <f>VLOOKUP(H334,клиенты!$A$1:$G$435,5,FALSE)</f>
        <v>44889</v>
      </c>
      <c r="O334">
        <f t="shared" si="29"/>
        <v>213</v>
      </c>
    </row>
    <row r="335" spans="1:15" x14ac:dyDescent="0.3">
      <c r="A335">
        <v>334</v>
      </c>
      <c r="B335">
        <v>99</v>
      </c>
      <c r="C335">
        <v>51</v>
      </c>
      <c r="D335">
        <v>5</v>
      </c>
      <c r="E335">
        <f t="shared" si="25"/>
        <v>255</v>
      </c>
      <c r="F335" s="30">
        <v>45423</v>
      </c>
      <c r="G335" t="s">
        <v>23</v>
      </c>
      <c r="H335">
        <v>265</v>
      </c>
      <c r="I335" t="str">
        <f>VLOOKUP(B335,товар!$A$1:$C$433,2,FALSE)</f>
        <v>Овощи</v>
      </c>
      <c r="J335" s="23">
        <f t="shared" si="26"/>
        <v>250.48780487804879</v>
      </c>
      <c r="K335" s="24">
        <f t="shared" si="27"/>
        <v>-0.79639727361246349</v>
      </c>
      <c r="L335" t="str">
        <f>VLOOKUP(B335,товар!$A$1:$C$433,3,FALSE)</f>
        <v>Семко</v>
      </c>
      <c r="M335">
        <f t="shared" si="28"/>
        <v>208</v>
      </c>
      <c r="N335" s="30">
        <f>VLOOKUP(H335,клиенты!$A$1:$G$435,5,FALSE)</f>
        <v>44756</v>
      </c>
      <c r="O335">
        <f t="shared" si="29"/>
        <v>667</v>
      </c>
    </row>
    <row r="336" spans="1:15" x14ac:dyDescent="0.3">
      <c r="A336">
        <v>335</v>
      </c>
      <c r="B336">
        <v>196</v>
      </c>
      <c r="C336">
        <v>452</v>
      </c>
      <c r="D336">
        <v>2</v>
      </c>
      <c r="E336">
        <f t="shared" si="25"/>
        <v>904</v>
      </c>
      <c r="F336" s="30">
        <v>45337</v>
      </c>
      <c r="G336" t="s">
        <v>15</v>
      </c>
      <c r="H336">
        <v>136</v>
      </c>
      <c r="I336" t="str">
        <f>VLOOKUP(B336,товар!$A$1:$C$433,2,FALSE)</f>
        <v>Конфеты</v>
      </c>
      <c r="J336" s="23">
        <f t="shared" si="26"/>
        <v>267.85483870967744</v>
      </c>
      <c r="K336" s="24">
        <f t="shared" si="27"/>
        <v>0.68748118263382896</v>
      </c>
      <c r="L336" t="str">
        <f>VLOOKUP(B336,товар!$A$1:$C$433,3,FALSE)</f>
        <v>Рот Фронт</v>
      </c>
      <c r="M336">
        <f t="shared" si="28"/>
        <v>288.23809523809524</v>
      </c>
      <c r="N336" s="30">
        <f>VLOOKUP(H336,клиенты!$A$1:$G$435,5,FALSE)</f>
        <v>44860</v>
      </c>
      <c r="O336">
        <f t="shared" si="29"/>
        <v>477</v>
      </c>
    </row>
    <row r="337" spans="1:15" x14ac:dyDescent="0.3">
      <c r="A337">
        <v>336</v>
      </c>
      <c r="B337">
        <v>415</v>
      </c>
      <c r="C337">
        <v>222</v>
      </c>
      <c r="D337">
        <v>3</v>
      </c>
      <c r="E337">
        <f t="shared" si="25"/>
        <v>666</v>
      </c>
      <c r="F337" s="30">
        <v>45161</v>
      </c>
      <c r="G337" t="s">
        <v>32</v>
      </c>
      <c r="H337">
        <v>395</v>
      </c>
      <c r="I337" t="str">
        <f>VLOOKUP(B337,товар!$A$1:$C$433,2,FALSE)</f>
        <v>Чипсы</v>
      </c>
      <c r="J337" s="23">
        <f t="shared" si="26"/>
        <v>273.72549019607845</v>
      </c>
      <c r="K337" s="24">
        <f t="shared" si="27"/>
        <v>-0.18896848137535827</v>
      </c>
      <c r="L337" t="str">
        <f>VLOOKUP(B337,товар!$A$1:$C$433,3,FALSE)</f>
        <v>Pringles</v>
      </c>
      <c r="M337">
        <f t="shared" si="28"/>
        <v>280.23809523809524</v>
      </c>
      <c r="N337" s="30">
        <f>VLOOKUP(H337,клиенты!$A$1:$G$435,5,FALSE)</f>
        <v>44890</v>
      </c>
      <c r="O337">
        <f t="shared" si="29"/>
        <v>271</v>
      </c>
    </row>
    <row r="338" spans="1:15" x14ac:dyDescent="0.3">
      <c r="A338">
        <v>337</v>
      </c>
      <c r="B338">
        <v>328</v>
      </c>
      <c r="C338">
        <v>100</v>
      </c>
      <c r="D338">
        <v>1</v>
      </c>
      <c r="E338">
        <f t="shared" si="25"/>
        <v>100</v>
      </c>
      <c r="F338" s="30">
        <v>45077</v>
      </c>
      <c r="G338" t="s">
        <v>20</v>
      </c>
      <c r="H338">
        <v>391</v>
      </c>
      <c r="I338" t="str">
        <f>VLOOKUP(B338,товар!$A$1:$C$433,2,FALSE)</f>
        <v>Чипсы</v>
      </c>
      <c r="J338" s="23">
        <f t="shared" si="26"/>
        <v>273.72549019607845</v>
      </c>
      <c r="K338" s="24">
        <f t="shared" si="27"/>
        <v>-0.63467048710601714</v>
      </c>
      <c r="L338" t="str">
        <f>VLOOKUP(B338,товар!$A$1:$C$433,3,FALSE)</f>
        <v>Русская картошка</v>
      </c>
      <c r="M338">
        <f t="shared" si="28"/>
        <v>241.83333333333334</v>
      </c>
      <c r="N338" s="30">
        <f>VLOOKUP(H338,клиенты!$A$1:$G$435,5,FALSE)</f>
        <v>44675</v>
      </c>
      <c r="O338">
        <f t="shared" si="29"/>
        <v>402</v>
      </c>
    </row>
    <row r="339" spans="1:15" x14ac:dyDescent="0.3">
      <c r="A339">
        <v>338</v>
      </c>
      <c r="B339">
        <v>271</v>
      </c>
      <c r="C339">
        <v>382</v>
      </c>
      <c r="D339">
        <v>1</v>
      </c>
      <c r="E339">
        <f t="shared" si="25"/>
        <v>382</v>
      </c>
      <c r="F339" s="30">
        <v>45182</v>
      </c>
      <c r="G339" t="s">
        <v>16</v>
      </c>
      <c r="H339">
        <v>355</v>
      </c>
      <c r="I339" t="str">
        <f>VLOOKUP(B339,товар!$A$1:$C$433,2,FALSE)</f>
        <v>Сыр</v>
      </c>
      <c r="J339" s="23">
        <f t="shared" si="26"/>
        <v>262.63492063492066</v>
      </c>
      <c r="K339" s="24">
        <f t="shared" si="27"/>
        <v>0.45449051130182516</v>
      </c>
      <c r="L339" t="str">
        <f>VLOOKUP(B339,товар!$A$1:$C$433,3,FALSE)</f>
        <v>Сырная долина</v>
      </c>
      <c r="M339">
        <f t="shared" si="28"/>
        <v>271</v>
      </c>
      <c r="N339" s="30">
        <f>VLOOKUP(H339,клиенты!$A$1:$G$435,5,FALSE)</f>
        <v>44631</v>
      </c>
      <c r="O339">
        <f t="shared" si="29"/>
        <v>551</v>
      </c>
    </row>
    <row r="340" spans="1:15" x14ac:dyDescent="0.3">
      <c r="A340">
        <v>339</v>
      </c>
      <c r="B340">
        <v>204</v>
      </c>
      <c r="C340">
        <v>279</v>
      </c>
      <c r="D340">
        <v>4</v>
      </c>
      <c r="E340">
        <f t="shared" si="25"/>
        <v>1116</v>
      </c>
      <c r="F340" s="30">
        <v>45227</v>
      </c>
      <c r="G340" t="s">
        <v>19</v>
      </c>
      <c r="H340">
        <v>277</v>
      </c>
      <c r="I340" t="str">
        <f>VLOOKUP(B340,товар!$A$1:$C$433,2,FALSE)</f>
        <v>Печенье</v>
      </c>
      <c r="J340" s="23">
        <f t="shared" si="26"/>
        <v>283.468085106383</v>
      </c>
      <c r="K340" s="24">
        <f t="shared" si="27"/>
        <v>-1.5762215717180839E-2</v>
      </c>
      <c r="L340" t="str">
        <f>VLOOKUP(B340,товар!$A$1:$C$433,3,FALSE)</f>
        <v>Юбилейное</v>
      </c>
      <c r="M340">
        <f t="shared" si="28"/>
        <v>232.44444444444446</v>
      </c>
      <c r="N340" s="30">
        <f>VLOOKUP(H340,клиенты!$A$1:$G$435,5,FALSE)</f>
        <v>44750</v>
      </c>
      <c r="O340">
        <f t="shared" si="29"/>
        <v>477</v>
      </c>
    </row>
    <row r="341" spans="1:15" x14ac:dyDescent="0.3">
      <c r="A341">
        <v>340</v>
      </c>
      <c r="B341">
        <v>60</v>
      </c>
      <c r="C341">
        <v>500</v>
      </c>
      <c r="D341">
        <v>2</v>
      </c>
      <c r="E341">
        <f t="shared" si="25"/>
        <v>1000</v>
      </c>
      <c r="F341" s="30">
        <v>45125</v>
      </c>
      <c r="G341" t="s">
        <v>34</v>
      </c>
      <c r="H341">
        <v>145</v>
      </c>
      <c r="I341" t="str">
        <f>VLOOKUP(B341,товар!$A$1:$C$433,2,FALSE)</f>
        <v>Кофе</v>
      </c>
      <c r="J341" s="23">
        <f t="shared" si="26"/>
        <v>249.02380952380952</v>
      </c>
      <c r="K341" s="24">
        <f t="shared" si="27"/>
        <v>1.0078401376804664</v>
      </c>
      <c r="L341" t="str">
        <f>VLOOKUP(B341,товар!$A$1:$C$433,3,FALSE)</f>
        <v>Jacobs</v>
      </c>
      <c r="M341">
        <f t="shared" si="28"/>
        <v>276.21052631578948</v>
      </c>
      <c r="N341" s="30">
        <f>VLOOKUP(H341,клиенты!$A$1:$G$435,5,FALSE)</f>
        <v>44653</v>
      </c>
      <c r="O341">
        <f t="shared" si="29"/>
        <v>472</v>
      </c>
    </row>
    <row r="342" spans="1:15" x14ac:dyDescent="0.3">
      <c r="A342">
        <v>341</v>
      </c>
      <c r="B342">
        <v>76</v>
      </c>
      <c r="C342">
        <v>92</v>
      </c>
      <c r="D342">
        <v>2</v>
      </c>
      <c r="E342">
        <f t="shared" si="25"/>
        <v>184</v>
      </c>
      <c r="F342" s="30">
        <v>45232</v>
      </c>
      <c r="G342" t="s">
        <v>15</v>
      </c>
      <c r="H342">
        <v>104</v>
      </c>
      <c r="I342" t="str">
        <f>VLOOKUP(B342,товар!$A$1:$C$433,2,FALSE)</f>
        <v>Печенье</v>
      </c>
      <c r="J342" s="23">
        <f t="shared" si="26"/>
        <v>283.468085106383</v>
      </c>
      <c r="K342" s="24">
        <f t="shared" si="27"/>
        <v>-0.67544847256623886</v>
      </c>
      <c r="L342" t="str">
        <f>VLOOKUP(B342,товар!$A$1:$C$433,3,FALSE)</f>
        <v>Юбилейное</v>
      </c>
      <c r="M342">
        <f t="shared" si="28"/>
        <v>232.44444444444446</v>
      </c>
      <c r="N342" s="30">
        <f>VLOOKUP(H342,клиенты!$A$1:$G$435,5,FALSE)</f>
        <v>44772</v>
      </c>
      <c r="O342">
        <f t="shared" si="29"/>
        <v>460</v>
      </c>
    </row>
    <row r="343" spans="1:15" x14ac:dyDescent="0.3">
      <c r="A343">
        <v>342</v>
      </c>
      <c r="B343">
        <v>201</v>
      </c>
      <c r="C343">
        <v>179</v>
      </c>
      <c r="D343">
        <v>5</v>
      </c>
      <c r="E343">
        <f t="shared" si="25"/>
        <v>895</v>
      </c>
      <c r="F343" s="30">
        <v>45091</v>
      </c>
      <c r="G343" t="s">
        <v>21</v>
      </c>
      <c r="H343">
        <v>109</v>
      </c>
      <c r="I343" t="str">
        <f>VLOOKUP(B343,товар!$A$1:$C$433,2,FALSE)</f>
        <v>Печенье</v>
      </c>
      <c r="J343" s="23">
        <f t="shared" si="26"/>
        <v>283.468085106383</v>
      </c>
      <c r="K343" s="24">
        <f t="shared" si="27"/>
        <v>-0.36853561510170385</v>
      </c>
      <c r="L343" t="str">
        <f>VLOOKUP(B343,товар!$A$1:$C$433,3,FALSE)</f>
        <v>Белогорье</v>
      </c>
      <c r="M343">
        <f t="shared" si="28"/>
        <v>249.5</v>
      </c>
      <c r="N343" s="30">
        <f>VLOOKUP(H343,клиенты!$A$1:$G$435,5,FALSE)</f>
        <v>44732</v>
      </c>
      <c r="O343">
        <f t="shared" si="29"/>
        <v>359</v>
      </c>
    </row>
    <row r="344" spans="1:15" x14ac:dyDescent="0.3">
      <c r="A344">
        <v>343</v>
      </c>
      <c r="B344">
        <v>462</v>
      </c>
      <c r="C344">
        <v>209</v>
      </c>
      <c r="D344">
        <v>4</v>
      </c>
      <c r="E344">
        <f t="shared" si="25"/>
        <v>836</v>
      </c>
      <c r="F344" s="30">
        <v>45116</v>
      </c>
      <c r="G344" t="s">
        <v>29</v>
      </c>
      <c r="H344">
        <v>369</v>
      </c>
      <c r="I344" t="str">
        <f>VLOOKUP(B344,товар!$A$1:$C$433,2,FALSE)</f>
        <v>Рис</v>
      </c>
      <c r="J344" s="23">
        <f t="shared" si="26"/>
        <v>258.375</v>
      </c>
      <c r="K344" s="24">
        <f t="shared" si="27"/>
        <v>-0.19109820996613447</v>
      </c>
      <c r="L344" t="str">
        <f>VLOOKUP(B344,товар!$A$1:$C$433,3,FALSE)</f>
        <v>Белый Злат</v>
      </c>
      <c r="M344">
        <f t="shared" si="28"/>
        <v>269.70588235294116</v>
      </c>
      <c r="N344" s="30">
        <f>VLOOKUP(H344,клиенты!$A$1:$G$435,5,FALSE)</f>
        <v>44678</v>
      </c>
      <c r="O344">
        <f t="shared" si="29"/>
        <v>438</v>
      </c>
    </row>
    <row r="345" spans="1:15" x14ac:dyDescent="0.3">
      <c r="A345">
        <v>344</v>
      </c>
      <c r="B345">
        <v>210</v>
      </c>
      <c r="C345">
        <v>486</v>
      </c>
      <c r="D345">
        <v>5</v>
      </c>
      <c r="E345">
        <f t="shared" si="25"/>
        <v>2430</v>
      </c>
      <c r="F345" s="30">
        <v>45350</v>
      </c>
      <c r="G345" t="s">
        <v>18</v>
      </c>
      <c r="H345">
        <v>78</v>
      </c>
      <c r="I345" t="str">
        <f>VLOOKUP(B345,товар!$A$1:$C$433,2,FALSE)</f>
        <v>Колбаса</v>
      </c>
      <c r="J345" s="23">
        <f t="shared" si="26"/>
        <v>286.92307692307691</v>
      </c>
      <c r="K345" s="24">
        <f t="shared" si="27"/>
        <v>0.69383378016085806</v>
      </c>
      <c r="L345" t="str">
        <f>VLOOKUP(B345,товар!$A$1:$C$433,3,FALSE)</f>
        <v>Окраина</v>
      </c>
      <c r="M345">
        <f t="shared" si="28"/>
        <v>273.58333333333331</v>
      </c>
      <c r="N345" s="30">
        <f>VLOOKUP(H345,клиенты!$A$1:$G$435,5,FALSE)</f>
        <v>44658</v>
      </c>
      <c r="O345">
        <f t="shared" si="29"/>
        <v>692</v>
      </c>
    </row>
    <row r="346" spans="1:15" x14ac:dyDescent="0.3">
      <c r="A346">
        <v>345</v>
      </c>
      <c r="B346">
        <v>404</v>
      </c>
      <c r="C346">
        <v>123</v>
      </c>
      <c r="D346">
        <v>1</v>
      </c>
      <c r="E346">
        <f t="shared" si="25"/>
        <v>123</v>
      </c>
      <c r="F346" s="30">
        <v>45346</v>
      </c>
      <c r="G346" t="s">
        <v>27</v>
      </c>
      <c r="H346">
        <v>298</v>
      </c>
      <c r="I346" t="str">
        <f>VLOOKUP(B346,товар!$A$1:$C$433,2,FALSE)</f>
        <v>Йогурт</v>
      </c>
      <c r="J346" s="23">
        <f t="shared" si="26"/>
        <v>263.25423728813558</v>
      </c>
      <c r="K346" s="24">
        <f t="shared" si="27"/>
        <v>-0.53277105330929686</v>
      </c>
      <c r="L346" t="str">
        <f>VLOOKUP(B346,товар!$A$1:$C$433,3,FALSE)</f>
        <v>Ростагроэкспорт</v>
      </c>
      <c r="M346">
        <f t="shared" si="28"/>
        <v>257.78260869565219</v>
      </c>
      <c r="N346" s="30">
        <f>VLOOKUP(H346,клиенты!$A$1:$G$435,5,FALSE)</f>
        <v>44821</v>
      </c>
      <c r="O346">
        <f t="shared" si="29"/>
        <v>525</v>
      </c>
    </row>
    <row r="347" spans="1:15" x14ac:dyDescent="0.3">
      <c r="A347">
        <v>346</v>
      </c>
      <c r="B347">
        <v>178</v>
      </c>
      <c r="C347">
        <v>179</v>
      </c>
      <c r="D347">
        <v>1</v>
      </c>
      <c r="E347">
        <f t="shared" si="25"/>
        <v>179</v>
      </c>
      <c r="F347" s="30">
        <v>44938</v>
      </c>
      <c r="G347" t="s">
        <v>28</v>
      </c>
      <c r="H347">
        <v>130</v>
      </c>
      <c r="I347" t="str">
        <f>VLOOKUP(B347,товар!$A$1:$C$433,2,FALSE)</f>
        <v>Йогурт</v>
      </c>
      <c r="J347" s="23">
        <f t="shared" si="26"/>
        <v>263.25423728813558</v>
      </c>
      <c r="K347" s="24">
        <f t="shared" si="27"/>
        <v>-0.3200489312387329</v>
      </c>
      <c r="L347" t="str">
        <f>VLOOKUP(B347,товар!$A$1:$C$433,3,FALSE)</f>
        <v>Ростагроэкспорт</v>
      </c>
      <c r="M347">
        <f t="shared" si="28"/>
        <v>257.78260869565219</v>
      </c>
      <c r="N347" s="30">
        <f>VLOOKUP(H347,клиенты!$A$1:$G$435,5,FALSE)</f>
        <v>44863</v>
      </c>
      <c r="O347">
        <f t="shared" si="29"/>
        <v>75</v>
      </c>
    </row>
    <row r="348" spans="1:15" x14ac:dyDescent="0.3">
      <c r="A348">
        <v>347</v>
      </c>
      <c r="B348">
        <v>423</v>
      </c>
      <c r="C348">
        <v>218</v>
      </c>
      <c r="D348">
        <v>3</v>
      </c>
      <c r="E348">
        <f t="shared" si="25"/>
        <v>654</v>
      </c>
      <c r="F348" s="30">
        <v>45036</v>
      </c>
      <c r="G348" t="s">
        <v>23</v>
      </c>
      <c r="H348">
        <v>66</v>
      </c>
      <c r="I348" t="str">
        <f>VLOOKUP(B348,товар!$A$1:$C$433,2,FALSE)</f>
        <v>Чипсы</v>
      </c>
      <c r="J348" s="23">
        <f t="shared" si="26"/>
        <v>273.72549019607845</v>
      </c>
      <c r="K348" s="24">
        <f t="shared" si="27"/>
        <v>-0.20358166189111759</v>
      </c>
      <c r="L348" t="str">
        <f>VLOOKUP(B348,товар!$A$1:$C$433,3,FALSE)</f>
        <v>Pringles</v>
      </c>
      <c r="M348">
        <f t="shared" si="28"/>
        <v>280.23809523809524</v>
      </c>
      <c r="N348" s="30">
        <f>VLOOKUP(H348,клиенты!$A$1:$G$435,5,FALSE)</f>
        <v>44777</v>
      </c>
      <c r="O348">
        <f t="shared" si="29"/>
        <v>259</v>
      </c>
    </row>
    <row r="349" spans="1:15" x14ac:dyDescent="0.3">
      <c r="A349">
        <v>348</v>
      </c>
      <c r="B349">
        <v>70</v>
      </c>
      <c r="C349">
        <v>51</v>
      </c>
      <c r="D349">
        <v>1</v>
      </c>
      <c r="E349">
        <f t="shared" si="25"/>
        <v>51</v>
      </c>
      <c r="F349" s="30">
        <v>45314</v>
      </c>
      <c r="G349" t="s">
        <v>16</v>
      </c>
      <c r="H349">
        <v>261</v>
      </c>
      <c r="I349" t="str">
        <f>VLOOKUP(B349,товар!$A$1:$C$433,2,FALSE)</f>
        <v>Рис</v>
      </c>
      <c r="J349" s="23">
        <f t="shared" si="26"/>
        <v>258.375</v>
      </c>
      <c r="K349" s="24">
        <f t="shared" si="27"/>
        <v>-0.8026124818577649</v>
      </c>
      <c r="L349" t="str">
        <f>VLOOKUP(B349,товар!$A$1:$C$433,3,FALSE)</f>
        <v>Мистраль</v>
      </c>
      <c r="M349">
        <f t="shared" si="28"/>
        <v>181.57142857142858</v>
      </c>
      <c r="N349" s="30">
        <f>VLOOKUP(H349,клиенты!$A$1:$G$435,5,FALSE)</f>
        <v>44848</v>
      </c>
      <c r="O349">
        <f t="shared" si="29"/>
        <v>466</v>
      </c>
    </row>
    <row r="350" spans="1:15" x14ac:dyDescent="0.3">
      <c r="A350">
        <v>349</v>
      </c>
      <c r="B350">
        <v>335</v>
      </c>
      <c r="C350">
        <v>392</v>
      </c>
      <c r="D350">
        <v>5</v>
      </c>
      <c r="E350">
        <f t="shared" si="25"/>
        <v>1960</v>
      </c>
      <c r="F350" s="30">
        <v>45217</v>
      </c>
      <c r="G350" t="s">
        <v>23</v>
      </c>
      <c r="H350">
        <v>307</v>
      </c>
      <c r="I350" t="str">
        <f>VLOOKUP(B350,товар!$A$1:$C$433,2,FALSE)</f>
        <v>Хлеб</v>
      </c>
      <c r="J350" s="23">
        <f t="shared" si="26"/>
        <v>300.31818181818181</v>
      </c>
      <c r="K350" s="24">
        <f t="shared" si="27"/>
        <v>0.30528227637354322</v>
      </c>
      <c r="L350" t="str">
        <f>VLOOKUP(B350,товар!$A$1:$C$433,3,FALSE)</f>
        <v>Каравай</v>
      </c>
      <c r="M350">
        <f t="shared" si="28"/>
        <v>331.16666666666669</v>
      </c>
      <c r="N350" s="30">
        <f>VLOOKUP(H350,клиенты!$A$1:$G$435,5,FALSE)</f>
        <v>44764</v>
      </c>
      <c r="O350">
        <f t="shared" si="29"/>
        <v>453</v>
      </c>
    </row>
    <row r="351" spans="1:15" x14ac:dyDescent="0.3">
      <c r="A351">
        <v>350</v>
      </c>
      <c r="B351">
        <v>427</v>
      </c>
      <c r="C351">
        <v>273</v>
      </c>
      <c r="D351">
        <v>5</v>
      </c>
      <c r="E351">
        <f t="shared" si="25"/>
        <v>1365</v>
      </c>
      <c r="F351" s="30">
        <v>45398</v>
      </c>
      <c r="G351" t="s">
        <v>29</v>
      </c>
      <c r="H351">
        <v>190</v>
      </c>
      <c r="I351" t="str">
        <f>VLOOKUP(B351,товар!$A$1:$C$433,2,FALSE)</f>
        <v>Хлеб</v>
      </c>
      <c r="J351" s="23">
        <f t="shared" si="26"/>
        <v>300.31818181818181</v>
      </c>
      <c r="K351" s="24">
        <f t="shared" si="27"/>
        <v>-9.0964128954139523E-2</v>
      </c>
      <c r="L351" t="str">
        <f>VLOOKUP(B351,товар!$A$1:$C$433,3,FALSE)</f>
        <v>Русский Хлеб</v>
      </c>
      <c r="M351">
        <f t="shared" si="28"/>
        <v>316.60000000000002</v>
      </c>
      <c r="N351" s="30">
        <f>VLOOKUP(H351,клиенты!$A$1:$G$435,5,FALSE)</f>
        <v>44689</v>
      </c>
      <c r="O351">
        <f t="shared" si="29"/>
        <v>709</v>
      </c>
    </row>
    <row r="352" spans="1:15" x14ac:dyDescent="0.3">
      <c r="A352">
        <v>351</v>
      </c>
      <c r="B352">
        <v>137</v>
      </c>
      <c r="C352">
        <v>154</v>
      </c>
      <c r="D352">
        <v>1</v>
      </c>
      <c r="E352">
        <f t="shared" si="25"/>
        <v>154</v>
      </c>
      <c r="F352" s="30">
        <v>45193</v>
      </c>
      <c r="G352" t="s">
        <v>31</v>
      </c>
      <c r="H352">
        <v>144</v>
      </c>
      <c r="I352" t="str">
        <f>VLOOKUP(B352,товар!$A$1:$C$433,2,FALSE)</f>
        <v>Фрукты</v>
      </c>
      <c r="J352" s="23">
        <f t="shared" si="26"/>
        <v>274.16279069767444</v>
      </c>
      <c r="K352" s="24">
        <f t="shared" si="27"/>
        <v>-0.43828993129188232</v>
      </c>
      <c r="L352" t="str">
        <f>VLOOKUP(B352,товар!$A$1:$C$433,3,FALSE)</f>
        <v>Экзотик</v>
      </c>
      <c r="M352">
        <f t="shared" si="28"/>
        <v>253.6875</v>
      </c>
      <c r="N352" s="30">
        <f>VLOOKUP(H352,клиенты!$A$1:$G$435,5,FALSE)</f>
        <v>44705</v>
      </c>
      <c r="O352">
        <f t="shared" si="29"/>
        <v>488</v>
      </c>
    </row>
    <row r="353" spans="1:15" x14ac:dyDescent="0.3">
      <c r="A353">
        <v>352</v>
      </c>
      <c r="B353">
        <v>303</v>
      </c>
      <c r="C353">
        <v>68</v>
      </c>
      <c r="D353">
        <v>4</v>
      </c>
      <c r="E353">
        <f t="shared" si="25"/>
        <v>272</v>
      </c>
      <c r="F353" s="30">
        <v>44947</v>
      </c>
      <c r="G353" t="s">
        <v>31</v>
      </c>
      <c r="H353">
        <v>76</v>
      </c>
      <c r="I353" t="str">
        <f>VLOOKUP(B353,товар!$A$1:$C$433,2,FALSE)</f>
        <v>Фрукты</v>
      </c>
      <c r="J353" s="23">
        <f t="shared" si="26"/>
        <v>274.16279069767444</v>
      </c>
      <c r="K353" s="24">
        <f t="shared" si="27"/>
        <v>-0.75197217745355838</v>
      </c>
      <c r="L353" t="str">
        <f>VLOOKUP(B353,товар!$A$1:$C$433,3,FALSE)</f>
        <v>Фруктовый Рай</v>
      </c>
      <c r="M353">
        <f t="shared" si="28"/>
        <v>258.30769230769232</v>
      </c>
      <c r="N353" s="30">
        <f>VLOOKUP(H353,клиенты!$A$1:$G$435,5,FALSE)</f>
        <v>44575</v>
      </c>
      <c r="O353">
        <f t="shared" si="29"/>
        <v>372</v>
      </c>
    </row>
    <row r="354" spans="1:15" x14ac:dyDescent="0.3">
      <c r="A354">
        <v>353</v>
      </c>
      <c r="B354">
        <v>23</v>
      </c>
      <c r="C354">
        <v>380</v>
      </c>
      <c r="D354">
        <v>1</v>
      </c>
      <c r="E354">
        <f t="shared" si="25"/>
        <v>380</v>
      </c>
      <c r="F354" s="30">
        <v>45199</v>
      </c>
      <c r="G354" t="s">
        <v>23</v>
      </c>
      <c r="H354">
        <v>84</v>
      </c>
      <c r="I354" t="str">
        <f>VLOOKUP(B354,товар!$A$1:$C$433,2,FALSE)</f>
        <v>Рыба</v>
      </c>
      <c r="J354" s="23">
        <f t="shared" si="26"/>
        <v>258.5128205128205</v>
      </c>
      <c r="K354" s="24">
        <f t="shared" si="27"/>
        <v>0.46994643919857171</v>
      </c>
      <c r="L354" t="str">
        <f>VLOOKUP(B354,товар!$A$1:$C$433,3,FALSE)</f>
        <v>Санта Бремор</v>
      </c>
      <c r="M354">
        <f t="shared" si="28"/>
        <v>216.4</v>
      </c>
      <c r="N354" s="30">
        <f>VLOOKUP(H354,клиенты!$A$1:$G$435,5,FALSE)</f>
        <v>44805</v>
      </c>
      <c r="O354">
        <f t="shared" si="29"/>
        <v>394</v>
      </c>
    </row>
    <row r="355" spans="1:15" x14ac:dyDescent="0.3">
      <c r="A355">
        <v>354</v>
      </c>
      <c r="B355">
        <v>398</v>
      </c>
      <c r="C355">
        <v>417</v>
      </c>
      <c r="D355">
        <v>4</v>
      </c>
      <c r="E355">
        <f t="shared" si="25"/>
        <v>1668</v>
      </c>
      <c r="F355" s="30">
        <v>45167</v>
      </c>
      <c r="G355" t="s">
        <v>30</v>
      </c>
      <c r="H355">
        <v>81</v>
      </c>
      <c r="I355" t="str">
        <f>VLOOKUP(B355,товар!$A$1:$C$433,2,FALSE)</f>
        <v>Сок</v>
      </c>
      <c r="J355" s="23">
        <f t="shared" si="26"/>
        <v>268.60344827586209</v>
      </c>
      <c r="K355" s="24">
        <f t="shared" si="27"/>
        <v>0.55247448488349682</v>
      </c>
      <c r="L355" t="str">
        <f>VLOOKUP(B355,товар!$A$1:$C$433,3,FALSE)</f>
        <v>Фруктовый сад</v>
      </c>
      <c r="M355">
        <f t="shared" si="28"/>
        <v>281.96875</v>
      </c>
      <c r="N355" s="30">
        <f>VLOOKUP(H355,клиенты!$A$1:$G$435,5,FALSE)</f>
        <v>44825</v>
      </c>
      <c r="O355">
        <f t="shared" si="29"/>
        <v>342</v>
      </c>
    </row>
    <row r="356" spans="1:15" x14ac:dyDescent="0.3">
      <c r="A356">
        <v>355</v>
      </c>
      <c r="B356">
        <v>8</v>
      </c>
      <c r="C356">
        <v>404</v>
      </c>
      <c r="D356">
        <v>1</v>
      </c>
      <c r="E356">
        <f t="shared" si="25"/>
        <v>404</v>
      </c>
      <c r="F356" s="30">
        <v>45077</v>
      </c>
      <c r="G356" t="s">
        <v>29</v>
      </c>
      <c r="H356">
        <v>157</v>
      </c>
      <c r="I356" t="str">
        <f>VLOOKUP(B356,товар!$A$1:$C$433,2,FALSE)</f>
        <v>Макароны</v>
      </c>
      <c r="J356" s="23">
        <f t="shared" si="26"/>
        <v>265.47674418604652</v>
      </c>
      <c r="K356" s="24">
        <f t="shared" si="27"/>
        <v>0.52179054793920554</v>
      </c>
      <c r="L356" t="str">
        <f>VLOOKUP(B356,товар!$A$1:$C$433,3,FALSE)</f>
        <v>Паста Зара</v>
      </c>
      <c r="M356">
        <f t="shared" si="28"/>
        <v>276.67567567567568</v>
      </c>
      <c r="N356" s="30">
        <f>VLOOKUP(H356,клиенты!$A$1:$G$435,5,FALSE)</f>
        <v>44783</v>
      </c>
      <c r="O356">
        <f t="shared" si="29"/>
        <v>294</v>
      </c>
    </row>
    <row r="357" spans="1:15" x14ac:dyDescent="0.3">
      <c r="A357">
        <v>356</v>
      </c>
      <c r="B357">
        <v>485</v>
      </c>
      <c r="C357">
        <v>193</v>
      </c>
      <c r="D357">
        <v>1</v>
      </c>
      <c r="E357">
        <f t="shared" si="25"/>
        <v>193</v>
      </c>
      <c r="F357" s="30">
        <v>45105</v>
      </c>
      <c r="G357" t="s">
        <v>27</v>
      </c>
      <c r="H357">
        <v>57</v>
      </c>
      <c r="I357" t="str">
        <f>VLOOKUP(B357,товар!$A$1:$C$433,2,FALSE)</f>
        <v>Макароны</v>
      </c>
      <c r="J357" s="23">
        <f t="shared" si="26"/>
        <v>265.47674418604652</v>
      </c>
      <c r="K357" s="24">
        <f t="shared" si="27"/>
        <v>-0.27300600061320135</v>
      </c>
      <c r="L357" t="str">
        <f>VLOOKUP(B357,товар!$A$1:$C$433,3,FALSE)</f>
        <v>Борилла</v>
      </c>
      <c r="M357">
        <f t="shared" si="28"/>
        <v>236.27586206896552</v>
      </c>
      <c r="N357" s="30">
        <f>VLOOKUP(H357,клиенты!$A$1:$G$435,5,FALSE)</f>
        <v>44669</v>
      </c>
      <c r="O357">
        <f t="shared" si="29"/>
        <v>436</v>
      </c>
    </row>
    <row r="358" spans="1:15" x14ac:dyDescent="0.3">
      <c r="A358">
        <v>357</v>
      </c>
      <c r="B358">
        <v>60</v>
      </c>
      <c r="C358">
        <v>320</v>
      </c>
      <c r="D358">
        <v>4</v>
      </c>
      <c r="E358">
        <f t="shared" si="25"/>
        <v>1280</v>
      </c>
      <c r="F358" s="30">
        <v>45292</v>
      </c>
      <c r="G358" t="s">
        <v>25</v>
      </c>
      <c r="H358">
        <v>273</v>
      </c>
      <c r="I358" t="str">
        <f>VLOOKUP(B358,товар!$A$1:$C$433,2,FALSE)</f>
        <v>Кофе</v>
      </c>
      <c r="J358" s="23">
        <f t="shared" si="26"/>
        <v>249.02380952380952</v>
      </c>
      <c r="K358" s="24">
        <f t="shared" si="27"/>
        <v>0.28501768811549866</v>
      </c>
      <c r="L358" t="str">
        <f>VLOOKUP(B358,товар!$A$1:$C$433,3,FALSE)</f>
        <v>Jacobs</v>
      </c>
      <c r="M358">
        <f t="shared" si="28"/>
        <v>276.21052631578948</v>
      </c>
      <c r="N358" s="30">
        <f>VLOOKUP(H358,клиенты!$A$1:$G$435,5,FALSE)</f>
        <v>44599</v>
      </c>
      <c r="O358">
        <f t="shared" si="29"/>
        <v>693</v>
      </c>
    </row>
    <row r="359" spans="1:15" x14ac:dyDescent="0.3">
      <c r="A359">
        <v>358</v>
      </c>
      <c r="B359">
        <v>290</v>
      </c>
      <c r="C359">
        <v>470</v>
      </c>
      <c r="D359">
        <v>5</v>
      </c>
      <c r="E359">
        <f t="shared" si="25"/>
        <v>2350</v>
      </c>
      <c r="F359" s="30">
        <v>45039</v>
      </c>
      <c r="G359" t="s">
        <v>27</v>
      </c>
      <c r="H359">
        <v>479</v>
      </c>
      <c r="I359" t="str">
        <f>VLOOKUP(B359,товар!$A$1:$C$433,2,FALSE)</f>
        <v>Сахар</v>
      </c>
      <c r="J359" s="23">
        <f t="shared" si="26"/>
        <v>252.76271186440678</v>
      </c>
      <c r="K359" s="24">
        <f t="shared" si="27"/>
        <v>0.85945148528129822</v>
      </c>
      <c r="L359" t="str">
        <f>VLOOKUP(B359,товар!$A$1:$C$433,3,FALSE)</f>
        <v>Продимекс</v>
      </c>
      <c r="M359">
        <f t="shared" si="28"/>
        <v>240.5</v>
      </c>
      <c r="N359" s="30">
        <f>VLOOKUP(H359,клиенты!$A$1:$G$435,5,FALSE)</f>
        <v>44793</v>
      </c>
      <c r="O359">
        <f t="shared" si="29"/>
        <v>246</v>
      </c>
    </row>
    <row r="360" spans="1:15" x14ac:dyDescent="0.3">
      <c r="A360">
        <v>359</v>
      </c>
      <c r="B360">
        <v>386</v>
      </c>
      <c r="C360">
        <v>424</v>
      </c>
      <c r="D360">
        <v>3</v>
      </c>
      <c r="E360">
        <f t="shared" si="25"/>
        <v>1272</v>
      </c>
      <c r="F360" s="30">
        <v>45166</v>
      </c>
      <c r="G360" t="s">
        <v>34</v>
      </c>
      <c r="H360">
        <v>406</v>
      </c>
      <c r="I360" t="str">
        <f>VLOOKUP(B360,товар!$A$1:$C$433,2,FALSE)</f>
        <v>Крупа</v>
      </c>
      <c r="J360" s="23">
        <f t="shared" si="26"/>
        <v>255.11627906976744</v>
      </c>
      <c r="K360" s="24">
        <f t="shared" si="27"/>
        <v>0.6619872379216043</v>
      </c>
      <c r="L360" t="str">
        <f>VLOOKUP(B360,товар!$A$1:$C$433,3,FALSE)</f>
        <v>Увелка</v>
      </c>
      <c r="M360">
        <f t="shared" si="28"/>
        <v>251.91666666666666</v>
      </c>
      <c r="N360" s="30">
        <f>VLOOKUP(H360,клиенты!$A$1:$G$435,5,FALSE)</f>
        <v>44895</v>
      </c>
      <c r="O360">
        <f t="shared" si="29"/>
        <v>271</v>
      </c>
    </row>
    <row r="361" spans="1:15" x14ac:dyDescent="0.3">
      <c r="A361">
        <v>360</v>
      </c>
      <c r="B361">
        <v>348</v>
      </c>
      <c r="C361">
        <v>147</v>
      </c>
      <c r="D361">
        <v>4</v>
      </c>
      <c r="E361">
        <f t="shared" si="25"/>
        <v>588</v>
      </c>
      <c r="F361" s="30">
        <v>45006</v>
      </c>
      <c r="G361" t="s">
        <v>29</v>
      </c>
      <c r="H361">
        <v>157</v>
      </c>
      <c r="I361" t="str">
        <f>VLOOKUP(B361,товар!$A$1:$C$433,2,FALSE)</f>
        <v>Чипсы</v>
      </c>
      <c r="J361" s="23">
        <f t="shared" si="26"/>
        <v>273.72549019607845</v>
      </c>
      <c r="K361" s="24">
        <f t="shared" si="27"/>
        <v>-0.4629656160458453</v>
      </c>
      <c r="L361" t="str">
        <f>VLOOKUP(B361,товар!$A$1:$C$433,3,FALSE)</f>
        <v>Estrella</v>
      </c>
      <c r="M361">
        <f t="shared" si="28"/>
        <v>266.27272727272725</v>
      </c>
      <c r="N361" s="30">
        <f>VLOOKUP(H361,клиенты!$A$1:$G$435,5,FALSE)</f>
        <v>44783</v>
      </c>
      <c r="O361">
        <f t="shared" si="29"/>
        <v>223</v>
      </c>
    </row>
    <row r="362" spans="1:15" x14ac:dyDescent="0.3">
      <c r="A362">
        <v>361</v>
      </c>
      <c r="B362">
        <v>350</v>
      </c>
      <c r="C362">
        <v>319</v>
      </c>
      <c r="D362">
        <v>3</v>
      </c>
      <c r="E362">
        <f t="shared" si="25"/>
        <v>957</v>
      </c>
      <c r="F362" s="30">
        <v>45385</v>
      </c>
      <c r="G362" t="s">
        <v>15</v>
      </c>
      <c r="H362">
        <v>56</v>
      </c>
      <c r="I362" t="str">
        <f>VLOOKUP(B362,товар!$A$1:$C$433,2,FALSE)</f>
        <v>Фрукты</v>
      </c>
      <c r="J362" s="23">
        <f t="shared" si="26"/>
        <v>274.16279069767444</v>
      </c>
      <c r="K362" s="24">
        <f t="shared" si="27"/>
        <v>0.16354228518110103</v>
      </c>
      <c r="L362" t="str">
        <f>VLOOKUP(B362,товар!$A$1:$C$433,3,FALSE)</f>
        <v>Фрукты-Ягоды</v>
      </c>
      <c r="M362">
        <f t="shared" si="28"/>
        <v>280.66666666666669</v>
      </c>
      <c r="N362" s="30">
        <f>VLOOKUP(H362,клиенты!$A$1:$G$435,5,FALSE)</f>
        <v>44662</v>
      </c>
      <c r="O362">
        <f t="shared" si="29"/>
        <v>723</v>
      </c>
    </row>
    <row r="363" spans="1:15" x14ac:dyDescent="0.3">
      <c r="A363">
        <v>362</v>
      </c>
      <c r="B363">
        <v>126</v>
      </c>
      <c r="C363">
        <v>479</v>
      </c>
      <c r="D363">
        <v>2</v>
      </c>
      <c r="E363">
        <f t="shared" si="25"/>
        <v>958</v>
      </c>
      <c r="F363" s="30">
        <v>45045</v>
      </c>
      <c r="G363" t="s">
        <v>31</v>
      </c>
      <c r="H363">
        <v>10</v>
      </c>
      <c r="I363" t="str">
        <f>VLOOKUP(B363,товар!$A$1:$C$433,2,FALSE)</f>
        <v>Сахар</v>
      </c>
      <c r="J363" s="23">
        <f t="shared" si="26"/>
        <v>252.76271186440678</v>
      </c>
      <c r="K363" s="24">
        <f t="shared" si="27"/>
        <v>0.89505800308455719</v>
      </c>
      <c r="L363" t="str">
        <f>VLOOKUP(B363,товар!$A$1:$C$433,3,FALSE)</f>
        <v>Русский сахар</v>
      </c>
      <c r="M363">
        <f t="shared" si="28"/>
        <v>293.41176470588238</v>
      </c>
      <c r="N363" s="30">
        <f>VLOOKUP(H363,клиенты!$A$1:$G$435,5,FALSE)</f>
        <v>44881</v>
      </c>
      <c r="O363">
        <f t="shared" si="29"/>
        <v>164</v>
      </c>
    </row>
    <row r="364" spans="1:15" x14ac:dyDescent="0.3">
      <c r="A364">
        <v>363</v>
      </c>
      <c r="B364">
        <v>258</v>
      </c>
      <c r="C364">
        <v>181</v>
      </c>
      <c r="D364">
        <v>5</v>
      </c>
      <c r="E364">
        <f t="shared" si="25"/>
        <v>905</v>
      </c>
      <c r="F364" s="30">
        <v>45054</v>
      </c>
      <c r="G364" t="s">
        <v>34</v>
      </c>
      <c r="H364">
        <v>174</v>
      </c>
      <c r="I364" t="str">
        <f>VLOOKUP(B364,товар!$A$1:$C$433,2,FALSE)</f>
        <v>Рыба</v>
      </c>
      <c r="J364" s="23">
        <f t="shared" si="26"/>
        <v>258.5128205128205</v>
      </c>
      <c r="K364" s="24">
        <f t="shared" si="27"/>
        <v>-0.29984130132910136</v>
      </c>
      <c r="L364" t="str">
        <f>VLOOKUP(B364,товар!$A$1:$C$433,3,FALSE)</f>
        <v>Санта Бремор</v>
      </c>
      <c r="M364">
        <f t="shared" si="28"/>
        <v>216.4</v>
      </c>
      <c r="N364" s="30">
        <f>VLOOKUP(H364,клиенты!$A$1:$G$435,5,FALSE)</f>
        <v>44779</v>
      </c>
      <c r="O364">
        <f t="shared" si="29"/>
        <v>275</v>
      </c>
    </row>
    <row r="365" spans="1:15" x14ac:dyDescent="0.3">
      <c r="A365">
        <v>364</v>
      </c>
      <c r="B365">
        <v>325</v>
      </c>
      <c r="C365">
        <v>361</v>
      </c>
      <c r="D365">
        <v>5</v>
      </c>
      <c r="E365">
        <f t="shared" si="25"/>
        <v>1805</v>
      </c>
      <c r="F365" s="30">
        <v>45243</v>
      </c>
      <c r="G365" t="s">
        <v>18</v>
      </c>
      <c r="H365">
        <v>110</v>
      </c>
      <c r="I365" t="str">
        <f>VLOOKUP(B365,товар!$A$1:$C$433,2,FALSE)</f>
        <v>Сок</v>
      </c>
      <c r="J365" s="23">
        <f t="shared" si="26"/>
        <v>268.60344827586209</v>
      </c>
      <c r="K365" s="24">
        <f t="shared" si="27"/>
        <v>0.34398870274086901</v>
      </c>
      <c r="L365" t="str">
        <f>VLOOKUP(B365,товар!$A$1:$C$433,3,FALSE)</f>
        <v>Добрый</v>
      </c>
      <c r="M365">
        <f t="shared" si="28"/>
        <v>242.81818181818181</v>
      </c>
      <c r="N365" s="30">
        <f>VLOOKUP(H365,клиенты!$A$1:$G$435,5,FALSE)</f>
        <v>44580</v>
      </c>
      <c r="O365">
        <f t="shared" si="29"/>
        <v>663</v>
      </c>
    </row>
    <row r="366" spans="1:15" x14ac:dyDescent="0.3">
      <c r="A366">
        <v>365</v>
      </c>
      <c r="B366">
        <v>320</v>
      </c>
      <c r="C366">
        <v>254</v>
      </c>
      <c r="D366">
        <v>1</v>
      </c>
      <c r="E366">
        <f t="shared" si="25"/>
        <v>254</v>
      </c>
      <c r="F366" s="30">
        <v>45316</v>
      </c>
      <c r="G366" t="s">
        <v>26</v>
      </c>
      <c r="H366">
        <v>72</v>
      </c>
      <c r="I366" t="str">
        <f>VLOOKUP(B366,товар!$A$1:$C$433,2,FALSE)</f>
        <v>Конфеты</v>
      </c>
      <c r="J366" s="23">
        <f t="shared" si="26"/>
        <v>267.85483870967744</v>
      </c>
      <c r="K366" s="24">
        <f t="shared" si="27"/>
        <v>-5.172517613054739E-2</v>
      </c>
      <c r="L366" t="str">
        <f>VLOOKUP(B366,товар!$A$1:$C$433,3,FALSE)</f>
        <v>Бабаевский</v>
      </c>
      <c r="M366">
        <f t="shared" si="28"/>
        <v>250.25925925925927</v>
      </c>
      <c r="N366" s="30">
        <f>VLOOKUP(H366,клиенты!$A$1:$G$435,5,FALSE)</f>
        <v>44906</v>
      </c>
      <c r="O366">
        <f t="shared" si="29"/>
        <v>410</v>
      </c>
    </row>
    <row r="367" spans="1:15" x14ac:dyDescent="0.3">
      <c r="A367">
        <v>366</v>
      </c>
      <c r="B367">
        <v>329</v>
      </c>
      <c r="C367">
        <v>187</v>
      </c>
      <c r="D367">
        <v>4</v>
      </c>
      <c r="E367">
        <f t="shared" si="25"/>
        <v>748</v>
      </c>
      <c r="F367" s="30">
        <v>45274</v>
      </c>
      <c r="G367" t="s">
        <v>27</v>
      </c>
      <c r="H367">
        <v>307</v>
      </c>
      <c r="I367" t="str">
        <f>VLOOKUP(B367,товар!$A$1:$C$433,2,FALSE)</f>
        <v>Соль</v>
      </c>
      <c r="J367" s="23">
        <f t="shared" si="26"/>
        <v>264.8679245283019</v>
      </c>
      <c r="K367" s="24">
        <f t="shared" si="27"/>
        <v>-0.29398774754238499</v>
      </c>
      <c r="L367" t="str">
        <f>VLOOKUP(B367,товар!$A$1:$C$433,3,FALSE)</f>
        <v>Славянская</v>
      </c>
      <c r="M367">
        <f t="shared" si="28"/>
        <v>236.91666666666666</v>
      </c>
      <c r="N367" s="30">
        <f>VLOOKUP(H367,клиенты!$A$1:$G$435,5,FALSE)</f>
        <v>44764</v>
      </c>
      <c r="O367">
        <f t="shared" si="29"/>
        <v>510</v>
      </c>
    </row>
    <row r="368" spans="1:15" x14ac:dyDescent="0.3">
      <c r="A368">
        <v>367</v>
      </c>
      <c r="B368">
        <v>226</v>
      </c>
      <c r="C368">
        <v>155</v>
      </c>
      <c r="D368">
        <v>4</v>
      </c>
      <c r="E368">
        <f t="shared" si="25"/>
        <v>620</v>
      </c>
      <c r="F368" s="30">
        <v>44967</v>
      </c>
      <c r="G368" t="s">
        <v>28</v>
      </c>
      <c r="H368">
        <v>202</v>
      </c>
      <c r="I368" t="str">
        <f>VLOOKUP(B368,товар!$A$1:$C$433,2,FALSE)</f>
        <v>Сыр</v>
      </c>
      <c r="J368" s="23">
        <f t="shared" si="26"/>
        <v>262.63492063492066</v>
      </c>
      <c r="K368" s="24">
        <f t="shared" si="27"/>
        <v>-0.40982714855554214</v>
      </c>
      <c r="L368" t="str">
        <f>VLOOKUP(B368,товар!$A$1:$C$433,3,FALSE)</f>
        <v>Карат</v>
      </c>
      <c r="M368">
        <f t="shared" si="28"/>
        <v>311.33333333333331</v>
      </c>
      <c r="N368" s="30">
        <f>VLOOKUP(H368,клиенты!$A$1:$G$435,5,FALSE)</f>
        <v>44766</v>
      </c>
      <c r="O368">
        <f t="shared" si="29"/>
        <v>201</v>
      </c>
    </row>
    <row r="369" spans="1:15" x14ac:dyDescent="0.3">
      <c r="A369">
        <v>368</v>
      </c>
      <c r="B369">
        <v>270</v>
      </c>
      <c r="C369">
        <v>78</v>
      </c>
      <c r="D369">
        <v>4</v>
      </c>
      <c r="E369">
        <f t="shared" si="25"/>
        <v>312</v>
      </c>
      <c r="F369" s="30">
        <v>44932</v>
      </c>
      <c r="G369" t="s">
        <v>31</v>
      </c>
      <c r="H369">
        <v>157</v>
      </c>
      <c r="I369" t="str">
        <f>VLOOKUP(B369,товар!$A$1:$C$433,2,FALSE)</f>
        <v>Соль</v>
      </c>
      <c r="J369" s="23">
        <f t="shared" si="26"/>
        <v>264.8679245283019</v>
      </c>
      <c r="K369" s="24">
        <f t="shared" si="27"/>
        <v>-0.70551360592677015</v>
      </c>
      <c r="L369" t="str">
        <f>VLOOKUP(B369,товар!$A$1:$C$433,3,FALSE)</f>
        <v>Славянская</v>
      </c>
      <c r="M369">
        <f t="shared" si="28"/>
        <v>236.91666666666666</v>
      </c>
      <c r="N369" s="30">
        <f>VLOOKUP(H369,клиенты!$A$1:$G$435,5,FALSE)</f>
        <v>44783</v>
      </c>
      <c r="O369">
        <f t="shared" si="29"/>
        <v>149</v>
      </c>
    </row>
    <row r="370" spans="1:15" x14ac:dyDescent="0.3">
      <c r="A370">
        <v>369</v>
      </c>
      <c r="B370">
        <v>233</v>
      </c>
      <c r="C370">
        <v>478</v>
      </c>
      <c r="D370">
        <v>2</v>
      </c>
      <c r="E370">
        <f t="shared" si="25"/>
        <v>956</v>
      </c>
      <c r="F370" s="30">
        <v>45129</v>
      </c>
      <c r="G370" t="s">
        <v>29</v>
      </c>
      <c r="H370">
        <v>270</v>
      </c>
      <c r="I370" t="str">
        <f>VLOOKUP(B370,товар!$A$1:$C$433,2,FALSE)</f>
        <v>Йогурт</v>
      </c>
      <c r="J370" s="23">
        <f t="shared" si="26"/>
        <v>263.25423728813558</v>
      </c>
      <c r="K370" s="24">
        <f t="shared" si="27"/>
        <v>0.8157352562451714</v>
      </c>
      <c r="L370" t="str">
        <f>VLOOKUP(B370,товар!$A$1:$C$433,3,FALSE)</f>
        <v>Ростагроэкспорт</v>
      </c>
      <c r="M370">
        <f t="shared" si="28"/>
        <v>257.78260869565219</v>
      </c>
      <c r="N370" s="30">
        <f>VLOOKUP(H370,клиенты!$A$1:$G$435,5,FALSE)</f>
        <v>44827</v>
      </c>
      <c r="O370">
        <f t="shared" si="29"/>
        <v>302</v>
      </c>
    </row>
    <row r="371" spans="1:15" x14ac:dyDescent="0.3">
      <c r="A371">
        <v>370</v>
      </c>
      <c r="B371">
        <v>178</v>
      </c>
      <c r="C371">
        <v>176</v>
      </c>
      <c r="D371">
        <v>5</v>
      </c>
      <c r="E371">
        <f t="shared" si="25"/>
        <v>880</v>
      </c>
      <c r="F371" s="30">
        <v>45183</v>
      </c>
      <c r="G371" t="s">
        <v>24</v>
      </c>
      <c r="H371">
        <v>65</v>
      </c>
      <c r="I371" t="str">
        <f>VLOOKUP(B371,товар!$A$1:$C$433,2,FALSE)</f>
        <v>Йогурт</v>
      </c>
      <c r="J371" s="23">
        <f t="shared" si="26"/>
        <v>263.25423728813558</v>
      </c>
      <c r="K371" s="24">
        <f t="shared" si="27"/>
        <v>-0.33144475920679883</v>
      </c>
      <c r="L371" t="str">
        <f>VLOOKUP(B371,товар!$A$1:$C$433,3,FALSE)</f>
        <v>Ростагроэкспорт</v>
      </c>
      <c r="M371">
        <f t="shared" si="28"/>
        <v>257.78260869565219</v>
      </c>
      <c r="N371" s="30">
        <f>VLOOKUP(H371,клиенты!$A$1:$G$435,5,FALSE)</f>
        <v>44623</v>
      </c>
      <c r="O371">
        <f t="shared" si="29"/>
        <v>560</v>
      </c>
    </row>
    <row r="372" spans="1:15" x14ac:dyDescent="0.3">
      <c r="A372">
        <v>371</v>
      </c>
      <c r="B372">
        <v>293</v>
      </c>
      <c r="C372">
        <v>179</v>
      </c>
      <c r="D372">
        <v>4</v>
      </c>
      <c r="E372">
        <f t="shared" si="25"/>
        <v>716</v>
      </c>
      <c r="F372" s="30">
        <v>45258</v>
      </c>
      <c r="G372" t="s">
        <v>18</v>
      </c>
      <c r="H372">
        <v>38</v>
      </c>
      <c r="I372" t="str">
        <f>VLOOKUP(B372,товар!$A$1:$C$433,2,FALSE)</f>
        <v>Конфеты</v>
      </c>
      <c r="J372" s="23">
        <f t="shared" si="26"/>
        <v>267.85483870967744</v>
      </c>
      <c r="K372" s="24">
        <f t="shared" si="27"/>
        <v>-0.33172758475341724</v>
      </c>
      <c r="L372" t="str">
        <f>VLOOKUP(B372,товар!$A$1:$C$433,3,FALSE)</f>
        <v>Бабаевский</v>
      </c>
      <c r="M372">
        <f t="shared" si="28"/>
        <v>250.25925925925927</v>
      </c>
      <c r="N372" s="30">
        <f>VLOOKUP(H372,клиенты!$A$1:$G$435,5,FALSE)</f>
        <v>44819</v>
      </c>
      <c r="O372">
        <f t="shared" si="29"/>
        <v>439</v>
      </c>
    </row>
    <row r="373" spans="1:15" x14ac:dyDescent="0.3">
      <c r="A373">
        <v>372</v>
      </c>
      <c r="B373">
        <v>286</v>
      </c>
      <c r="C373">
        <v>122</v>
      </c>
      <c r="D373">
        <v>5</v>
      </c>
      <c r="E373">
        <f t="shared" si="25"/>
        <v>610</v>
      </c>
      <c r="F373" s="30">
        <v>45147</v>
      </c>
      <c r="G373" t="s">
        <v>20</v>
      </c>
      <c r="H373">
        <v>356</v>
      </c>
      <c r="I373" t="str">
        <f>VLOOKUP(B373,товар!$A$1:$C$433,2,FALSE)</f>
        <v>Йогурт</v>
      </c>
      <c r="J373" s="23">
        <f t="shared" si="26"/>
        <v>263.25423728813558</v>
      </c>
      <c r="K373" s="24">
        <f t="shared" si="27"/>
        <v>-0.53656966263198558</v>
      </c>
      <c r="L373" t="str">
        <f>VLOOKUP(B373,товар!$A$1:$C$433,3,FALSE)</f>
        <v>Ростагроэкспорт</v>
      </c>
      <c r="M373">
        <f t="shared" si="28"/>
        <v>257.78260869565219</v>
      </c>
      <c r="N373" s="30">
        <f>VLOOKUP(H373,клиенты!$A$1:$G$435,5,FALSE)</f>
        <v>44570</v>
      </c>
      <c r="O373">
        <f t="shared" si="29"/>
        <v>577</v>
      </c>
    </row>
    <row r="374" spans="1:15" x14ac:dyDescent="0.3">
      <c r="A374">
        <v>373</v>
      </c>
      <c r="B374">
        <v>11</v>
      </c>
      <c r="C374">
        <v>199</v>
      </c>
      <c r="D374">
        <v>4</v>
      </c>
      <c r="E374">
        <f t="shared" si="25"/>
        <v>796</v>
      </c>
      <c r="F374" s="30">
        <v>45374</v>
      </c>
      <c r="G374" t="s">
        <v>24</v>
      </c>
      <c r="H374">
        <v>296</v>
      </c>
      <c r="I374" t="str">
        <f>VLOOKUP(B374,товар!$A$1:$C$433,2,FALSE)</f>
        <v>Хлеб</v>
      </c>
      <c r="J374" s="23">
        <f t="shared" si="26"/>
        <v>300.31818181818181</v>
      </c>
      <c r="K374" s="24">
        <f t="shared" si="27"/>
        <v>-0.33736945663690021</v>
      </c>
      <c r="L374" t="str">
        <f>VLOOKUP(B374,товар!$A$1:$C$433,3,FALSE)</f>
        <v>Русский Хлеб</v>
      </c>
      <c r="M374">
        <f t="shared" si="28"/>
        <v>316.60000000000002</v>
      </c>
      <c r="N374" s="30">
        <f>VLOOKUP(H374,клиенты!$A$1:$G$435,5,FALSE)</f>
        <v>44758</v>
      </c>
      <c r="O374">
        <f t="shared" si="29"/>
        <v>616</v>
      </c>
    </row>
    <row r="375" spans="1:15" x14ac:dyDescent="0.3">
      <c r="A375">
        <v>374</v>
      </c>
      <c r="B375">
        <v>441</v>
      </c>
      <c r="C375">
        <v>173</v>
      </c>
      <c r="D375">
        <v>3</v>
      </c>
      <c r="E375">
        <f t="shared" si="25"/>
        <v>519</v>
      </c>
      <c r="F375" s="30">
        <v>45349</v>
      </c>
      <c r="G375" t="s">
        <v>21</v>
      </c>
      <c r="H375">
        <v>62</v>
      </c>
      <c r="I375" t="str">
        <f>VLOOKUP(B375,товар!$A$1:$C$433,2,FALSE)</f>
        <v>Чай</v>
      </c>
      <c r="J375" s="23">
        <f t="shared" si="26"/>
        <v>271.18181818181819</v>
      </c>
      <c r="K375" s="24">
        <f t="shared" si="27"/>
        <v>-0.36205162587998663</v>
      </c>
      <c r="L375" t="str">
        <f>VLOOKUP(B375,товар!$A$1:$C$433,3,FALSE)</f>
        <v>Lipton</v>
      </c>
      <c r="M375">
        <f t="shared" si="28"/>
        <v>260.15789473684208</v>
      </c>
      <c r="N375" s="30">
        <f>VLOOKUP(H375,клиенты!$A$1:$G$435,5,FALSE)</f>
        <v>44671</v>
      </c>
      <c r="O375">
        <f t="shared" si="29"/>
        <v>678</v>
      </c>
    </row>
    <row r="376" spans="1:15" x14ac:dyDescent="0.3">
      <c r="A376">
        <v>375</v>
      </c>
      <c r="B376">
        <v>19</v>
      </c>
      <c r="C376">
        <v>142</v>
      </c>
      <c r="D376">
        <v>3</v>
      </c>
      <c r="E376">
        <f t="shared" si="25"/>
        <v>426</v>
      </c>
      <c r="F376" s="30">
        <v>45157</v>
      </c>
      <c r="G376" t="s">
        <v>17</v>
      </c>
      <c r="H376">
        <v>18</v>
      </c>
      <c r="I376" t="str">
        <f>VLOOKUP(B376,товар!$A$1:$C$433,2,FALSE)</f>
        <v>Мясо</v>
      </c>
      <c r="J376" s="23">
        <f t="shared" si="26"/>
        <v>271.74545454545455</v>
      </c>
      <c r="K376" s="24">
        <f t="shared" si="27"/>
        <v>-0.47745216111334132</v>
      </c>
      <c r="L376" t="str">
        <f>VLOOKUP(B376,товар!$A$1:$C$433,3,FALSE)</f>
        <v>Снежана</v>
      </c>
      <c r="M376">
        <f t="shared" si="28"/>
        <v>272.35294117647061</v>
      </c>
      <c r="N376" s="30">
        <f>VLOOKUP(H376,клиенты!$A$1:$G$435,5,FALSE)</f>
        <v>44578</v>
      </c>
      <c r="O376">
        <f t="shared" si="29"/>
        <v>579</v>
      </c>
    </row>
    <row r="377" spans="1:15" x14ac:dyDescent="0.3">
      <c r="A377">
        <v>376</v>
      </c>
      <c r="B377">
        <v>340</v>
      </c>
      <c r="C377">
        <v>157</v>
      </c>
      <c r="D377">
        <v>2</v>
      </c>
      <c r="E377">
        <f t="shared" si="25"/>
        <v>314</v>
      </c>
      <c r="F377" s="30">
        <v>45075</v>
      </c>
      <c r="G377" t="s">
        <v>25</v>
      </c>
      <c r="H377">
        <v>376</v>
      </c>
      <c r="I377" t="str">
        <f>VLOOKUP(B377,товар!$A$1:$C$433,2,FALSE)</f>
        <v>Сыр</v>
      </c>
      <c r="J377" s="23">
        <f t="shared" si="26"/>
        <v>262.63492063492066</v>
      </c>
      <c r="K377" s="24">
        <f t="shared" si="27"/>
        <v>-0.40221201498851689</v>
      </c>
      <c r="L377" t="str">
        <f>VLOOKUP(B377,товар!$A$1:$C$433,3,FALSE)</f>
        <v>Карат</v>
      </c>
      <c r="M377">
        <f t="shared" si="28"/>
        <v>311.33333333333331</v>
      </c>
      <c r="N377" s="30">
        <f>VLOOKUP(H377,клиенты!$A$1:$G$435,5,FALSE)</f>
        <v>44730</v>
      </c>
      <c r="O377">
        <f t="shared" si="29"/>
        <v>345</v>
      </c>
    </row>
    <row r="378" spans="1:15" x14ac:dyDescent="0.3">
      <c r="A378">
        <v>377</v>
      </c>
      <c r="B378">
        <v>142</v>
      </c>
      <c r="C378">
        <v>160</v>
      </c>
      <c r="D378">
        <v>4</v>
      </c>
      <c r="E378">
        <f t="shared" si="25"/>
        <v>640</v>
      </c>
      <c r="F378" s="30">
        <v>45414</v>
      </c>
      <c r="G378" t="s">
        <v>17</v>
      </c>
      <c r="H378">
        <v>459</v>
      </c>
      <c r="I378" t="str">
        <f>VLOOKUP(B378,товар!$A$1:$C$433,2,FALSE)</f>
        <v>Фрукты</v>
      </c>
      <c r="J378" s="23">
        <f t="shared" si="26"/>
        <v>274.16279069767444</v>
      </c>
      <c r="K378" s="24">
        <f t="shared" si="27"/>
        <v>-0.41640512342013747</v>
      </c>
      <c r="L378" t="str">
        <f>VLOOKUP(B378,товар!$A$1:$C$433,3,FALSE)</f>
        <v>Фруктовый Рай</v>
      </c>
      <c r="M378">
        <f t="shared" si="28"/>
        <v>258.30769230769232</v>
      </c>
      <c r="N378" s="30">
        <f>VLOOKUP(H378,клиенты!$A$1:$G$435,5,FALSE)</f>
        <v>44743</v>
      </c>
      <c r="O378">
        <f t="shared" si="29"/>
        <v>671</v>
      </c>
    </row>
    <row r="379" spans="1:15" x14ac:dyDescent="0.3">
      <c r="A379">
        <v>378</v>
      </c>
      <c r="B379">
        <v>452</v>
      </c>
      <c r="C379">
        <v>325</v>
      </c>
      <c r="D379">
        <v>2</v>
      </c>
      <c r="E379">
        <f t="shared" si="25"/>
        <v>650</v>
      </c>
      <c r="F379" s="30">
        <v>45160</v>
      </c>
      <c r="G379" t="s">
        <v>22</v>
      </c>
      <c r="H379">
        <v>88</v>
      </c>
      <c r="I379" t="str">
        <f>VLOOKUP(B379,товар!$A$1:$C$433,2,FALSE)</f>
        <v>Фрукты</v>
      </c>
      <c r="J379" s="23">
        <f t="shared" si="26"/>
        <v>274.16279069767444</v>
      </c>
      <c r="K379" s="24">
        <f t="shared" si="27"/>
        <v>0.18542709305284588</v>
      </c>
      <c r="L379" t="str">
        <f>VLOOKUP(B379,товар!$A$1:$C$433,3,FALSE)</f>
        <v>Экзотик</v>
      </c>
      <c r="M379">
        <f t="shared" si="28"/>
        <v>253.6875</v>
      </c>
      <c r="N379" s="30">
        <f>VLOOKUP(H379,клиенты!$A$1:$G$435,5,FALSE)</f>
        <v>44630</v>
      </c>
      <c r="O379">
        <f t="shared" si="29"/>
        <v>530</v>
      </c>
    </row>
    <row r="380" spans="1:15" x14ac:dyDescent="0.3">
      <c r="A380">
        <v>379</v>
      </c>
      <c r="B380">
        <v>340</v>
      </c>
      <c r="C380">
        <v>457</v>
      </c>
      <c r="D380">
        <v>1</v>
      </c>
      <c r="E380">
        <f t="shared" si="25"/>
        <v>457</v>
      </c>
      <c r="F380" s="30">
        <v>44945</v>
      </c>
      <c r="G380" t="s">
        <v>20</v>
      </c>
      <c r="H380">
        <v>325</v>
      </c>
      <c r="I380" t="str">
        <f>VLOOKUP(B380,товар!$A$1:$C$433,2,FALSE)</f>
        <v>Сыр</v>
      </c>
      <c r="J380" s="23">
        <f t="shared" si="26"/>
        <v>262.63492063492066</v>
      </c>
      <c r="K380" s="24">
        <f t="shared" si="27"/>
        <v>0.74005802006527244</v>
      </c>
      <c r="L380" t="str">
        <f>VLOOKUP(B380,товар!$A$1:$C$433,3,FALSE)</f>
        <v>Карат</v>
      </c>
      <c r="M380">
        <f t="shared" si="28"/>
        <v>311.33333333333331</v>
      </c>
      <c r="N380" s="30">
        <f>VLOOKUP(H380,клиенты!$A$1:$G$435,5,FALSE)</f>
        <v>44875</v>
      </c>
      <c r="O380">
        <f t="shared" si="29"/>
        <v>70</v>
      </c>
    </row>
    <row r="381" spans="1:15" x14ac:dyDescent="0.3">
      <c r="A381">
        <v>380</v>
      </c>
      <c r="B381">
        <v>466</v>
      </c>
      <c r="C381">
        <v>425</v>
      </c>
      <c r="D381">
        <v>5</v>
      </c>
      <c r="E381">
        <f t="shared" si="25"/>
        <v>2125</v>
      </c>
      <c r="F381" s="30">
        <v>45132</v>
      </c>
      <c r="G381" t="s">
        <v>28</v>
      </c>
      <c r="H381">
        <v>129</v>
      </c>
      <c r="I381" t="str">
        <f>VLOOKUP(B381,товар!$A$1:$C$433,2,FALSE)</f>
        <v>Фрукты</v>
      </c>
      <c r="J381" s="23">
        <f t="shared" si="26"/>
        <v>274.16279069767444</v>
      </c>
      <c r="K381" s="24">
        <f t="shared" si="27"/>
        <v>0.55017389091525981</v>
      </c>
      <c r="L381" t="str">
        <f>VLOOKUP(B381,товар!$A$1:$C$433,3,FALSE)</f>
        <v>Green Garden</v>
      </c>
      <c r="M381">
        <f t="shared" si="28"/>
        <v>369.2</v>
      </c>
      <c r="N381" s="30">
        <f>VLOOKUP(H381,клиенты!$A$1:$G$435,5,FALSE)</f>
        <v>44868</v>
      </c>
      <c r="O381">
        <f t="shared" si="29"/>
        <v>264</v>
      </c>
    </row>
    <row r="382" spans="1:15" x14ac:dyDescent="0.3">
      <c r="A382">
        <v>381</v>
      </c>
      <c r="B382">
        <v>71</v>
      </c>
      <c r="C382">
        <v>125</v>
      </c>
      <c r="D382">
        <v>4</v>
      </c>
      <c r="E382">
        <f t="shared" si="25"/>
        <v>500</v>
      </c>
      <c r="F382" s="30">
        <v>45182</v>
      </c>
      <c r="G382" t="s">
        <v>24</v>
      </c>
      <c r="H382">
        <v>19</v>
      </c>
      <c r="I382" t="str">
        <f>VLOOKUP(B382,товар!$A$1:$C$433,2,FALSE)</f>
        <v>Печенье</v>
      </c>
      <c r="J382" s="23">
        <f t="shared" si="26"/>
        <v>283.468085106383</v>
      </c>
      <c r="K382" s="24">
        <f t="shared" si="27"/>
        <v>-0.55903325076934629</v>
      </c>
      <c r="L382" t="str">
        <f>VLOOKUP(B382,товар!$A$1:$C$433,3,FALSE)</f>
        <v>Белогорье</v>
      </c>
      <c r="M382">
        <f t="shared" si="28"/>
        <v>249.5</v>
      </c>
      <c r="N382" s="30">
        <f>VLOOKUP(H382,клиенты!$A$1:$G$435,5,FALSE)</f>
        <v>44902</v>
      </c>
      <c r="O382">
        <f t="shared" si="29"/>
        <v>280</v>
      </c>
    </row>
    <row r="383" spans="1:15" x14ac:dyDescent="0.3">
      <c r="A383">
        <v>382</v>
      </c>
      <c r="B383">
        <v>451</v>
      </c>
      <c r="C383">
        <v>227</v>
      </c>
      <c r="D383">
        <v>3</v>
      </c>
      <c r="E383">
        <f t="shared" si="25"/>
        <v>681</v>
      </c>
      <c r="F383" s="30">
        <v>45098</v>
      </c>
      <c r="G383" t="s">
        <v>25</v>
      </c>
      <c r="H383">
        <v>304</v>
      </c>
      <c r="I383" t="str">
        <f>VLOOKUP(B383,товар!$A$1:$C$433,2,FALSE)</f>
        <v>Рис</v>
      </c>
      <c r="J383" s="23">
        <f t="shared" si="26"/>
        <v>258.375</v>
      </c>
      <c r="K383" s="24">
        <f t="shared" si="27"/>
        <v>-0.12143202709240442</v>
      </c>
      <c r="L383" t="str">
        <f>VLOOKUP(B383,товар!$A$1:$C$433,3,FALSE)</f>
        <v>Белый Злат</v>
      </c>
      <c r="M383">
        <f t="shared" si="28"/>
        <v>269.70588235294116</v>
      </c>
      <c r="N383" s="30">
        <f>VLOOKUP(H383,клиенты!$A$1:$G$435,5,FALSE)</f>
        <v>44886</v>
      </c>
      <c r="O383">
        <f t="shared" si="29"/>
        <v>212</v>
      </c>
    </row>
    <row r="384" spans="1:15" x14ac:dyDescent="0.3">
      <c r="A384">
        <v>383</v>
      </c>
      <c r="B384">
        <v>116</v>
      </c>
      <c r="C384">
        <v>426</v>
      </c>
      <c r="D384">
        <v>5</v>
      </c>
      <c r="E384">
        <f t="shared" si="25"/>
        <v>2130</v>
      </c>
      <c r="F384" s="30">
        <v>44993</v>
      </c>
      <c r="G384" t="s">
        <v>32</v>
      </c>
      <c r="H384">
        <v>285</v>
      </c>
      <c r="I384" t="str">
        <f>VLOOKUP(B384,товар!$A$1:$C$433,2,FALSE)</f>
        <v>Соль</v>
      </c>
      <c r="J384" s="23">
        <f t="shared" si="26"/>
        <v>264.8679245283019</v>
      </c>
      <c r="K384" s="24">
        <f t="shared" si="27"/>
        <v>0.60834876763071666</v>
      </c>
      <c r="L384" t="str">
        <f>VLOOKUP(B384,товар!$A$1:$C$433,3,FALSE)</f>
        <v>Экстра</v>
      </c>
      <c r="M384">
        <f t="shared" si="28"/>
        <v>320.84615384615387</v>
      </c>
      <c r="N384" s="30">
        <f>VLOOKUP(H384,клиенты!$A$1:$G$435,5,FALSE)</f>
        <v>44922</v>
      </c>
      <c r="O384">
        <f t="shared" si="29"/>
        <v>71</v>
      </c>
    </row>
    <row r="385" spans="1:15" x14ac:dyDescent="0.3">
      <c r="A385">
        <v>384</v>
      </c>
      <c r="B385">
        <v>480</v>
      </c>
      <c r="C385">
        <v>70</v>
      </c>
      <c r="D385">
        <v>1</v>
      </c>
      <c r="E385">
        <f t="shared" si="25"/>
        <v>70</v>
      </c>
      <c r="F385" s="30">
        <v>44945</v>
      </c>
      <c r="G385" t="s">
        <v>17</v>
      </c>
      <c r="H385">
        <v>464</v>
      </c>
      <c r="I385" t="str">
        <f>VLOOKUP(B385,товар!$A$1:$C$433,2,FALSE)</f>
        <v>Молоко</v>
      </c>
      <c r="J385" s="23">
        <f t="shared" si="26"/>
        <v>294.95238095238096</v>
      </c>
      <c r="K385" s="24">
        <f t="shared" si="27"/>
        <v>-0.76267355505327739</v>
      </c>
      <c r="L385" t="str">
        <f>VLOOKUP(B385,товар!$A$1:$C$433,3,FALSE)</f>
        <v>Беллакт</v>
      </c>
      <c r="M385">
        <f t="shared" si="28"/>
        <v>322.54545454545456</v>
      </c>
      <c r="N385" s="30">
        <f>VLOOKUP(H385,клиенты!$A$1:$G$435,5,FALSE)</f>
        <v>44827</v>
      </c>
      <c r="O385">
        <f t="shared" si="29"/>
        <v>118</v>
      </c>
    </row>
    <row r="386" spans="1:15" x14ac:dyDescent="0.3">
      <c r="A386">
        <v>385</v>
      </c>
      <c r="B386">
        <v>409</v>
      </c>
      <c r="C386">
        <v>386</v>
      </c>
      <c r="D386">
        <v>1</v>
      </c>
      <c r="E386">
        <f t="shared" ref="E386:E449" si="30">C386*D386</f>
        <v>386</v>
      </c>
      <c r="F386" s="30">
        <v>45192</v>
      </c>
      <c r="G386" t="s">
        <v>20</v>
      </c>
      <c r="H386">
        <v>461</v>
      </c>
      <c r="I386" t="str">
        <f>VLOOKUP(B386,товар!$A$1:$C$433,2,FALSE)</f>
        <v>Фрукты</v>
      </c>
      <c r="J386" s="23">
        <f t="shared" ref="J386:J449" si="31">AVERAGEIF($I$2:$I$1001,I386,$C$2:$C$1001)</f>
        <v>274.16279069767444</v>
      </c>
      <c r="K386" s="24">
        <f t="shared" ref="K386:K449" si="32">C386/J386-1</f>
        <v>0.4079226397489184</v>
      </c>
      <c r="L386" t="str">
        <f>VLOOKUP(B386,товар!$A$1:$C$433,3,FALSE)</f>
        <v>Фруктовый Рай</v>
      </c>
      <c r="M386">
        <f t="shared" ref="M386:M449" si="33">AVERAGEIFS($C$2:$C$1001,$I$2:$I$1001,I386,$L$2:$L$1001,L386)</f>
        <v>258.30769230769232</v>
      </c>
      <c r="N386" s="30">
        <f>VLOOKUP(H386,клиенты!$A$1:$G$435,5,FALSE)</f>
        <v>44667</v>
      </c>
      <c r="O386">
        <f t="shared" ref="O386:O449" si="34">F386-N386</f>
        <v>525</v>
      </c>
    </row>
    <row r="387" spans="1:15" x14ac:dyDescent="0.3">
      <c r="A387">
        <v>386</v>
      </c>
      <c r="B387">
        <v>129</v>
      </c>
      <c r="C387">
        <v>235</v>
      </c>
      <c r="D387">
        <v>2</v>
      </c>
      <c r="E387">
        <f t="shared" si="30"/>
        <v>470</v>
      </c>
      <c r="F387" s="30">
        <v>45207</v>
      </c>
      <c r="G387" t="s">
        <v>17</v>
      </c>
      <c r="H387">
        <v>149</v>
      </c>
      <c r="I387" t="str">
        <f>VLOOKUP(B387,товар!$A$1:$C$433,2,FALSE)</f>
        <v>Мясо</v>
      </c>
      <c r="J387" s="23">
        <f t="shared" si="31"/>
        <v>271.74545454545455</v>
      </c>
      <c r="K387" s="24">
        <f t="shared" si="32"/>
        <v>-0.13522012578616349</v>
      </c>
      <c r="L387" t="str">
        <f>VLOOKUP(B387,товар!$A$1:$C$433,3,FALSE)</f>
        <v>Агрокомплекс</v>
      </c>
      <c r="M387">
        <f t="shared" si="33"/>
        <v>311.2</v>
      </c>
      <c r="N387" s="30">
        <f>VLOOKUP(H387,клиенты!$A$1:$G$435,5,FALSE)</f>
        <v>44882</v>
      </c>
      <c r="O387">
        <f t="shared" si="34"/>
        <v>325</v>
      </c>
    </row>
    <row r="388" spans="1:15" x14ac:dyDescent="0.3">
      <c r="A388">
        <v>387</v>
      </c>
      <c r="B388">
        <v>283</v>
      </c>
      <c r="C388">
        <v>107</v>
      </c>
      <c r="D388">
        <v>3</v>
      </c>
      <c r="E388">
        <f t="shared" si="30"/>
        <v>321</v>
      </c>
      <c r="F388" s="30">
        <v>45413</v>
      </c>
      <c r="G388" t="s">
        <v>25</v>
      </c>
      <c r="H388">
        <v>222</v>
      </c>
      <c r="I388" t="str">
        <f>VLOOKUP(B388,товар!$A$1:$C$433,2,FALSE)</f>
        <v>Конфеты</v>
      </c>
      <c r="J388" s="23">
        <f t="shared" si="31"/>
        <v>267.85483870967744</v>
      </c>
      <c r="K388" s="24">
        <f t="shared" si="32"/>
        <v>-0.60052989703137238</v>
      </c>
      <c r="L388" t="str">
        <f>VLOOKUP(B388,товар!$A$1:$C$433,3,FALSE)</f>
        <v>Рот Фронт</v>
      </c>
      <c r="M388">
        <f t="shared" si="33"/>
        <v>288.23809523809524</v>
      </c>
      <c r="N388" s="30">
        <f>VLOOKUP(H388,клиенты!$A$1:$G$435,5,FALSE)</f>
        <v>44694</v>
      </c>
      <c r="O388">
        <f t="shared" si="34"/>
        <v>719</v>
      </c>
    </row>
    <row r="389" spans="1:15" x14ac:dyDescent="0.3">
      <c r="A389">
        <v>388</v>
      </c>
      <c r="B389">
        <v>36</v>
      </c>
      <c r="C389">
        <v>83</v>
      </c>
      <c r="D389">
        <v>4</v>
      </c>
      <c r="E389">
        <f t="shared" si="30"/>
        <v>332</v>
      </c>
      <c r="F389" s="30">
        <v>45265</v>
      </c>
      <c r="G389" t="s">
        <v>20</v>
      </c>
      <c r="H389">
        <v>333</v>
      </c>
      <c r="I389" t="str">
        <f>VLOOKUP(B389,товар!$A$1:$C$433,2,FALSE)</f>
        <v>Макароны</v>
      </c>
      <c r="J389" s="23">
        <f t="shared" si="31"/>
        <v>265.47674418604652</v>
      </c>
      <c r="K389" s="24">
        <f t="shared" si="32"/>
        <v>-0.6873549121808068</v>
      </c>
      <c r="L389" t="str">
        <f>VLOOKUP(B389,товар!$A$1:$C$433,3,FALSE)</f>
        <v>Роллтон</v>
      </c>
      <c r="M389">
        <f t="shared" si="33"/>
        <v>235.55555555555554</v>
      </c>
      <c r="N389" s="30">
        <f>VLOOKUP(H389,клиенты!$A$1:$G$435,5,FALSE)</f>
        <v>44857</v>
      </c>
      <c r="O389">
        <f t="shared" si="34"/>
        <v>408</v>
      </c>
    </row>
    <row r="390" spans="1:15" x14ac:dyDescent="0.3">
      <c r="A390">
        <v>389</v>
      </c>
      <c r="B390">
        <v>290</v>
      </c>
      <c r="C390">
        <v>50</v>
      </c>
      <c r="D390">
        <v>5</v>
      </c>
      <c r="E390">
        <f t="shared" si="30"/>
        <v>250</v>
      </c>
      <c r="F390" s="30">
        <v>45052</v>
      </c>
      <c r="G390" t="s">
        <v>24</v>
      </c>
      <c r="H390">
        <v>495</v>
      </c>
      <c r="I390" t="str">
        <f>VLOOKUP(B390,товар!$A$1:$C$433,2,FALSE)</f>
        <v>Сахар</v>
      </c>
      <c r="J390" s="23">
        <f t="shared" si="31"/>
        <v>252.76271186440678</v>
      </c>
      <c r="K390" s="24">
        <f t="shared" si="32"/>
        <v>-0.80218601220411723</v>
      </c>
      <c r="L390" t="str">
        <f>VLOOKUP(B390,товар!$A$1:$C$433,3,FALSE)</f>
        <v>Продимекс</v>
      </c>
      <c r="M390">
        <f t="shared" si="33"/>
        <v>240.5</v>
      </c>
      <c r="N390" s="30">
        <f>VLOOKUP(H390,клиенты!$A$1:$G$435,5,FALSE)</f>
        <v>44654</v>
      </c>
      <c r="O390">
        <f t="shared" si="34"/>
        <v>398</v>
      </c>
    </row>
    <row r="391" spans="1:15" x14ac:dyDescent="0.3">
      <c r="A391">
        <v>390</v>
      </c>
      <c r="B391">
        <v>229</v>
      </c>
      <c r="C391">
        <v>269</v>
      </c>
      <c r="D391">
        <v>5</v>
      </c>
      <c r="E391">
        <f t="shared" si="30"/>
        <v>1345</v>
      </c>
      <c r="F391" s="30">
        <v>45011</v>
      </c>
      <c r="G391" t="s">
        <v>21</v>
      </c>
      <c r="H391">
        <v>278</v>
      </c>
      <c r="I391" t="str">
        <f>VLOOKUP(B391,товар!$A$1:$C$433,2,FALSE)</f>
        <v>Мясо</v>
      </c>
      <c r="J391" s="23">
        <f t="shared" si="31"/>
        <v>271.74545454545455</v>
      </c>
      <c r="K391" s="24">
        <f t="shared" si="32"/>
        <v>-1.0103037602034015E-2</v>
      </c>
      <c r="L391" t="str">
        <f>VLOOKUP(B391,товар!$A$1:$C$433,3,FALSE)</f>
        <v>Сава</v>
      </c>
      <c r="M391">
        <f t="shared" si="33"/>
        <v>212.8125</v>
      </c>
      <c r="N391" s="30">
        <f>VLOOKUP(H391,клиенты!$A$1:$G$435,5,FALSE)</f>
        <v>44920</v>
      </c>
      <c r="O391">
        <f t="shared" si="34"/>
        <v>91</v>
      </c>
    </row>
    <row r="392" spans="1:15" x14ac:dyDescent="0.3">
      <c r="A392">
        <v>391</v>
      </c>
      <c r="B392">
        <v>313</v>
      </c>
      <c r="C392">
        <v>385</v>
      </c>
      <c r="D392">
        <v>4</v>
      </c>
      <c r="E392">
        <f t="shared" si="30"/>
        <v>1540</v>
      </c>
      <c r="F392" s="30">
        <v>44982</v>
      </c>
      <c r="G392" t="s">
        <v>25</v>
      </c>
      <c r="H392">
        <v>246</v>
      </c>
      <c r="I392" t="str">
        <f>VLOOKUP(B392,товар!$A$1:$C$433,2,FALSE)</f>
        <v>Конфеты</v>
      </c>
      <c r="J392" s="23">
        <f t="shared" si="31"/>
        <v>267.85483870967744</v>
      </c>
      <c r="K392" s="24">
        <f t="shared" si="32"/>
        <v>0.43734569759739861</v>
      </c>
      <c r="L392" t="str">
        <f>VLOOKUP(B392,товар!$A$1:$C$433,3,FALSE)</f>
        <v>Бабаевский</v>
      </c>
      <c r="M392">
        <f t="shared" si="33"/>
        <v>250.25925925925927</v>
      </c>
      <c r="N392" s="30">
        <f>VLOOKUP(H392,клиенты!$A$1:$G$435,5,FALSE)</f>
        <v>44805</v>
      </c>
      <c r="O392">
        <f t="shared" si="34"/>
        <v>177</v>
      </c>
    </row>
    <row r="393" spans="1:15" x14ac:dyDescent="0.3">
      <c r="A393">
        <v>392</v>
      </c>
      <c r="B393">
        <v>368</v>
      </c>
      <c r="C393">
        <v>64</v>
      </c>
      <c r="D393">
        <v>5</v>
      </c>
      <c r="E393">
        <f t="shared" si="30"/>
        <v>320</v>
      </c>
      <c r="F393" s="30">
        <v>45340</v>
      </c>
      <c r="G393" t="s">
        <v>19</v>
      </c>
      <c r="H393">
        <v>480</v>
      </c>
      <c r="I393" t="str">
        <f>VLOOKUP(B393,товар!$A$1:$C$433,2,FALSE)</f>
        <v>Сыр</v>
      </c>
      <c r="J393" s="23">
        <f t="shared" si="31"/>
        <v>262.63492063492066</v>
      </c>
      <c r="K393" s="24">
        <f t="shared" si="32"/>
        <v>-0.75631572585519158</v>
      </c>
      <c r="L393" t="str">
        <f>VLOOKUP(B393,товар!$A$1:$C$433,3,FALSE)</f>
        <v>Сырная долина</v>
      </c>
      <c r="M393">
        <f t="shared" si="33"/>
        <v>271</v>
      </c>
      <c r="N393" s="30">
        <f>VLOOKUP(H393,клиенты!$A$1:$G$435,5,FALSE)</f>
        <v>44568</v>
      </c>
      <c r="O393">
        <f t="shared" si="34"/>
        <v>772</v>
      </c>
    </row>
    <row r="394" spans="1:15" x14ac:dyDescent="0.3">
      <c r="A394">
        <v>393</v>
      </c>
      <c r="B394">
        <v>322</v>
      </c>
      <c r="C394">
        <v>223</v>
      </c>
      <c r="D394">
        <v>2</v>
      </c>
      <c r="E394">
        <f t="shared" si="30"/>
        <v>446</v>
      </c>
      <c r="F394" s="30">
        <v>45254</v>
      </c>
      <c r="G394" t="s">
        <v>22</v>
      </c>
      <c r="H394">
        <v>205</v>
      </c>
      <c r="I394" t="str">
        <f>VLOOKUP(B394,товар!$A$1:$C$433,2,FALSE)</f>
        <v>Крупа</v>
      </c>
      <c r="J394" s="23">
        <f t="shared" si="31"/>
        <v>255.11627906976744</v>
      </c>
      <c r="K394" s="24">
        <f t="shared" si="32"/>
        <v>-0.1258887876025524</v>
      </c>
      <c r="L394" t="str">
        <f>VLOOKUP(B394,товар!$A$1:$C$433,3,FALSE)</f>
        <v>Увелка</v>
      </c>
      <c r="M394">
        <f t="shared" si="33"/>
        <v>251.91666666666666</v>
      </c>
      <c r="N394" s="30">
        <f>VLOOKUP(H394,клиенты!$A$1:$G$435,5,FALSE)</f>
        <v>44918</v>
      </c>
      <c r="O394">
        <f t="shared" si="34"/>
        <v>336</v>
      </c>
    </row>
    <row r="395" spans="1:15" x14ac:dyDescent="0.3">
      <c r="A395">
        <v>394</v>
      </c>
      <c r="B395">
        <v>206</v>
      </c>
      <c r="C395">
        <v>226</v>
      </c>
      <c r="D395">
        <v>2</v>
      </c>
      <c r="E395">
        <f t="shared" si="30"/>
        <v>452</v>
      </c>
      <c r="F395" s="30">
        <v>45264</v>
      </c>
      <c r="G395" t="s">
        <v>22</v>
      </c>
      <c r="H395">
        <v>357</v>
      </c>
      <c r="I395" t="str">
        <f>VLOOKUP(B395,товар!$A$1:$C$433,2,FALSE)</f>
        <v>Молоко</v>
      </c>
      <c r="J395" s="23">
        <f t="shared" si="31"/>
        <v>294.95238095238096</v>
      </c>
      <c r="K395" s="24">
        <f t="shared" si="32"/>
        <v>-0.23377462060058118</v>
      </c>
      <c r="L395" t="str">
        <f>VLOOKUP(B395,товар!$A$1:$C$433,3,FALSE)</f>
        <v>Домик в деревне</v>
      </c>
      <c r="M395">
        <f t="shared" si="33"/>
        <v>274.77777777777777</v>
      </c>
      <c r="N395" s="30">
        <f>VLOOKUP(H395,клиенты!$A$1:$G$435,5,FALSE)</f>
        <v>44913</v>
      </c>
      <c r="O395">
        <f t="shared" si="34"/>
        <v>351</v>
      </c>
    </row>
    <row r="396" spans="1:15" x14ac:dyDescent="0.3">
      <c r="A396">
        <v>395</v>
      </c>
      <c r="B396">
        <v>18</v>
      </c>
      <c r="C396">
        <v>459</v>
      </c>
      <c r="D396">
        <v>3</v>
      </c>
      <c r="E396">
        <f t="shared" si="30"/>
        <v>1377</v>
      </c>
      <c r="F396" s="30">
        <v>45342</v>
      </c>
      <c r="G396" t="s">
        <v>23</v>
      </c>
      <c r="H396">
        <v>152</v>
      </c>
      <c r="I396" t="str">
        <f>VLOOKUP(B396,товар!$A$1:$C$433,2,FALSE)</f>
        <v>Рыба</v>
      </c>
      <c r="J396" s="23">
        <f t="shared" si="31"/>
        <v>258.5128205128205</v>
      </c>
      <c r="K396" s="24">
        <f t="shared" si="32"/>
        <v>0.77554056734774868</v>
      </c>
      <c r="L396" t="str">
        <f>VLOOKUP(B396,товар!$A$1:$C$433,3,FALSE)</f>
        <v>Меридиан</v>
      </c>
      <c r="M396">
        <f t="shared" si="33"/>
        <v>260.64705882352939</v>
      </c>
      <c r="N396" s="30">
        <f>VLOOKUP(H396,клиенты!$A$1:$G$435,5,FALSE)</f>
        <v>44791</v>
      </c>
      <c r="O396">
        <f t="shared" si="34"/>
        <v>551</v>
      </c>
    </row>
    <row r="397" spans="1:15" x14ac:dyDescent="0.3">
      <c r="A397">
        <v>396</v>
      </c>
      <c r="B397">
        <v>145</v>
      </c>
      <c r="C397">
        <v>455</v>
      </c>
      <c r="D397">
        <v>3</v>
      </c>
      <c r="E397">
        <f t="shared" si="30"/>
        <v>1365</v>
      </c>
      <c r="F397" s="30">
        <v>45373</v>
      </c>
      <c r="G397" t="s">
        <v>29</v>
      </c>
      <c r="H397">
        <v>323</v>
      </c>
      <c r="I397" t="str">
        <f>VLOOKUP(B397,товар!$A$1:$C$433,2,FALSE)</f>
        <v>Овощи</v>
      </c>
      <c r="J397" s="23">
        <f t="shared" si="31"/>
        <v>250.48780487804879</v>
      </c>
      <c r="K397" s="24">
        <f t="shared" si="32"/>
        <v>0.81645569620253156</v>
      </c>
      <c r="L397" t="str">
        <f>VLOOKUP(B397,товар!$A$1:$C$433,3,FALSE)</f>
        <v>Семко</v>
      </c>
      <c r="M397">
        <f t="shared" si="33"/>
        <v>208</v>
      </c>
      <c r="N397" s="30">
        <f>VLOOKUP(H397,клиенты!$A$1:$G$435,5,FALSE)</f>
        <v>44821</v>
      </c>
      <c r="O397">
        <f t="shared" si="34"/>
        <v>552</v>
      </c>
    </row>
    <row r="398" spans="1:15" x14ac:dyDescent="0.3">
      <c r="A398">
        <v>397</v>
      </c>
      <c r="B398">
        <v>491</v>
      </c>
      <c r="C398">
        <v>193</v>
      </c>
      <c r="D398">
        <v>1</v>
      </c>
      <c r="E398">
        <f t="shared" si="30"/>
        <v>193</v>
      </c>
      <c r="F398" s="30">
        <v>45332</v>
      </c>
      <c r="G398" t="s">
        <v>21</v>
      </c>
      <c r="H398">
        <v>185</v>
      </c>
      <c r="I398" t="str">
        <f>VLOOKUP(B398,товар!$A$1:$C$433,2,FALSE)</f>
        <v>Овощи</v>
      </c>
      <c r="J398" s="23">
        <f t="shared" si="31"/>
        <v>250.48780487804879</v>
      </c>
      <c r="K398" s="24">
        <f t="shared" si="32"/>
        <v>-0.2295034079844207</v>
      </c>
      <c r="L398" t="str">
        <f>VLOOKUP(B398,товар!$A$1:$C$433,3,FALSE)</f>
        <v>Зеленая грядка</v>
      </c>
      <c r="M398">
        <f t="shared" si="33"/>
        <v>159.19999999999999</v>
      </c>
      <c r="N398" s="30">
        <f>VLOOKUP(H398,клиенты!$A$1:$G$435,5,FALSE)</f>
        <v>44683</v>
      </c>
      <c r="O398">
        <f t="shared" si="34"/>
        <v>649</v>
      </c>
    </row>
    <row r="399" spans="1:15" x14ac:dyDescent="0.3">
      <c r="A399">
        <v>398</v>
      </c>
      <c r="B399">
        <v>258</v>
      </c>
      <c r="C399">
        <v>113</v>
      </c>
      <c r="D399">
        <v>1</v>
      </c>
      <c r="E399">
        <f t="shared" si="30"/>
        <v>113</v>
      </c>
      <c r="F399" s="30">
        <v>45289</v>
      </c>
      <c r="G399" t="s">
        <v>31</v>
      </c>
      <c r="H399">
        <v>314</v>
      </c>
      <c r="I399" t="str">
        <f>VLOOKUP(B399,товар!$A$1:$C$433,2,FALSE)</f>
        <v>Рыба</v>
      </c>
      <c r="J399" s="23">
        <f t="shared" si="31"/>
        <v>258.5128205128205</v>
      </c>
      <c r="K399" s="24">
        <f t="shared" si="32"/>
        <v>-0.56288434834358259</v>
      </c>
      <c r="L399" t="str">
        <f>VLOOKUP(B399,товар!$A$1:$C$433,3,FALSE)</f>
        <v>Санта Бремор</v>
      </c>
      <c r="M399">
        <f t="shared" si="33"/>
        <v>216.4</v>
      </c>
      <c r="N399" s="30">
        <f>VLOOKUP(H399,клиенты!$A$1:$G$435,5,FALSE)</f>
        <v>44899</v>
      </c>
      <c r="O399">
        <f t="shared" si="34"/>
        <v>390</v>
      </c>
    </row>
    <row r="400" spans="1:15" x14ac:dyDescent="0.3">
      <c r="A400">
        <v>399</v>
      </c>
      <c r="B400">
        <v>29</v>
      </c>
      <c r="C400">
        <v>91</v>
      </c>
      <c r="D400">
        <v>5</v>
      </c>
      <c r="E400">
        <f t="shared" si="30"/>
        <v>455</v>
      </c>
      <c r="F400" s="30">
        <v>45375</v>
      </c>
      <c r="G400" t="s">
        <v>15</v>
      </c>
      <c r="H400">
        <v>476</v>
      </c>
      <c r="I400" t="str">
        <f>VLOOKUP(B400,товар!$A$1:$C$433,2,FALSE)</f>
        <v>Соль</v>
      </c>
      <c r="J400" s="23">
        <f t="shared" si="31"/>
        <v>264.8679245283019</v>
      </c>
      <c r="K400" s="24">
        <f t="shared" si="32"/>
        <v>-0.65643254024789854</v>
      </c>
      <c r="L400" t="str">
        <f>VLOOKUP(B400,товар!$A$1:$C$433,3,FALSE)</f>
        <v>Илецкая</v>
      </c>
      <c r="M400">
        <f t="shared" si="33"/>
        <v>238.16666666666666</v>
      </c>
      <c r="N400" s="30">
        <f>VLOOKUP(H400,клиенты!$A$1:$G$435,5,FALSE)</f>
        <v>44703</v>
      </c>
      <c r="O400">
        <f t="shared" si="34"/>
        <v>672</v>
      </c>
    </row>
    <row r="401" spans="1:15" x14ac:dyDescent="0.3">
      <c r="A401">
        <v>400</v>
      </c>
      <c r="B401">
        <v>321</v>
      </c>
      <c r="C401">
        <v>61</v>
      </c>
      <c r="D401">
        <v>5</v>
      </c>
      <c r="E401">
        <f t="shared" si="30"/>
        <v>305</v>
      </c>
      <c r="F401" s="30">
        <v>45104</v>
      </c>
      <c r="G401" t="s">
        <v>27</v>
      </c>
      <c r="H401">
        <v>375</v>
      </c>
      <c r="I401" t="str">
        <f>VLOOKUP(B401,товар!$A$1:$C$433,2,FALSE)</f>
        <v>Мясо</v>
      </c>
      <c r="J401" s="23">
        <f t="shared" si="31"/>
        <v>271.74545454545455</v>
      </c>
      <c r="K401" s="24">
        <f t="shared" si="32"/>
        <v>-0.77552522414023817</v>
      </c>
      <c r="L401" t="str">
        <f>VLOOKUP(B401,товар!$A$1:$C$433,3,FALSE)</f>
        <v>Сава</v>
      </c>
      <c r="M401">
        <f t="shared" si="33"/>
        <v>212.8125</v>
      </c>
      <c r="N401" s="30">
        <f>VLOOKUP(H401,клиенты!$A$1:$G$435,5,FALSE)</f>
        <v>44674</v>
      </c>
      <c r="O401">
        <f t="shared" si="34"/>
        <v>430</v>
      </c>
    </row>
    <row r="402" spans="1:15" x14ac:dyDescent="0.3">
      <c r="A402">
        <v>401</v>
      </c>
      <c r="B402">
        <v>50</v>
      </c>
      <c r="C402">
        <v>95</v>
      </c>
      <c r="D402">
        <v>4</v>
      </c>
      <c r="E402">
        <f t="shared" si="30"/>
        <v>380</v>
      </c>
      <c r="F402" s="30">
        <v>45069</v>
      </c>
      <c r="G402" t="s">
        <v>27</v>
      </c>
      <c r="H402">
        <v>376</v>
      </c>
      <c r="I402" t="str">
        <f>VLOOKUP(B402,товар!$A$1:$C$433,2,FALSE)</f>
        <v>Сок</v>
      </c>
      <c r="J402" s="23">
        <f t="shared" si="31"/>
        <v>268.60344827586209</v>
      </c>
      <c r="K402" s="24">
        <f t="shared" si="32"/>
        <v>-0.64631876243661335</v>
      </c>
      <c r="L402" t="str">
        <f>VLOOKUP(B402,товар!$A$1:$C$433,3,FALSE)</f>
        <v>Добрый</v>
      </c>
      <c r="M402">
        <f t="shared" si="33"/>
        <v>242.81818181818181</v>
      </c>
      <c r="N402" s="30">
        <f>VLOOKUP(H402,клиенты!$A$1:$G$435,5,FALSE)</f>
        <v>44730</v>
      </c>
      <c r="O402">
        <f t="shared" si="34"/>
        <v>339</v>
      </c>
    </row>
    <row r="403" spans="1:15" x14ac:dyDescent="0.3">
      <c r="A403">
        <v>402</v>
      </c>
      <c r="B403">
        <v>495</v>
      </c>
      <c r="C403">
        <v>469</v>
      </c>
      <c r="D403">
        <v>2</v>
      </c>
      <c r="E403">
        <f t="shared" si="30"/>
        <v>938</v>
      </c>
      <c r="F403" s="30">
        <v>45368</v>
      </c>
      <c r="G403" t="s">
        <v>31</v>
      </c>
      <c r="H403">
        <v>233</v>
      </c>
      <c r="I403" t="str">
        <f>VLOOKUP(B403,товар!$A$1:$C$433,2,FALSE)</f>
        <v>Чай</v>
      </c>
      <c r="J403" s="23">
        <f t="shared" si="31"/>
        <v>271.18181818181819</v>
      </c>
      <c r="K403" s="24">
        <f t="shared" si="32"/>
        <v>0.72946697955078776</v>
      </c>
      <c r="L403" t="str">
        <f>VLOOKUP(B403,товар!$A$1:$C$433,3,FALSE)</f>
        <v>Greenfield</v>
      </c>
      <c r="M403">
        <f t="shared" si="33"/>
        <v>291.45454545454544</v>
      </c>
      <c r="N403" s="30">
        <f>VLOOKUP(H403,клиенты!$A$1:$G$435,5,FALSE)</f>
        <v>44616</v>
      </c>
      <c r="O403">
        <f t="shared" si="34"/>
        <v>752</v>
      </c>
    </row>
    <row r="404" spans="1:15" x14ac:dyDescent="0.3">
      <c r="A404">
        <v>403</v>
      </c>
      <c r="B404">
        <v>207</v>
      </c>
      <c r="C404">
        <v>237</v>
      </c>
      <c r="D404">
        <v>2</v>
      </c>
      <c r="E404">
        <f t="shared" si="30"/>
        <v>474</v>
      </c>
      <c r="F404" s="30">
        <v>45081</v>
      </c>
      <c r="G404" t="s">
        <v>18</v>
      </c>
      <c r="H404">
        <v>69</v>
      </c>
      <c r="I404" t="str">
        <f>VLOOKUP(B404,товар!$A$1:$C$433,2,FALSE)</f>
        <v>Сахар</v>
      </c>
      <c r="J404" s="23">
        <f t="shared" si="31"/>
        <v>252.76271186440678</v>
      </c>
      <c r="K404" s="24">
        <f t="shared" si="32"/>
        <v>-6.2361697847515551E-2</v>
      </c>
      <c r="L404" t="str">
        <f>VLOOKUP(B404,товар!$A$1:$C$433,3,FALSE)</f>
        <v>Агросахар</v>
      </c>
      <c r="M404">
        <f t="shared" si="33"/>
        <v>215.85714285714286</v>
      </c>
      <c r="N404" s="30">
        <f>VLOOKUP(H404,клиенты!$A$1:$G$435,5,FALSE)</f>
        <v>44587</v>
      </c>
      <c r="O404">
        <f t="shared" si="34"/>
        <v>494</v>
      </c>
    </row>
    <row r="405" spans="1:15" x14ac:dyDescent="0.3">
      <c r="A405">
        <v>404</v>
      </c>
      <c r="B405">
        <v>145</v>
      </c>
      <c r="C405">
        <v>356</v>
      </c>
      <c r="D405">
        <v>3</v>
      </c>
      <c r="E405">
        <f t="shared" si="30"/>
        <v>1068</v>
      </c>
      <c r="F405" s="30">
        <v>44928</v>
      </c>
      <c r="G405" t="s">
        <v>15</v>
      </c>
      <c r="H405">
        <v>254</v>
      </c>
      <c r="I405" t="str">
        <f>VLOOKUP(B405,товар!$A$1:$C$433,2,FALSE)</f>
        <v>Овощи</v>
      </c>
      <c r="J405" s="23">
        <f t="shared" si="31"/>
        <v>250.48780487804879</v>
      </c>
      <c r="K405" s="24">
        <f t="shared" si="32"/>
        <v>0.42122687439143136</v>
      </c>
      <c r="L405" t="str">
        <f>VLOOKUP(B405,товар!$A$1:$C$433,3,FALSE)</f>
        <v>Семко</v>
      </c>
      <c r="M405">
        <f t="shared" si="33"/>
        <v>208</v>
      </c>
      <c r="N405" s="30">
        <f>VLOOKUP(H405,клиенты!$A$1:$G$435,5,FALSE)</f>
        <v>44862</v>
      </c>
      <c r="O405">
        <f t="shared" si="34"/>
        <v>66</v>
      </c>
    </row>
    <row r="406" spans="1:15" x14ac:dyDescent="0.3">
      <c r="A406">
        <v>405</v>
      </c>
      <c r="B406">
        <v>249</v>
      </c>
      <c r="C406">
        <v>275</v>
      </c>
      <c r="D406">
        <v>3</v>
      </c>
      <c r="E406">
        <f t="shared" si="30"/>
        <v>825</v>
      </c>
      <c r="F406" s="30">
        <v>45039</v>
      </c>
      <c r="G406" t="s">
        <v>30</v>
      </c>
      <c r="H406">
        <v>219</v>
      </c>
      <c r="I406" t="str">
        <f>VLOOKUP(B406,товар!$A$1:$C$433,2,FALSE)</f>
        <v>Чай</v>
      </c>
      <c r="J406" s="23">
        <f t="shared" si="31"/>
        <v>271.18181818181819</v>
      </c>
      <c r="K406" s="24">
        <f t="shared" si="32"/>
        <v>1.4079785450888282E-2</v>
      </c>
      <c r="L406" t="str">
        <f>VLOOKUP(B406,товар!$A$1:$C$433,3,FALSE)</f>
        <v>Lipton</v>
      </c>
      <c r="M406">
        <f t="shared" si="33"/>
        <v>260.15789473684208</v>
      </c>
      <c r="N406" s="30">
        <f>VLOOKUP(H406,клиенты!$A$1:$G$435,5,FALSE)</f>
        <v>44585</v>
      </c>
      <c r="O406">
        <f t="shared" si="34"/>
        <v>454</v>
      </c>
    </row>
    <row r="407" spans="1:15" x14ac:dyDescent="0.3">
      <c r="A407">
        <v>406</v>
      </c>
      <c r="B407">
        <v>377</v>
      </c>
      <c r="C407">
        <v>129</v>
      </c>
      <c r="D407">
        <v>1</v>
      </c>
      <c r="E407">
        <f t="shared" si="30"/>
        <v>129</v>
      </c>
      <c r="F407" s="30">
        <v>45231</v>
      </c>
      <c r="G407" t="s">
        <v>19</v>
      </c>
      <c r="H407">
        <v>456</v>
      </c>
      <c r="I407" t="str">
        <f>VLOOKUP(B407,товар!$A$1:$C$433,2,FALSE)</f>
        <v>Колбаса</v>
      </c>
      <c r="J407" s="23">
        <f t="shared" si="31"/>
        <v>286.92307692307691</v>
      </c>
      <c r="K407" s="24">
        <f t="shared" si="32"/>
        <v>-0.55040214477211791</v>
      </c>
      <c r="L407" t="str">
        <f>VLOOKUP(B407,товар!$A$1:$C$433,3,FALSE)</f>
        <v>Окраина</v>
      </c>
      <c r="M407">
        <f t="shared" si="33"/>
        <v>273.58333333333331</v>
      </c>
      <c r="N407" s="30">
        <f>VLOOKUP(H407,клиенты!$A$1:$G$435,5,FALSE)</f>
        <v>44618</v>
      </c>
      <c r="O407">
        <f t="shared" si="34"/>
        <v>613</v>
      </c>
    </row>
    <row r="408" spans="1:15" x14ac:dyDescent="0.3">
      <c r="A408">
        <v>407</v>
      </c>
      <c r="B408">
        <v>427</v>
      </c>
      <c r="C408">
        <v>499</v>
      </c>
      <c r="D408">
        <v>4</v>
      </c>
      <c r="E408">
        <f t="shared" si="30"/>
        <v>1996</v>
      </c>
      <c r="F408" s="30">
        <v>45368</v>
      </c>
      <c r="G408" t="s">
        <v>30</v>
      </c>
      <c r="H408">
        <v>283</v>
      </c>
      <c r="I408" t="str">
        <f>VLOOKUP(B408,товар!$A$1:$C$433,2,FALSE)</f>
        <v>Хлеб</v>
      </c>
      <c r="J408" s="23">
        <f t="shared" si="31"/>
        <v>300.31818181818181</v>
      </c>
      <c r="K408" s="24">
        <f t="shared" si="32"/>
        <v>0.66157106099591356</v>
      </c>
      <c r="L408" t="str">
        <f>VLOOKUP(B408,товар!$A$1:$C$433,3,FALSE)</f>
        <v>Русский Хлеб</v>
      </c>
      <c r="M408">
        <f t="shared" si="33"/>
        <v>316.60000000000002</v>
      </c>
      <c r="N408" s="30">
        <f>VLOOKUP(H408,клиенты!$A$1:$G$435,5,FALSE)</f>
        <v>44889</v>
      </c>
      <c r="O408">
        <f t="shared" si="34"/>
        <v>479</v>
      </c>
    </row>
    <row r="409" spans="1:15" x14ac:dyDescent="0.3">
      <c r="A409">
        <v>408</v>
      </c>
      <c r="B409">
        <v>445</v>
      </c>
      <c r="C409">
        <v>164</v>
      </c>
      <c r="D409">
        <v>2</v>
      </c>
      <c r="E409">
        <f t="shared" si="30"/>
        <v>328</v>
      </c>
      <c r="F409" s="30">
        <v>45258</v>
      </c>
      <c r="G409" t="s">
        <v>22</v>
      </c>
      <c r="H409">
        <v>232</v>
      </c>
      <c r="I409" t="str">
        <f>VLOOKUP(B409,товар!$A$1:$C$433,2,FALSE)</f>
        <v>Сахар</v>
      </c>
      <c r="J409" s="23">
        <f t="shared" si="31"/>
        <v>252.76271186440678</v>
      </c>
      <c r="K409" s="24">
        <f t="shared" si="32"/>
        <v>-0.35117012002950443</v>
      </c>
      <c r="L409" t="str">
        <f>VLOOKUP(B409,товар!$A$1:$C$433,3,FALSE)</f>
        <v>Сладов</v>
      </c>
      <c r="M409">
        <f t="shared" si="33"/>
        <v>240.26666666666668</v>
      </c>
      <c r="N409" s="30">
        <f>VLOOKUP(H409,клиенты!$A$1:$G$435,5,FALSE)</f>
        <v>44923</v>
      </c>
      <c r="O409">
        <f t="shared" si="34"/>
        <v>335</v>
      </c>
    </row>
    <row r="410" spans="1:15" x14ac:dyDescent="0.3">
      <c r="A410">
        <v>409</v>
      </c>
      <c r="B410">
        <v>336</v>
      </c>
      <c r="C410">
        <v>265</v>
      </c>
      <c r="D410">
        <v>3</v>
      </c>
      <c r="E410">
        <f t="shared" si="30"/>
        <v>795</v>
      </c>
      <c r="F410" s="30">
        <v>45124</v>
      </c>
      <c r="G410" t="s">
        <v>16</v>
      </c>
      <c r="H410">
        <v>434</v>
      </c>
      <c r="I410" t="str">
        <f>VLOOKUP(B410,товар!$A$1:$C$433,2,FALSE)</f>
        <v>Чипсы</v>
      </c>
      <c r="J410" s="23">
        <f t="shared" si="31"/>
        <v>273.72549019607845</v>
      </c>
      <c r="K410" s="24">
        <f t="shared" si="32"/>
        <v>-3.1876790830945634E-2</v>
      </c>
      <c r="L410" t="str">
        <f>VLOOKUP(B410,товар!$A$1:$C$433,3,FALSE)</f>
        <v>Estrella</v>
      </c>
      <c r="M410">
        <f t="shared" si="33"/>
        <v>266.27272727272725</v>
      </c>
      <c r="N410" s="30">
        <f>VLOOKUP(H410,клиенты!$A$1:$G$435,5,FALSE)</f>
        <v>44730</v>
      </c>
      <c r="O410">
        <f t="shared" si="34"/>
        <v>394</v>
      </c>
    </row>
    <row r="411" spans="1:15" x14ac:dyDescent="0.3">
      <c r="A411">
        <v>410</v>
      </c>
      <c r="B411">
        <v>96</v>
      </c>
      <c r="C411">
        <v>386</v>
      </c>
      <c r="D411">
        <v>4</v>
      </c>
      <c r="E411">
        <f t="shared" si="30"/>
        <v>1544</v>
      </c>
      <c r="F411" s="30">
        <v>45145</v>
      </c>
      <c r="G411" t="s">
        <v>24</v>
      </c>
      <c r="H411">
        <v>252</v>
      </c>
      <c r="I411" t="str">
        <f>VLOOKUP(B411,товар!$A$1:$C$433,2,FALSE)</f>
        <v>Соль</v>
      </c>
      <c r="J411" s="23">
        <f t="shared" si="31"/>
        <v>264.8679245283019</v>
      </c>
      <c r="K411" s="24">
        <f t="shared" si="32"/>
        <v>0.45733010400341922</v>
      </c>
      <c r="L411" t="str">
        <f>VLOOKUP(B411,товар!$A$1:$C$433,3,FALSE)</f>
        <v>Салта</v>
      </c>
      <c r="M411">
        <f t="shared" si="33"/>
        <v>273.7</v>
      </c>
      <c r="N411" s="30">
        <f>VLOOKUP(H411,клиенты!$A$1:$G$435,5,FALSE)</f>
        <v>44643</v>
      </c>
      <c r="O411">
        <f t="shared" si="34"/>
        <v>502</v>
      </c>
    </row>
    <row r="412" spans="1:15" x14ac:dyDescent="0.3">
      <c r="A412">
        <v>411</v>
      </c>
      <c r="B412">
        <v>117</v>
      </c>
      <c r="C412">
        <v>288</v>
      </c>
      <c r="D412">
        <v>5</v>
      </c>
      <c r="E412">
        <f t="shared" si="30"/>
        <v>1440</v>
      </c>
      <c r="F412" s="30">
        <v>45348</v>
      </c>
      <c r="G412" t="s">
        <v>26</v>
      </c>
      <c r="H412">
        <v>372</v>
      </c>
      <c r="I412" t="str">
        <f>VLOOKUP(B412,товар!$A$1:$C$433,2,FALSE)</f>
        <v>Макароны</v>
      </c>
      <c r="J412" s="23">
        <f t="shared" si="31"/>
        <v>265.47674418604652</v>
      </c>
      <c r="K412" s="24">
        <f t="shared" si="32"/>
        <v>8.4840786649730715E-2</v>
      </c>
      <c r="L412" t="str">
        <f>VLOOKUP(B412,товар!$A$1:$C$433,3,FALSE)</f>
        <v>Роллтон</v>
      </c>
      <c r="M412">
        <f t="shared" si="33"/>
        <v>235.55555555555554</v>
      </c>
      <c r="N412" s="30">
        <f>VLOOKUP(H412,клиенты!$A$1:$G$435,5,FALSE)</f>
        <v>44772</v>
      </c>
      <c r="O412">
        <f t="shared" si="34"/>
        <v>576</v>
      </c>
    </row>
    <row r="413" spans="1:15" x14ac:dyDescent="0.3">
      <c r="A413">
        <v>412</v>
      </c>
      <c r="B413">
        <v>440</v>
      </c>
      <c r="C413">
        <v>201</v>
      </c>
      <c r="D413">
        <v>5</v>
      </c>
      <c r="E413">
        <f t="shared" si="30"/>
        <v>1005</v>
      </c>
      <c r="F413" s="30">
        <v>45233</v>
      </c>
      <c r="G413" t="s">
        <v>29</v>
      </c>
      <c r="H413">
        <v>432</v>
      </c>
      <c r="I413" t="str">
        <f>VLOOKUP(B413,товар!$A$1:$C$433,2,FALSE)</f>
        <v>Фрукты</v>
      </c>
      <c r="J413" s="23">
        <f t="shared" si="31"/>
        <v>274.16279069767444</v>
      </c>
      <c r="K413" s="24">
        <f t="shared" si="32"/>
        <v>-0.26685893629654767</v>
      </c>
      <c r="L413" t="str">
        <f>VLOOKUP(B413,товар!$A$1:$C$433,3,FALSE)</f>
        <v>Фруктовый Рай</v>
      </c>
      <c r="M413">
        <f t="shared" si="33"/>
        <v>258.30769230769232</v>
      </c>
      <c r="N413" s="30">
        <f>VLOOKUP(H413,клиенты!$A$1:$G$435,5,FALSE)</f>
        <v>44718</v>
      </c>
      <c r="O413">
        <f t="shared" si="34"/>
        <v>515</v>
      </c>
    </row>
    <row r="414" spans="1:15" x14ac:dyDescent="0.3">
      <c r="A414">
        <v>413</v>
      </c>
      <c r="B414">
        <v>51</v>
      </c>
      <c r="C414">
        <v>271</v>
      </c>
      <c r="D414">
        <v>4</v>
      </c>
      <c r="E414">
        <f t="shared" si="30"/>
        <v>1084</v>
      </c>
      <c r="F414" s="30">
        <v>45205</v>
      </c>
      <c r="G414" t="s">
        <v>22</v>
      </c>
      <c r="H414">
        <v>221</v>
      </c>
      <c r="I414" t="str">
        <f>VLOOKUP(B414,товар!$A$1:$C$433,2,FALSE)</f>
        <v>Колбаса</v>
      </c>
      <c r="J414" s="23">
        <f t="shared" si="31"/>
        <v>286.92307692307691</v>
      </c>
      <c r="K414" s="24">
        <f t="shared" si="32"/>
        <v>-5.5495978552278724E-2</v>
      </c>
      <c r="L414" t="str">
        <f>VLOOKUP(B414,товар!$A$1:$C$433,3,FALSE)</f>
        <v>Дымов</v>
      </c>
      <c r="M414">
        <f t="shared" si="33"/>
        <v>312.66666666666669</v>
      </c>
      <c r="N414" s="30">
        <f>VLOOKUP(H414,клиенты!$A$1:$G$435,5,FALSE)</f>
        <v>44820</v>
      </c>
      <c r="O414">
        <f t="shared" si="34"/>
        <v>385</v>
      </c>
    </row>
    <row r="415" spans="1:15" x14ac:dyDescent="0.3">
      <c r="A415">
        <v>414</v>
      </c>
      <c r="B415">
        <v>398</v>
      </c>
      <c r="C415">
        <v>419</v>
      </c>
      <c r="D415">
        <v>2</v>
      </c>
      <c r="E415">
        <f t="shared" si="30"/>
        <v>838</v>
      </c>
      <c r="F415" s="30">
        <v>45335</v>
      </c>
      <c r="G415" t="s">
        <v>31</v>
      </c>
      <c r="H415">
        <v>164</v>
      </c>
      <c r="I415" t="str">
        <f>VLOOKUP(B415,товар!$A$1:$C$433,2,FALSE)</f>
        <v>Сок</v>
      </c>
      <c r="J415" s="23">
        <f t="shared" si="31"/>
        <v>268.60344827586209</v>
      </c>
      <c r="K415" s="24">
        <f t="shared" si="32"/>
        <v>0.55992040567430501</v>
      </c>
      <c r="L415" t="str">
        <f>VLOOKUP(B415,товар!$A$1:$C$433,3,FALSE)</f>
        <v>Фруктовый сад</v>
      </c>
      <c r="M415">
        <f t="shared" si="33"/>
        <v>281.96875</v>
      </c>
      <c r="N415" s="30">
        <f>VLOOKUP(H415,клиенты!$A$1:$G$435,5,FALSE)</f>
        <v>44678</v>
      </c>
      <c r="O415">
        <f t="shared" si="34"/>
        <v>657</v>
      </c>
    </row>
    <row r="416" spans="1:15" x14ac:dyDescent="0.3">
      <c r="A416">
        <v>415</v>
      </c>
      <c r="B416">
        <v>443</v>
      </c>
      <c r="C416">
        <v>192</v>
      </c>
      <c r="D416">
        <v>5</v>
      </c>
      <c r="E416">
        <f t="shared" si="30"/>
        <v>960</v>
      </c>
      <c r="F416" s="30">
        <v>45241</v>
      </c>
      <c r="G416" t="s">
        <v>29</v>
      </c>
      <c r="H416">
        <v>413</v>
      </c>
      <c r="I416" t="str">
        <f>VLOOKUP(B416,товар!$A$1:$C$433,2,FALSE)</f>
        <v>Кофе</v>
      </c>
      <c r="J416" s="23">
        <f t="shared" si="31"/>
        <v>249.02380952380952</v>
      </c>
      <c r="K416" s="24">
        <f t="shared" si="32"/>
        <v>-0.22898938713070083</v>
      </c>
      <c r="L416" t="str">
        <f>VLOOKUP(B416,товар!$A$1:$C$433,3,FALSE)</f>
        <v>Jacobs</v>
      </c>
      <c r="M416">
        <f t="shared" si="33"/>
        <v>276.21052631578948</v>
      </c>
      <c r="N416" s="30">
        <f>VLOOKUP(H416,клиенты!$A$1:$G$435,5,FALSE)</f>
        <v>44699</v>
      </c>
      <c r="O416">
        <f t="shared" si="34"/>
        <v>542</v>
      </c>
    </row>
    <row r="417" spans="1:15" x14ac:dyDescent="0.3">
      <c r="A417">
        <v>416</v>
      </c>
      <c r="B417">
        <v>118</v>
      </c>
      <c r="C417">
        <v>193</v>
      </c>
      <c r="D417">
        <v>2</v>
      </c>
      <c r="E417">
        <f t="shared" si="30"/>
        <v>386</v>
      </c>
      <c r="F417" s="30">
        <v>45356</v>
      </c>
      <c r="G417" t="s">
        <v>18</v>
      </c>
      <c r="H417">
        <v>148</v>
      </c>
      <c r="I417" t="str">
        <f>VLOOKUP(B417,товар!$A$1:$C$433,2,FALSE)</f>
        <v>Сахар</v>
      </c>
      <c r="J417" s="23">
        <f t="shared" si="31"/>
        <v>252.76271186440678</v>
      </c>
      <c r="K417" s="24">
        <f t="shared" si="32"/>
        <v>-0.23643800710789242</v>
      </c>
      <c r="L417" t="str">
        <f>VLOOKUP(B417,товар!$A$1:$C$433,3,FALSE)</f>
        <v>Продимекс</v>
      </c>
      <c r="M417">
        <f t="shared" si="33"/>
        <v>240.5</v>
      </c>
      <c r="N417" s="30">
        <f>VLOOKUP(H417,клиенты!$A$1:$G$435,5,FALSE)</f>
        <v>44700</v>
      </c>
      <c r="O417">
        <f t="shared" si="34"/>
        <v>656</v>
      </c>
    </row>
    <row r="418" spans="1:15" x14ac:dyDescent="0.3">
      <c r="A418">
        <v>417</v>
      </c>
      <c r="B418">
        <v>371</v>
      </c>
      <c r="C418">
        <v>245</v>
      </c>
      <c r="D418">
        <v>1</v>
      </c>
      <c r="E418">
        <f t="shared" si="30"/>
        <v>245</v>
      </c>
      <c r="F418" s="30">
        <v>44985</v>
      </c>
      <c r="G418" t="s">
        <v>34</v>
      </c>
      <c r="H418">
        <v>209</v>
      </c>
      <c r="I418" t="str">
        <f>VLOOKUP(B418,товар!$A$1:$C$433,2,FALSE)</f>
        <v>Сахар</v>
      </c>
      <c r="J418" s="23">
        <f t="shared" si="31"/>
        <v>252.76271186440678</v>
      </c>
      <c r="K418" s="24">
        <f t="shared" si="32"/>
        <v>-3.0711459800174312E-2</v>
      </c>
      <c r="L418" t="str">
        <f>VLOOKUP(B418,товар!$A$1:$C$433,3,FALSE)</f>
        <v>Русский сахар</v>
      </c>
      <c r="M418">
        <f t="shared" si="33"/>
        <v>293.41176470588238</v>
      </c>
      <c r="N418" s="30">
        <f>VLOOKUP(H418,клиенты!$A$1:$G$435,5,FALSE)</f>
        <v>44628</v>
      </c>
      <c r="O418">
        <f t="shared" si="34"/>
        <v>357</v>
      </c>
    </row>
    <row r="419" spans="1:15" x14ac:dyDescent="0.3">
      <c r="A419">
        <v>418</v>
      </c>
      <c r="B419">
        <v>216</v>
      </c>
      <c r="C419">
        <v>209</v>
      </c>
      <c r="D419">
        <v>3</v>
      </c>
      <c r="E419">
        <f t="shared" si="30"/>
        <v>627</v>
      </c>
      <c r="F419" s="30">
        <v>45357</v>
      </c>
      <c r="G419" t="s">
        <v>23</v>
      </c>
      <c r="H419">
        <v>263</v>
      </c>
      <c r="I419" t="str">
        <f>VLOOKUP(B419,товар!$A$1:$C$433,2,FALSE)</f>
        <v>Кофе</v>
      </c>
      <c r="J419" s="23">
        <f t="shared" si="31"/>
        <v>249.02380952380952</v>
      </c>
      <c r="K419" s="24">
        <f t="shared" si="32"/>
        <v>-0.16072282244956493</v>
      </c>
      <c r="L419" t="str">
        <f>VLOOKUP(B419,товар!$A$1:$C$433,3,FALSE)</f>
        <v>Черная Карта</v>
      </c>
      <c r="M419">
        <f t="shared" si="33"/>
        <v>222.2</v>
      </c>
      <c r="N419" s="30">
        <f>VLOOKUP(H419,клиенты!$A$1:$G$435,5,FALSE)</f>
        <v>44612</v>
      </c>
      <c r="O419">
        <f t="shared" si="34"/>
        <v>745</v>
      </c>
    </row>
    <row r="420" spans="1:15" x14ac:dyDescent="0.3">
      <c r="A420">
        <v>419</v>
      </c>
      <c r="B420">
        <v>390</v>
      </c>
      <c r="C420">
        <v>120</v>
      </c>
      <c r="D420">
        <v>1</v>
      </c>
      <c r="E420">
        <f t="shared" si="30"/>
        <v>120</v>
      </c>
      <c r="F420" s="30">
        <v>45176</v>
      </c>
      <c r="G420" t="s">
        <v>21</v>
      </c>
      <c r="H420">
        <v>449</v>
      </c>
      <c r="I420" t="str">
        <f>VLOOKUP(B420,товар!$A$1:$C$433,2,FALSE)</f>
        <v>Сок</v>
      </c>
      <c r="J420" s="23">
        <f t="shared" si="31"/>
        <v>268.60344827586209</v>
      </c>
      <c r="K420" s="24">
        <f t="shared" si="32"/>
        <v>-0.55324475255151162</v>
      </c>
      <c r="L420" t="str">
        <f>VLOOKUP(B420,товар!$A$1:$C$433,3,FALSE)</f>
        <v>Сады Придонья</v>
      </c>
      <c r="M420">
        <f t="shared" si="33"/>
        <v>254.18181818181819</v>
      </c>
      <c r="N420" s="30">
        <f>VLOOKUP(H420,клиенты!$A$1:$G$435,5,FALSE)</f>
        <v>44645</v>
      </c>
      <c r="O420">
        <f t="shared" si="34"/>
        <v>531</v>
      </c>
    </row>
    <row r="421" spans="1:15" x14ac:dyDescent="0.3">
      <c r="A421">
        <v>420</v>
      </c>
      <c r="B421">
        <v>14</v>
      </c>
      <c r="C421">
        <v>251</v>
      </c>
      <c r="D421">
        <v>1</v>
      </c>
      <c r="E421">
        <f t="shared" si="30"/>
        <v>251</v>
      </c>
      <c r="F421" s="30">
        <v>45272</v>
      </c>
      <c r="G421" t="s">
        <v>30</v>
      </c>
      <c r="H421">
        <v>321</v>
      </c>
      <c r="I421" t="str">
        <f>VLOOKUP(B421,товар!$A$1:$C$433,2,FALSE)</f>
        <v>Сок</v>
      </c>
      <c r="J421" s="23">
        <f t="shared" si="31"/>
        <v>268.60344827586209</v>
      </c>
      <c r="K421" s="24">
        <f t="shared" si="32"/>
        <v>-6.5536940753578632E-2</v>
      </c>
      <c r="L421" t="str">
        <f>VLOOKUP(B421,товар!$A$1:$C$433,3,FALSE)</f>
        <v>Rich</v>
      </c>
      <c r="M421">
        <f t="shared" si="33"/>
        <v>272.25</v>
      </c>
      <c r="N421" s="30">
        <f>VLOOKUP(H421,клиенты!$A$1:$G$435,5,FALSE)</f>
        <v>44756</v>
      </c>
      <c r="O421">
        <f t="shared" si="34"/>
        <v>516</v>
      </c>
    </row>
    <row r="422" spans="1:15" x14ac:dyDescent="0.3">
      <c r="A422">
        <v>421</v>
      </c>
      <c r="B422">
        <v>451</v>
      </c>
      <c r="C422">
        <v>443</v>
      </c>
      <c r="D422">
        <v>4</v>
      </c>
      <c r="E422">
        <f t="shared" si="30"/>
        <v>1772</v>
      </c>
      <c r="F422" s="30">
        <v>45210</v>
      </c>
      <c r="G422" t="s">
        <v>33</v>
      </c>
      <c r="H422">
        <v>101</v>
      </c>
      <c r="I422" t="str">
        <f>VLOOKUP(B422,товар!$A$1:$C$433,2,FALSE)</f>
        <v>Рис</v>
      </c>
      <c r="J422" s="23">
        <f t="shared" si="31"/>
        <v>258.375</v>
      </c>
      <c r="K422" s="24">
        <f t="shared" si="32"/>
        <v>0.71456216739235612</v>
      </c>
      <c r="L422" t="str">
        <f>VLOOKUP(B422,товар!$A$1:$C$433,3,FALSE)</f>
        <v>Белый Злат</v>
      </c>
      <c r="M422">
        <f t="shared" si="33"/>
        <v>269.70588235294116</v>
      </c>
      <c r="N422" s="30">
        <f>VLOOKUP(H422,клиенты!$A$1:$G$435,5,FALSE)</f>
        <v>44727</v>
      </c>
      <c r="O422">
        <f t="shared" si="34"/>
        <v>483</v>
      </c>
    </row>
    <row r="423" spans="1:15" x14ac:dyDescent="0.3">
      <c r="A423">
        <v>422</v>
      </c>
      <c r="B423">
        <v>312</v>
      </c>
      <c r="C423">
        <v>234</v>
      </c>
      <c r="D423">
        <v>1</v>
      </c>
      <c r="E423">
        <f t="shared" si="30"/>
        <v>234</v>
      </c>
      <c r="F423" s="30">
        <v>44954</v>
      </c>
      <c r="G423" t="s">
        <v>24</v>
      </c>
      <c r="H423">
        <v>124</v>
      </c>
      <c r="I423" t="str">
        <f>VLOOKUP(B423,товар!$A$1:$C$433,2,FALSE)</f>
        <v>Хлеб</v>
      </c>
      <c r="J423" s="23">
        <f t="shared" si="31"/>
        <v>300.31818181818181</v>
      </c>
      <c r="K423" s="24">
        <f t="shared" si="32"/>
        <v>-0.22082639624640532</v>
      </c>
      <c r="L423" t="str">
        <f>VLOOKUP(B423,товар!$A$1:$C$433,3,FALSE)</f>
        <v>Каравай</v>
      </c>
      <c r="M423">
        <f t="shared" si="33"/>
        <v>331.16666666666669</v>
      </c>
      <c r="N423" s="30">
        <f>VLOOKUP(H423,клиенты!$A$1:$G$435,5,FALSE)</f>
        <v>44795</v>
      </c>
      <c r="O423">
        <f t="shared" si="34"/>
        <v>159</v>
      </c>
    </row>
    <row r="424" spans="1:15" x14ac:dyDescent="0.3">
      <c r="A424">
        <v>423</v>
      </c>
      <c r="B424">
        <v>217</v>
      </c>
      <c r="C424">
        <v>260</v>
      </c>
      <c r="D424">
        <v>5</v>
      </c>
      <c r="E424">
        <f t="shared" si="30"/>
        <v>1300</v>
      </c>
      <c r="F424" s="30">
        <v>45018</v>
      </c>
      <c r="G424" t="s">
        <v>19</v>
      </c>
      <c r="H424">
        <v>257</v>
      </c>
      <c r="I424" t="str">
        <f>VLOOKUP(B424,товар!$A$1:$C$433,2,FALSE)</f>
        <v>Мясо</v>
      </c>
      <c r="J424" s="23">
        <f t="shared" si="31"/>
        <v>271.74545454545455</v>
      </c>
      <c r="K424" s="24">
        <f t="shared" si="32"/>
        <v>-4.3222266827244726E-2</v>
      </c>
      <c r="L424" t="str">
        <f>VLOOKUP(B424,товар!$A$1:$C$433,3,FALSE)</f>
        <v>Агрокомплекс</v>
      </c>
      <c r="M424">
        <f t="shared" si="33"/>
        <v>311.2</v>
      </c>
      <c r="N424" s="30">
        <f>VLOOKUP(H424,клиенты!$A$1:$G$435,5,FALSE)</f>
        <v>44701</v>
      </c>
      <c r="O424">
        <f t="shared" si="34"/>
        <v>317</v>
      </c>
    </row>
    <row r="425" spans="1:15" x14ac:dyDescent="0.3">
      <c r="A425">
        <v>424</v>
      </c>
      <c r="B425">
        <v>10</v>
      </c>
      <c r="C425">
        <v>203</v>
      </c>
      <c r="D425">
        <v>4</v>
      </c>
      <c r="E425">
        <f t="shared" si="30"/>
        <v>812</v>
      </c>
      <c r="F425" s="30">
        <v>45059</v>
      </c>
      <c r="G425" t="s">
        <v>19</v>
      </c>
      <c r="H425">
        <v>276</v>
      </c>
      <c r="I425" t="str">
        <f>VLOOKUP(B425,товар!$A$1:$C$433,2,FALSE)</f>
        <v>Сок</v>
      </c>
      <c r="J425" s="23">
        <f t="shared" si="31"/>
        <v>268.60344827586209</v>
      </c>
      <c r="K425" s="24">
        <f t="shared" si="32"/>
        <v>-0.24423903973297389</v>
      </c>
      <c r="L425" t="str">
        <f>VLOOKUP(B425,товар!$A$1:$C$433,3,FALSE)</f>
        <v>Фруктовый сад</v>
      </c>
      <c r="M425">
        <f t="shared" si="33"/>
        <v>281.96875</v>
      </c>
      <c r="N425" s="30">
        <f>VLOOKUP(H425,клиенты!$A$1:$G$435,5,FALSE)</f>
        <v>44632</v>
      </c>
      <c r="O425">
        <f t="shared" si="34"/>
        <v>427</v>
      </c>
    </row>
    <row r="426" spans="1:15" x14ac:dyDescent="0.3">
      <c r="A426">
        <v>425</v>
      </c>
      <c r="B426">
        <v>60</v>
      </c>
      <c r="C426">
        <v>251</v>
      </c>
      <c r="D426">
        <v>2</v>
      </c>
      <c r="E426">
        <f t="shared" si="30"/>
        <v>502</v>
      </c>
      <c r="F426" s="30">
        <v>45202</v>
      </c>
      <c r="G426" t="s">
        <v>32</v>
      </c>
      <c r="H426">
        <v>309</v>
      </c>
      <c r="I426" t="str">
        <f>VLOOKUP(B426,товар!$A$1:$C$433,2,FALSE)</f>
        <v>Кофе</v>
      </c>
      <c r="J426" s="23">
        <f t="shared" si="31"/>
        <v>249.02380952380952</v>
      </c>
      <c r="K426" s="24">
        <f t="shared" si="32"/>
        <v>7.9357491155942483E-3</v>
      </c>
      <c r="L426" t="str">
        <f>VLOOKUP(B426,товар!$A$1:$C$433,3,FALSE)</f>
        <v>Jacobs</v>
      </c>
      <c r="M426">
        <f t="shared" si="33"/>
        <v>276.21052631578948</v>
      </c>
      <c r="N426" s="30">
        <f>VLOOKUP(H426,клиенты!$A$1:$G$435,5,FALSE)</f>
        <v>44711</v>
      </c>
      <c r="O426">
        <f t="shared" si="34"/>
        <v>491</v>
      </c>
    </row>
    <row r="427" spans="1:15" x14ac:dyDescent="0.3">
      <c r="A427">
        <v>426</v>
      </c>
      <c r="B427">
        <v>74</v>
      </c>
      <c r="C427">
        <v>210</v>
      </c>
      <c r="D427">
        <v>3</v>
      </c>
      <c r="E427">
        <f t="shared" si="30"/>
        <v>630</v>
      </c>
      <c r="F427" s="30">
        <v>45335</v>
      </c>
      <c r="G427" t="s">
        <v>24</v>
      </c>
      <c r="H427">
        <v>319</v>
      </c>
      <c r="I427" t="str">
        <f>VLOOKUP(B427,товар!$A$1:$C$433,2,FALSE)</f>
        <v>Колбаса</v>
      </c>
      <c r="J427" s="23">
        <f t="shared" si="31"/>
        <v>286.92307692307691</v>
      </c>
      <c r="K427" s="24">
        <f t="shared" si="32"/>
        <v>-0.26809651474530827</v>
      </c>
      <c r="L427" t="str">
        <f>VLOOKUP(B427,товар!$A$1:$C$433,3,FALSE)</f>
        <v>Черкизово</v>
      </c>
      <c r="M427">
        <f t="shared" si="33"/>
        <v>320.25</v>
      </c>
      <c r="N427" s="30">
        <f>VLOOKUP(H427,клиенты!$A$1:$G$435,5,FALSE)</f>
        <v>44674</v>
      </c>
      <c r="O427">
        <f t="shared" si="34"/>
        <v>661</v>
      </c>
    </row>
    <row r="428" spans="1:15" x14ac:dyDescent="0.3">
      <c r="A428">
        <v>427</v>
      </c>
      <c r="B428">
        <v>116</v>
      </c>
      <c r="C428">
        <v>295</v>
      </c>
      <c r="D428">
        <v>1</v>
      </c>
      <c r="E428">
        <f t="shared" si="30"/>
        <v>295</v>
      </c>
      <c r="F428" s="30">
        <v>45336</v>
      </c>
      <c r="G428" t="s">
        <v>17</v>
      </c>
      <c r="H428">
        <v>359</v>
      </c>
      <c r="I428" t="str">
        <f>VLOOKUP(B428,товар!$A$1:$C$433,2,FALSE)</f>
        <v>Соль</v>
      </c>
      <c r="J428" s="23">
        <f t="shared" si="31"/>
        <v>264.8679245283019</v>
      </c>
      <c r="K428" s="24">
        <f t="shared" si="32"/>
        <v>0.11376264425131777</v>
      </c>
      <c r="L428" t="str">
        <f>VLOOKUP(B428,товар!$A$1:$C$433,3,FALSE)</f>
        <v>Экстра</v>
      </c>
      <c r="M428">
        <f t="shared" si="33"/>
        <v>320.84615384615387</v>
      </c>
      <c r="N428" s="30">
        <f>VLOOKUP(H428,клиенты!$A$1:$G$435,5,FALSE)</f>
        <v>44584</v>
      </c>
      <c r="O428">
        <f t="shared" si="34"/>
        <v>752</v>
      </c>
    </row>
    <row r="429" spans="1:15" x14ac:dyDescent="0.3">
      <c r="A429">
        <v>428</v>
      </c>
      <c r="B429">
        <v>401</v>
      </c>
      <c r="C429">
        <v>78</v>
      </c>
      <c r="D429">
        <v>3</v>
      </c>
      <c r="E429">
        <f t="shared" si="30"/>
        <v>234</v>
      </c>
      <c r="F429" s="30">
        <v>44986</v>
      </c>
      <c r="G429" t="s">
        <v>17</v>
      </c>
      <c r="H429">
        <v>395</v>
      </c>
      <c r="I429" t="str">
        <f>VLOOKUP(B429,товар!$A$1:$C$433,2,FALSE)</f>
        <v>Чай</v>
      </c>
      <c r="J429" s="23">
        <f t="shared" si="31"/>
        <v>271.18181818181819</v>
      </c>
      <c r="K429" s="24">
        <f t="shared" si="32"/>
        <v>-0.71237009721756617</v>
      </c>
      <c r="L429" t="str">
        <f>VLOOKUP(B429,товар!$A$1:$C$433,3,FALSE)</f>
        <v>Greenfield</v>
      </c>
      <c r="M429">
        <f t="shared" si="33"/>
        <v>291.45454545454544</v>
      </c>
      <c r="N429" s="30">
        <f>VLOOKUP(H429,клиенты!$A$1:$G$435,5,FALSE)</f>
        <v>44890</v>
      </c>
      <c r="O429">
        <f t="shared" si="34"/>
        <v>96</v>
      </c>
    </row>
    <row r="430" spans="1:15" x14ac:dyDescent="0.3">
      <c r="A430">
        <v>429</v>
      </c>
      <c r="B430">
        <v>348</v>
      </c>
      <c r="C430">
        <v>162</v>
      </c>
      <c r="D430">
        <v>2</v>
      </c>
      <c r="E430">
        <f t="shared" si="30"/>
        <v>324</v>
      </c>
      <c r="F430" s="30">
        <v>44931</v>
      </c>
      <c r="G430" t="s">
        <v>26</v>
      </c>
      <c r="H430">
        <v>107</v>
      </c>
      <c r="I430" t="str">
        <f>VLOOKUP(B430,товар!$A$1:$C$433,2,FALSE)</f>
        <v>Чипсы</v>
      </c>
      <c r="J430" s="23">
        <f t="shared" si="31"/>
        <v>273.72549019607845</v>
      </c>
      <c r="K430" s="24">
        <f t="shared" si="32"/>
        <v>-0.40816618911174785</v>
      </c>
      <c r="L430" t="str">
        <f>VLOOKUP(B430,товар!$A$1:$C$433,3,FALSE)</f>
        <v>Estrella</v>
      </c>
      <c r="M430">
        <f t="shared" si="33"/>
        <v>266.27272727272725</v>
      </c>
      <c r="N430" s="30">
        <f>VLOOKUP(H430,клиенты!$A$1:$G$435,5,FALSE)</f>
        <v>44744</v>
      </c>
      <c r="O430">
        <f t="shared" si="34"/>
        <v>187</v>
      </c>
    </row>
    <row r="431" spans="1:15" x14ac:dyDescent="0.3">
      <c r="A431">
        <v>430</v>
      </c>
      <c r="B431">
        <v>382</v>
      </c>
      <c r="C431">
        <v>278</v>
      </c>
      <c r="D431">
        <v>2</v>
      </c>
      <c r="E431">
        <f t="shared" si="30"/>
        <v>556</v>
      </c>
      <c r="F431" s="30">
        <v>45198</v>
      </c>
      <c r="G431" t="s">
        <v>32</v>
      </c>
      <c r="H431">
        <v>103</v>
      </c>
      <c r="I431" t="str">
        <f>VLOOKUP(B431,товар!$A$1:$C$433,2,FALSE)</f>
        <v>Овощи</v>
      </c>
      <c r="J431" s="23">
        <f t="shared" si="31"/>
        <v>250.48780487804879</v>
      </c>
      <c r="K431" s="24">
        <f t="shared" si="32"/>
        <v>0.10983446932814012</v>
      </c>
      <c r="L431" t="str">
        <f>VLOOKUP(B431,товар!$A$1:$C$433,3,FALSE)</f>
        <v>Овощной ряд</v>
      </c>
      <c r="M431">
        <f t="shared" si="33"/>
        <v>303.8235294117647</v>
      </c>
      <c r="N431" s="30">
        <f>VLOOKUP(H431,клиенты!$A$1:$G$435,5,FALSE)</f>
        <v>44787</v>
      </c>
      <c r="O431">
        <f t="shared" si="34"/>
        <v>411</v>
      </c>
    </row>
    <row r="432" spans="1:15" x14ac:dyDescent="0.3">
      <c r="A432">
        <v>431</v>
      </c>
      <c r="B432">
        <v>477</v>
      </c>
      <c r="C432">
        <v>420</v>
      </c>
      <c r="D432">
        <v>1</v>
      </c>
      <c r="E432">
        <f t="shared" si="30"/>
        <v>420</v>
      </c>
      <c r="F432" s="30">
        <v>45232</v>
      </c>
      <c r="G432" t="s">
        <v>18</v>
      </c>
      <c r="H432">
        <v>221</v>
      </c>
      <c r="I432" t="str">
        <f>VLOOKUP(B432,товар!$A$1:$C$433,2,FALSE)</f>
        <v>Макароны</v>
      </c>
      <c r="J432" s="23">
        <f t="shared" si="31"/>
        <v>265.47674418604652</v>
      </c>
      <c r="K432" s="24">
        <f t="shared" si="32"/>
        <v>0.58205948053085721</v>
      </c>
      <c r="L432" t="str">
        <f>VLOOKUP(B432,товар!$A$1:$C$433,3,FALSE)</f>
        <v>Борилла</v>
      </c>
      <c r="M432">
        <f t="shared" si="33"/>
        <v>236.27586206896552</v>
      </c>
      <c r="N432" s="30">
        <f>VLOOKUP(H432,клиенты!$A$1:$G$435,5,FALSE)</f>
        <v>44820</v>
      </c>
      <c r="O432">
        <f t="shared" si="34"/>
        <v>412</v>
      </c>
    </row>
    <row r="433" spans="1:15" x14ac:dyDescent="0.3">
      <c r="A433">
        <v>432</v>
      </c>
      <c r="B433">
        <v>91</v>
      </c>
      <c r="C433">
        <v>413</v>
      </c>
      <c r="D433">
        <v>2</v>
      </c>
      <c r="E433">
        <f t="shared" si="30"/>
        <v>826</v>
      </c>
      <c r="F433" s="30">
        <v>45183</v>
      </c>
      <c r="G433" t="s">
        <v>26</v>
      </c>
      <c r="H433">
        <v>31</v>
      </c>
      <c r="I433" t="str">
        <f>VLOOKUP(B433,товар!$A$1:$C$433,2,FALSE)</f>
        <v>Сыр</v>
      </c>
      <c r="J433" s="23">
        <f t="shared" si="31"/>
        <v>262.63492063492066</v>
      </c>
      <c r="K433" s="24">
        <f t="shared" si="32"/>
        <v>0.57252508159071658</v>
      </c>
      <c r="L433" t="str">
        <f>VLOOKUP(B433,товар!$A$1:$C$433,3,FALSE)</f>
        <v>Сырная долина</v>
      </c>
      <c r="M433">
        <f t="shared" si="33"/>
        <v>271</v>
      </c>
      <c r="N433" s="30">
        <f>VLOOKUP(H433,клиенты!$A$1:$G$435,5,FALSE)</f>
        <v>44580</v>
      </c>
      <c r="O433">
        <f t="shared" si="34"/>
        <v>603</v>
      </c>
    </row>
    <row r="434" spans="1:15" x14ac:dyDescent="0.3">
      <c r="A434">
        <v>433</v>
      </c>
      <c r="B434">
        <v>52</v>
      </c>
      <c r="C434">
        <v>272</v>
      </c>
      <c r="D434">
        <v>3</v>
      </c>
      <c r="E434">
        <f t="shared" si="30"/>
        <v>816</v>
      </c>
      <c r="F434" s="30">
        <v>45377</v>
      </c>
      <c r="G434" t="s">
        <v>16</v>
      </c>
      <c r="H434">
        <v>306</v>
      </c>
      <c r="I434" t="str">
        <f>VLOOKUP(B434,товар!$A$1:$C$433,2,FALSE)</f>
        <v>Соль</v>
      </c>
      <c r="J434" s="23">
        <f t="shared" si="31"/>
        <v>264.8679245283019</v>
      </c>
      <c r="K434" s="24">
        <f t="shared" si="32"/>
        <v>2.6926912665621749E-2</v>
      </c>
      <c r="L434" t="str">
        <f>VLOOKUP(B434,товар!$A$1:$C$433,3,FALSE)</f>
        <v>Илецкая</v>
      </c>
      <c r="M434">
        <f t="shared" si="33"/>
        <v>238.16666666666666</v>
      </c>
      <c r="N434" s="30">
        <f>VLOOKUP(H434,клиенты!$A$1:$G$435,5,FALSE)</f>
        <v>44872</v>
      </c>
      <c r="O434">
        <f t="shared" si="34"/>
        <v>505</v>
      </c>
    </row>
    <row r="435" spans="1:15" x14ac:dyDescent="0.3">
      <c r="A435">
        <v>434</v>
      </c>
      <c r="B435">
        <v>438</v>
      </c>
      <c r="C435">
        <v>435</v>
      </c>
      <c r="D435">
        <v>1</v>
      </c>
      <c r="E435">
        <f t="shared" si="30"/>
        <v>435</v>
      </c>
      <c r="F435" s="30">
        <v>45142</v>
      </c>
      <c r="G435" t="s">
        <v>34</v>
      </c>
      <c r="H435">
        <v>383</v>
      </c>
      <c r="I435" t="str">
        <f>VLOOKUP(B435,товар!$A$1:$C$433,2,FALSE)</f>
        <v>Кофе</v>
      </c>
      <c r="J435" s="23">
        <f t="shared" si="31"/>
        <v>249.02380952380952</v>
      </c>
      <c r="K435" s="24">
        <f t="shared" si="32"/>
        <v>0.74682091978200593</v>
      </c>
      <c r="L435" t="str">
        <f>VLOOKUP(B435,товар!$A$1:$C$433,3,FALSE)</f>
        <v>Nescafe</v>
      </c>
      <c r="M435">
        <f t="shared" si="33"/>
        <v>256.89999999999998</v>
      </c>
      <c r="N435" s="30">
        <f>VLOOKUP(H435,клиенты!$A$1:$G$435,5,FALSE)</f>
        <v>44876</v>
      </c>
      <c r="O435">
        <f t="shared" si="34"/>
        <v>266</v>
      </c>
    </row>
    <row r="436" spans="1:15" x14ac:dyDescent="0.3">
      <c r="A436">
        <v>435</v>
      </c>
      <c r="B436">
        <v>384</v>
      </c>
      <c r="C436">
        <v>303</v>
      </c>
      <c r="D436">
        <v>2</v>
      </c>
      <c r="E436">
        <f t="shared" si="30"/>
        <v>606</v>
      </c>
      <c r="F436" s="30">
        <v>45151</v>
      </c>
      <c r="G436" t="s">
        <v>21</v>
      </c>
      <c r="H436">
        <v>235</v>
      </c>
      <c r="I436" t="str">
        <f>VLOOKUP(B436,товар!$A$1:$C$433,2,FALSE)</f>
        <v>Сахар</v>
      </c>
      <c r="J436" s="23">
        <f t="shared" si="31"/>
        <v>252.76271186440678</v>
      </c>
      <c r="K436" s="24">
        <f t="shared" si="32"/>
        <v>0.1987527660430497</v>
      </c>
      <c r="L436" t="str">
        <f>VLOOKUP(B436,товар!$A$1:$C$433,3,FALSE)</f>
        <v>Сладов</v>
      </c>
      <c r="M436">
        <f t="shared" si="33"/>
        <v>240.26666666666668</v>
      </c>
      <c r="N436" s="30">
        <f>VLOOKUP(H436,клиенты!$A$1:$G$435,5,FALSE)</f>
        <v>44635</v>
      </c>
      <c r="O436">
        <f t="shared" si="34"/>
        <v>516</v>
      </c>
    </row>
    <row r="437" spans="1:15" x14ac:dyDescent="0.3">
      <c r="A437">
        <v>436</v>
      </c>
      <c r="B437">
        <v>473</v>
      </c>
      <c r="C437">
        <v>231</v>
      </c>
      <c r="D437">
        <v>3</v>
      </c>
      <c r="E437">
        <f t="shared" si="30"/>
        <v>693</v>
      </c>
      <c r="F437" s="30">
        <v>45074</v>
      </c>
      <c r="G437" t="s">
        <v>18</v>
      </c>
      <c r="H437">
        <v>448</v>
      </c>
      <c r="I437" t="str">
        <f>VLOOKUP(B437,товар!$A$1:$C$433,2,FALSE)</f>
        <v>Хлеб</v>
      </c>
      <c r="J437" s="23">
        <f t="shared" si="31"/>
        <v>300.31818181818181</v>
      </c>
      <c r="K437" s="24">
        <f t="shared" si="32"/>
        <v>-0.2308158014227335</v>
      </c>
      <c r="L437" t="str">
        <f>VLOOKUP(B437,товар!$A$1:$C$433,3,FALSE)</f>
        <v>Хлебный Дом</v>
      </c>
      <c r="M437">
        <f t="shared" si="33"/>
        <v>281.73333333333335</v>
      </c>
      <c r="N437" s="30">
        <f>VLOOKUP(H437,клиенты!$A$1:$G$435,5,FALSE)</f>
        <v>44770</v>
      </c>
      <c r="O437">
        <f t="shared" si="34"/>
        <v>304</v>
      </c>
    </row>
    <row r="438" spans="1:15" x14ac:dyDescent="0.3">
      <c r="A438">
        <v>437</v>
      </c>
      <c r="B438">
        <v>383</v>
      </c>
      <c r="C438">
        <v>429</v>
      </c>
      <c r="D438">
        <v>4</v>
      </c>
      <c r="E438">
        <f t="shared" si="30"/>
        <v>1716</v>
      </c>
      <c r="F438" s="30">
        <v>45120</v>
      </c>
      <c r="G438" t="s">
        <v>27</v>
      </c>
      <c r="H438">
        <v>367</v>
      </c>
      <c r="I438" t="str">
        <f>VLOOKUP(B438,товар!$A$1:$C$433,2,FALSE)</f>
        <v>Фрукты</v>
      </c>
      <c r="J438" s="23">
        <f t="shared" si="31"/>
        <v>274.16279069767444</v>
      </c>
      <c r="K438" s="24">
        <f t="shared" si="32"/>
        <v>0.56476376282975638</v>
      </c>
      <c r="L438" t="str">
        <f>VLOOKUP(B438,товар!$A$1:$C$433,3,FALSE)</f>
        <v>Фруктовый Рай</v>
      </c>
      <c r="M438">
        <f t="shared" si="33"/>
        <v>258.30769230769232</v>
      </c>
      <c r="N438" s="30">
        <f>VLOOKUP(H438,клиенты!$A$1:$G$435,5,FALSE)</f>
        <v>44867</v>
      </c>
      <c r="O438">
        <f t="shared" si="34"/>
        <v>253</v>
      </c>
    </row>
    <row r="439" spans="1:15" x14ac:dyDescent="0.3">
      <c r="A439">
        <v>438</v>
      </c>
      <c r="B439">
        <v>406</v>
      </c>
      <c r="C439">
        <v>87</v>
      </c>
      <c r="D439">
        <v>2</v>
      </c>
      <c r="E439">
        <f t="shared" si="30"/>
        <v>174</v>
      </c>
      <c r="F439" s="30">
        <v>45066</v>
      </c>
      <c r="G439" t="s">
        <v>26</v>
      </c>
      <c r="H439">
        <v>255</v>
      </c>
      <c r="I439" t="str">
        <f>VLOOKUP(B439,товар!$A$1:$C$433,2,FALSE)</f>
        <v>Сок</v>
      </c>
      <c r="J439" s="23">
        <f t="shared" si="31"/>
        <v>268.60344827586209</v>
      </c>
      <c r="K439" s="24">
        <f t="shared" si="32"/>
        <v>-0.676102445599846</v>
      </c>
      <c r="L439" t="str">
        <f>VLOOKUP(B439,товар!$A$1:$C$433,3,FALSE)</f>
        <v>Фруктовый сад</v>
      </c>
      <c r="M439">
        <f t="shared" si="33"/>
        <v>281.96875</v>
      </c>
      <c r="N439" s="30">
        <f>VLOOKUP(H439,клиенты!$A$1:$G$435,5,FALSE)</f>
        <v>44793</v>
      </c>
      <c r="O439">
        <f t="shared" si="34"/>
        <v>273</v>
      </c>
    </row>
    <row r="440" spans="1:15" x14ac:dyDescent="0.3">
      <c r="A440">
        <v>439</v>
      </c>
      <c r="B440">
        <v>252</v>
      </c>
      <c r="C440">
        <v>50</v>
      </c>
      <c r="D440">
        <v>1</v>
      </c>
      <c r="E440">
        <f t="shared" si="30"/>
        <v>50</v>
      </c>
      <c r="F440" s="30">
        <v>44960</v>
      </c>
      <c r="G440" t="s">
        <v>22</v>
      </c>
      <c r="H440">
        <v>138</v>
      </c>
      <c r="I440" t="str">
        <f>VLOOKUP(B440,товар!$A$1:$C$433,2,FALSE)</f>
        <v>Чай</v>
      </c>
      <c r="J440" s="23">
        <f t="shared" si="31"/>
        <v>271.18181818181819</v>
      </c>
      <c r="K440" s="24">
        <f t="shared" si="32"/>
        <v>-0.81562185719074753</v>
      </c>
      <c r="L440" t="str">
        <f>VLOOKUP(B440,товар!$A$1:$C$433,3,FALSE)</f>
        <v>Lipton</v>
      </c>
      <c r="M440">
        <f t="shared" si="33"/>
        <v>260.15789473684208</v>
      </c>
      <c r="N440" s="30">
        <f>VLOOKUP(H440,клиенты!$A$1:$G$435,5,FALSE)</f>
        <v>44723</v>
      </c>
      <c r="O440">
        <f t="shared" si="34"/>
        <v>237</v>
      </c>
    </row>
    <row r="441" spans="1:15" x14ac:dyDescent="0.3">
      <c r="A441">
        <v>440</v>
      </c>
      <c r="B441">
        <v>365</v>
      </c>
      <c r="C441">
        <v>127</v>
      </c>
      <c r="D441">
        <v>1</v>
      </c>
      <c r="E441">
        <f t="shared" si="30"/>
        <v>127</v>
      </c>
      <c r="F441" s="30">
        <v>45351</v>
      </c>
      <c r="G441" t="s">
        <v>26</v>
      </c>
      <c r="H441">
        <v>158</v>
      </c>
      <c r="I441" t="str">
        <f>VLOOKUP(B441,товар!$A$1:$C$433,2,FALSE)</f>
        <v>Мясо</v>
      </c>
      <c r="J441" s="23">
        <f t="shared" si="31"/>
        <v>271.74545454545455</v>
      </c>
      <c r="K441" s="24">
        <f t="shared" si="32"/>
        <v>-0.53265087648869258</v>
      </c>
      <c r="L441" t="str">
        <f>VLOOKUP(B441,товар!$A$1:$C$433,3,FALSE)</f>
        <v>Агрокомплекс</v>
      </c>
      <c r="M441">
        <f t="shared" si="33"/>
        <v>311.2</v>
      </c>
      <c r="N441" s="30">
        <f>VLOOKUP(H441,клиенты!$A$1:$G$435,5,FALSE)</f>
        <v>44752</v>
      </c>
      <c r="O441">
        <f t="shared" si="34"/>
        <v>599</v>
      </c>
    </row>
    <row r="442" spans="1:15" x14ac:dyDescent="0.3">
      <c r="A442">
        <v>441</v>
      </c>
      <c r="B442">
        <v>420</v>
      </c>
      <c r="C442">
        <v>390</v>
      </c>
      <c r="D442">
        <v>3</v>
      </c>
      <c r="E442">
        <f t="shared" si="30"/>
        <v>1170</v>
      </c>
      <c r="F442" s="30">
        <v>45183</v>
      </c>
      <c r="G442" t="s">
        <v>16</v>
      </c>
      <c r="H442">
        <v>217</v>
      </c>
      <c r="I442" t="str">
        <f>VLOOKUP(B442,товар!$A$1:$C$433,2,FALSE)</f>
        <v>Хлеб</v>
      </c>
      <c r="J442" s="23">
        <f t="shared" si="31"/>
        <v>300.31818181818181</v>
      </c>
      <c r="K442" s="24">
        <f t="shared" si="32"/>
        <v>0.29862267292265776</v>
      </c>
      <c r="L442" t="str">
        <f>VLOOKUP(B442,товар!$A$1:$C$433,3,FALSE)</f>
        <v>Хлебный Дом</v>
      </c>
      <c r="M442">
        <f t="shared" si="33"/>
        <v>281.73333333333335</v>
      </c>
      <c r="N442" s="30">
        <f>VLOOKUP(H442,клиенты!$A$1:$G$435,5,FALSE)</f>
        <v>44826</v>
      </c>
      <c r="O442">
        <f t="shared" si="34"/>
        <v>357</v>
      </c>
    </row>
    <row r="443" spans="1:15" x14ac:dyDescent="0.3">
      <c r="A443">
        <v>442</v>
      </c>
      <c r="B443">
        <v>97</v>
      </c>
      <c r="C443">
        <v>298</v>
      </c>
      <c r="D443">
        <v>2</v>
      </c>
      <c r="E443">
        <f t="shared" si="30"/>
        <v>596</v>
      </c>
      <c r="F443" s="30">
        <v>45102</v>
      </c>
      <c r="G443" t="s">
        <v>24</v>
      </c>
      <c r="H443">
        <v>102</v>
      </c>
      <c r="I443" t="str">
        <f>VLOOKUP(B443,товар!$A$1:$C$433,2,FALSE)</f>
        <v>Печенье</v>
      </c>
      <c r="J443" s="23">
        <f t="shared" si="31"/>
        <v>283.468085106383</v>
      </c>
      <c r="K443" s="24">
        <f t="shared" si="32"/>
        <v>5.1264730165878403E-2</v>
      </c>
      <c r="L443" t="str">
        <f>VLOOKUP(B443,товар!$A$1:$C$433,3,FALSE)</f>
        <v>КДВ</v>
      </c>
      <c r="M443">
        <f t="shared" si="33"/>
        <v>323.07692307692309</v>
      </c>
      <c r="N443" s="30">
        <f>VLOOKUP(H443,клиенты!$A$1:$G$435,5,FALSE)</f>
        <v>44723</v>
      </c>
      <c r="O443">
        <f t="shared" si="34"/>
        <v>379</v>
      </c>
    </row>
    <row r="444" spans="1:15" x14ac:dyDescent="0.3">
      <c r="A444">
        <v>443</v>
      </c>
      <c r="B444">
        <v>217</v>
      </c>
      <c r="C444">
        <v>471</v>
      </c>
      <c r="D444">
        <v>3</v>
      </c>
      <c r="E444">
        <f t="shared" si="30"/>
        <v>1413</v>
      </c>
      <c r="F444" s="30">
        <v>45206</v>
      </c>
      <c r="G444" t="s">
        <v>21</v>
      </c>
      <c r="H444">
        <v>425</v>
      </c>
      <c r="I444" t="str">
        <f>VLOOKUP(B444,товар!$A$1:$C$433,2,FALSE)</f>
        <v>Мясо</v>
      </c>
      <c r="J444" s="23">
        <f t="shared" si="31"/>
        <v>271.74545454545455</v>
      </c>
      <c r="K444" s="24">
        <f t="shared" si="32"/>
        <v>0.73323966278602959</v>
      </c>
      <c r="L444" t="str">
        <f>VLOOKUP(B444,товар!$A$1:$C$433,3,FALSE)</f>
        <v>Агрокомплекс</v>
      </c>
      <c r="M444">
        <f t="shared" si="33"/>
        <v>311.2</v>
      </c>
      <c r="N444" s="30">
        <f>VLOOKUP(H444,клиенты!$A$1:$G$435,5,FALSE)</f>
        <v>44782</v>
      </c>
      <c r="O444">
        <f t="shared" si="34"/>
        <v>424</v>
      </c>
    </row>
    <row r="445" spans="1:15" x14ac:dyDescent="0.3">
      <c r="A445">
        <v>444</v>
      </c>
      <c r="B445">
        <v>47</v>
      </c>
      <c r="C445">
        <v>315</v>
      </c>
      <c r="D445">
        <v>3</v>
      </c>
      <c r="E445">
        <f t="shared" si="30"/>
        <v>945</v>
      </c>
      <c r="F445" s="30">
        <v>45362</v>
      </c>
      <c r="G445" t="s">
        <v>29</v>
      </c>
      <c r="H445">
        <v>140</v>
      </c>
      <c r="I445" t="str">
        <f>VLOOKUP(B445,товар!$A$1:$C$433,2,FALSE)</f>
        <v>Мясо</v>
      </c>
      <c r="J445" s="23">
        <f t="shared" si="31"/>
        <v>271.74545454545455</v>
      </c>
      <c r="K445" s="24">
        <f t="shared" si="32"/>
        <v>0.15917302288237645</v>
      </c>
      <c r="L445" t="str">
        <f>VLOOKUP(B445,товар!$A$1:$C$433,3,FALSE)</f>
        <v>Снежана</v>
      </c>
      <c r="M445">
        <f t="shared" si="33"/>
        <v>272.35294117647061</v>
      </c>
      <c r="N445" s="30">
        <f>VLOOKUP(H445,клиенты!$A$1:$G$435,5,FALSE)</f>
        <v>44627</v>
      </c>
      <c r="O445">
        <f t="shared" si="34"/>
        <v>735</v>
      </c>
    </row>
    <row r="446" spans="1:15" x14ac:dyDescent="0.3">
      <c r="A446">
        <v>445</v>
      </c>
      <c r="B446">
        <v>346</v>
      </c>
      <c r="C446">
        <v>267</v>
      </c>
      <c r="D446">
        <v>3</v>
      </c>
      <c r="E446">
        <f t="shared" si="30"/>
        <v>801</v>
      </c>
      <c r="F446" s="30">
        <v>45406</v>
      </c>
      <c r="G446" t="s">
        <v>28</v>
      </c>
      <c r="H446">
        <v>385</v>
      </c>
      <c r="I446" t="str">
        <f>VLOOKUP(B446,товар!$A$1:$C$433,2,FALSE)</f>
        <v>Чай</v>
      </c>
      <c r="J446" s="23">
        <f t="shared" si="31"/>
        <v>271.18181818181819</v>
      </c>
      <c r="K446" s="24">
        <f t="shared" si="32"/>
        <v>-1.5420717398592076E-2</v>
      </c>
      <c r="L446" t="str">
        <f>VLOOKUP(B446,товар!$A$1:$C$433,3,FALSE)</f>
        <v>Greenfield</v>
      </c>
      <c r="M446">
        <f t="shared" si="33"/>
        <v>291.45454545454544</v>
      </c>
      <c r="N446" s="30">
        <f>VLOOKUP(H446,клиенты!$A$1:$G$435,5,FALSE)</f>
        <v>44753</v>
      </c>
      <c r="O446">
        <f t="shared" si="34"/>
        <v>653</v>
      </c>
    </row>
    <row r="447" spans="1:15" x14ac:dyDescent="0.3">
      <c r="A447">
        <v>446</v>
      </c>
      <c r="B447">
        <v>47</v>
      </c>
      <c r="C447">
        <v>476</v>
      </c>
      <c r="D447">
        <v>4</v>
      </c>
      <c r="E447">
        <f t="shared" si="30"/>
        <v>1904</v>
      </c>
      <c r="F447" s="30">
        <v>45425</v>
      </c>
      <c r="G447" t="s">
        <v>20</v>
      </c>
      <c r="H447">
        <v>43</v>
      </c>
      <c r="I447" t="str">
        <f>VLOOKUP(B447,товар!$A$1:$C$433,2,FALSE)</f>
        <v>Мясо</v>
      </c>
      <c r="J447" s="23">
        <f t="shared" si="31"/>
        <v>271.74545454545455</v>
      </c>
      <c r="K447" s="24">
        <f t="shared" si="32"/>
        <v>0.75163923457781334</v>
      </c>
      <c r="L447" t="str">
        <f>VLOOKUP(B447,товар!$A$1:$C$433,3,FALSE)</f>
        <v>Снежана</v>
      </c>
      <c r="M447">
        <f t="shared" si="33"/>
        <v>272.35294117647061</v>
      </c>
      <c r="N447" s="30">
        <f>VLOOKUP(H447,клиенты!$A$1:$G$435,5,FALSE)</f>
        <v>44912</v>
      </c>
      <c r="O447">
        <f t="shared" si="34"/>
        <v>513</v>
      </c>
    </row>
    <row r="448" spans="1:15" x14ac:dyDescent="0.3">
      <c r="A448">
        <v>447</v>
      </c>
      <c r="B448">
        <v>290</v>
      </c>
      <c r="C448">
        <v>97</v>
      </c>
      <c r="D448">
        <v>4</v>
      </c>
      <c r="E448">
        <f t="shared" si="30"/>
        <v>388</v>
      </c>
      <c r="F448" s="30">
        <v>45256</v>
      </c>
      <c r="G448" t="s">
        <v>26</v>
      </c>
      <c r="H448">
        <v>326</v>
      </c>
      <c r="I448" t="str">
        <f>VLOOKUP(B448,товар!$A$1:$C$433,2,FALSE)</f>
        <v>Сахар</v>
      </c>
      <c r="J448" s="23">
        <f t="shared" si="31"/>
        <v>252.76271186440678</v>
      </c>
      <c r="K448" s="24">
        <f t="shared" si="32"/>
        <v>-0.6162408636759874</v>
      </c>
      <c r="L448" t="str">
        <f>VLOOKUP(B448,товар!$A$1:$C$433,3,FALSE)</f>
        <v>Продимекс</v>
      </c>
      <c r="M448">
        <f t="shared" si="33"/>
        <v>240.5</v>
      </c>
      <c r="N448" s="30">
        <f>VLOOKUP(H448,клиенты!$A$1:$G$435,5,FALSE)</f>
        <v>44655</v>
      </c>
      <c r="O448">
        <f t="shared" si="34"/>
        <v>601</v>
      </c>
    </row>
    <row r="449" spans="1:15" x14ac:dyDescent="0.3">
      <c r="A449">
        <v>448</v>
      </c>
      <c r="B449">
        <v>484</v>
      </c>
      <c r="C449">
        <v>114</v>
      </c>
      <c r="D449">
        <v>1</v>
      </c>
      <c r="E449">
        <f t="shared" si="30"/>
        <v>114</v>
      </c>
      <c r="F449" s="30">
        <v>45007</v>
      </c>
      <c r="G449" t="s">
        <v>34</v>
      </c>
      <c r="H449">
        <v>402</v>
      </c>
      <c r="I449" t="str">
        <f>VLOOKUP(B449,товар!$A$1:$C$433,2,FALSE)</f>
        <v>Печенье</v>
      </c>
      <c r="J449" s="23">
        <f t="shared" si="31"/>
        <v>283.468085106383</v>
      </c>
      <c r="K449" s="24">
        <f t="shared" si="32"/>
        <v>-0.59783832470164389</v>
      </c>
      <c r="L449" t="str">
        <f>VLOOKUP(B449,товар!$A$1:$C$433,3,FALSE)</f>
        <v>КДВ</v>
      </c>
      <c r="M449">
        <f t="shared" si="33"/>
        <v>323.07692307692309</v>
      </c>
      <c r="N449" s="30">
        <f>VLOOKUP(H449,клиенты!$A$1:$G$435,5,FALSE)</f>
        <v>44742</v>
      </c>
      <c r="O449">
        <f t="shared" si="34"/>
        <v>265</v>
      </c>
    </row>
    <row r="450" spans="1:15" x14ac:dyDescent="0.3">
      <c r="A450">
        <v>449</v>
      </c>
      <c r="B450">
        <v>192</v>
      </c>
      <c r="C450">
        <v>147</v>
      </c>
      <c r="D450">
        <v>1</v>
      </c>
      <c r="E450">
        <f t="shared" ref="E450:E513" si="35">C450*D450</f>
        <v>147</v>
      </c>
      <c r="F450" s="30">
        <v>44935</v>
      </c>
      <c r="G450" t="s">
        <v>22</v>
      </c>
      <c r="H450">
        <v>23</v>
      </c>
      <c r="I450" t="str">
        <f>VLOOKUP(B450,товар!$A$1:$C$433,2,FALSE)</f>
        <v>Мясо</v>
      </c>
      <c r="J450" s="23">
        <f t="shared" ref="J450:J513" si="36">AVERAGEIF($I$2:$I$1001,I450,$C$2:$C$1001)</f>
        <v>271.74545454545455</v>
      </c>
      <c r="K450" s="24">
        <f t="shared" ref="K450:K513" si="37">C450/J450-1</f>
        <v>-0.45905258932155757</v>
      </c>
      <c r="L450" t="str">
        <f>VLOOKUP(B450,товар!$A$1:$C$433,3,FALSE)</f>
        <v>Снежана</v>
      </c>
      <c r="M450">
        <f t="shared" ref="M450:M513" si="38">AVERAGEIFS($C$2:$C$1001,$I$2:$I$1001,I450,$L$2:$L$1001,L450)</f>
        <v>272.35294117647061</v>
      </c>
      <c r="N450" s="30">
        <f>VLOOKUP(H450,клиенты!$A$1:$G$435,5,FALSE)</f>
        <v>44706</v>
      </c>
      <c r="O450">
        <f t="shared" ref="O450:O513" si="39">F450-N450</f>
        <v>229</v>
      </c>
    </row>
    <row r="451" spans="1:15" x14ac:dyDescent="0.3">
      <c r="A451">
        <v>450</v>
      </c>
      <c r="B451">
        <v>187</v>
      </c>
      <c r="C451">
        <v>185</v>
      </c>
      <c r="D451">
        <v>2</v>
      </c>
      <c r="E451">
        <f t="shared" si="35"/>
        <v>370</v>
      </c>
      <c r="F451" s="30">
        <v>45102</v>
      </c>
      <c r="G451" t="s">
        <v>23</v>
      </c>
      <c r="H451">
        <v>468</v>
      </c>
      <c r="I451" t="str">
        <f>VLOOKUP(B451,товар!$A$1:$C$433,2,FALSE)</f>
        <v>Макароны</v>
      </c>
      <c r="J451" s="23">
        <f t="shared" si="36"/>
        <v>265.47674418604652</v>
      </c>
      <c r="K451" s="24">
        <f t="shared" si="37"/>
        <v>-0.30314046690902718</v>
      </c>
      <c r="L451" t="str">
        <f>VLOOKUP(B451,товар!$A$1:$C$433,3,FALSE)</f>
        <v>Паста Зара</v>
      </c>
      <c r="M451">
        <f t="shared" si="38"/>
        <v>276.67567567567568</v>
      </c>
      <c r="N451" s="30">
        <f>VLOOKUP(H451,клиенты!$A$1:$G$435,5,FALSE)</f>
        <v>44619</v>
      </c>
      <c r="O451">
        <f t="shared" si="39"/>
        <v>483</v>
      </c>
    </row>
    <row r="452" spans="1:15" x14ac:dyDescent="0.3">
      <c r="A452">
        <v>451</v>
      </c>
      <c r="B452">
        <v>429</v>
      </c>
      <c r="C452">
        <v>368</v>
      </c>
      <c r="D452">
        <v>2</v>
      </c>
      <c r="E452">
        <f t="shared" si="35"/>
        <v>736</v>
      </c>
      <c r="F452" s="30">
        <v>45008</v>
      </c>
      <c r="G452" t="s">
        <v>21</v>
      </c>
      <c r="H452">
        <v>16</v>
      </c>
      <c r="I452" t="str">
        <f>VLOOKUP(B452,товар!$A$1:$C$433,2,FALSE)</f>
        <v>Крупа</v>
      </c>
      <c r="J452" s="23">
        <f t="shared" si="36"/>
        <v>255.11627906976744</v>
      </c>
      <c r="K452" s="24">
        <f t="shared" si="37"/>
        <v>0.44247948951686422</v>
      </c>
      <c r="L452" t="str">
        <f>VLOOKUP(B452,товар!$A$1:$C$433,3,FALSE)</f>
        <v>Увелка</v>
      </c>
      <c r="M452">
        <f t="shared" si="38"/>
        <v>251.91666666666666</v>
      </c>
      <c r="N452" s="30">
        <f>VLOOKUP(H452,клиенты!$A$1:$G$435,5,FALSE)</f>
        <v>44713</v>
      </c>
      <c r="O452">
        <f t="shared" si="39"/>
        <v>295</v>
      </c>
    </row>
    <row r="453" spans="1:15" x14ac:dyDescent="0.3">
      <c r="A453">
        <v>452</v>
      </c>
      <c r="B453">
        <v>93</v>
      </c>
      <c r="C453">
        <v>387</v>
      </c>
      <c r="D453">
        <v>2</v>
      </c>
      <c r="E453">
        <f t="shared" si="35"/>
        <v>774</v>
      </c>
      <c r="F453" s="30">
        <v>45219</v>
      </c>
      <c r="G453" t="s">
        <v>23</v>
      </c>
      <c r="H453">
        <v>156</v>
      </c>
      <c r="I453" t="str">
        <f>VLOOKUP(B453,товар!$A$1:$C$433,2,FALSE)</f>
        <v>Чай</v>
      </c>
      <c r="J453" s="23">
        <f t="shared" si="36"/>
        <v>271.18181818181819</v>
      </c>
      <c r="K453" s="24">
        <f t="shared" si="37"/>
        <v>0.42708682534361375</v>
      </c>
      <c r="L453" t="str">
        <f>VLOOKUP(B453,товар!$A$1:$C$433,3,FALSE)</f>
        <v>Greenfield</v>
      </c>
      <c r="M453">
        <f t="shared" si="38"/>
        <v>291.45454545454544</v>
      </c>
      <c r="N453" s="30">
        <f>VLOOKUP(H453,клиенты!$A$1:$G$435,5,FALSE)</f>
        <v>44905</v>
      </c>
      <c r="O453">
        <f t="shared" si="39"/>
        <v>314</v>
      </c>
    </row>
    <row r="454" spans="1:15" x14ac:dyDescent="0.3">
      <c r="A454">
        <v>453</v>
      </c>
      <c r="B454">
        <v>57</v>
      </c>
      <c r="C454">
        <v>174</v>
      </c>
      <c r="D454">
        <v>2</v>
      </c>
      <c r="E454">
        <f t="shared" si="35"/>
        <v>348</v>
      </c>
      <c r="F454" s="30">
        <v>44973</v>
      </c>
      <c r="G454" t="s">
        <v>22</v>
      </c>
      <c r="H454">
        <v>141</v>
      </c>
      <c r="I454" t="str">
        <f>VLOOKUP(B454,товар!$A$1:$C$433,2,FALSE)</f>
        <v>Печенье</v>
      </c>
      <c r="J454" s="23">
        <f t="shared" si="36"/>
        <v>283.468085106383</v>
      </c>
      <c r="K454" s="24">
        <f t="shared" si="37"/>
        <v>-0.38617428507092999</v>
      </c>
      <c r="L454" t="str">
        <f>VLOOKUP(B454,товар!$A$1:$C$433,3,FALSE)</f>
        <v>Юбилейное</v>
      </c>
      <c r="M454">
        <f t="shared" si="38"/>
        <v>232.44444444444446</v>
      </c>
      <c r="N454" s="30">
        <f>VLOOKUP(H454,клиенты!$A$1:$G$435,5,FALSE)</f>
        <v>44743</v>
      </c>
      <c r="O454">
        <f t="shared" si="39"/>
        <v>230</v>
      </c>
    </row>
    <row r="455" spans="1:15" x14ac:dyDescent="0.3">
      <c r="A455">
        <v>454</v>
      </c>
      <c r="B455">
        <v>198</v>
      </c>
      <c r="C455">
        <v>438</v>
      </c>
      <c r="D455">
        <v>4</v>
      </c>
      <c r="E455">
        <f t="shared" si="35"/>
        <v>1752</v>
      </c>
      <c r="F455" s="30">
        <v>45312</v>
      </c>
      <c r="G455" t="s">
        <v>30</v>
      </c>
      <c r="H455">
        <v>385</v>
      </c>
      <c r="I455" t="str">
        <f>VLOOKUP(B455,товар!$A$1:$C$433,2,FALSE)</f>
        <v>Мясо</v>
      </c>
      <c r="J455" s="23">
        <f t="shared" si="36"/>
        <v>271.74545454545455</v>
      </c>
      <c r="K455" s="24">
        <f t="shared" si="37"/>
        <v>0.61180248896025691</v>
      </c>
      <c r="L455" t="str">
        <f>VLOOKUP(B455,товар!$A$1:$C$433,3,FALSE)</f>
        <v>Мираторг</v>
      </c>
      <c r="M455">
        <f t="shared" si="38"/>
        <v>316.58333333333331</v>
      </c>
      <c r="N455" s="30">
        <f>VLOOKUP(H455,клиенты!$A$1:$G$435,5,FALSE)</f>
        <v>44753</v>
      </c>
      <c r="O455">
        <f t="shared" si="39"/>
        <v>559</v>
      </c>
    </row>
    <row r="456" spans="1:15" x14ac:dyDescent="0.3">
      <c r="A456">
        <v>455</v>
      </c>
      <c r="B456">
        <v>202</v>
      </c>
      <c r="C456">
        <v>308</v>
      </c>
      <c r="D456">
        <v>2</v>
      </c>
      <c r="E456">
        <f t="shared" si="35"/>
        <v>616</v>
      </c>
      <c r="F456" s="30">
        <v>45410</v>
      </c>
      <c r="G456" t="s">
        <v>27</v>
      </c>
      <c r="H456">
        <v>182</v>
      </c>
      <c r="I456" t="str">
        <f>VLOOKUP(B456,товар!$A$1:$C$433,2,FALSE)</f>
        <v>Овощи</v>
      </c>
      <c r="J456" s="23">
        <f t="shared" si="36"/>
        <v>250.48780487804879</v>
      </c>
      <c r="K456" s="24">
        <f t="shared" si="37"/>
        <v>0.22960077896786757</v>
      </c>
      <c r="L456" t="str">
        <f>VLOOKUP(B456,товар!$A$1:$C$433,3,FALSE)</f>
        <v>Овощной ряд</v>
      </c>
      <c r="M456">
        <f t="shared" si="38"/>
        <v>303.8235294117647</v>
      </c>
      <c r="N456" s="30">
        <f>VLOOKUP(H456,клиенты!$A$1:$G$435,5,FALSE)</f>
        <v>44856</v>
      </c>
      <c r="O456">
        <f t="shared" si="39"/>
        <v>554</v>
      </c>
    </row>
    <row r="457" spans="1:15" x14ac:dyDescent="0.3">
      <c r="A457">
        <v>456</v>
      </c>
      <c r="B457">
        <v>427</v>
      </c>
      <c r="C457">
        <v>240</v>
      </c>
      <c r="D457">
        <v>1</v>
      </c>
      <c r="E457">
        <f t="shared" si="35"/>
        <v>240</v>
      </c>
      <c r="F457" s="30">
        <v>45420</v>
      </c>
      <c r="G457" t="s">
        <v>17</v>
      </c>
      <c r="H457">
        <v>225</v>
      </c>
      <c r="I457" t="str">
        <f>VLOOKUP(B457,товар!$A$1:$C$433,2,FALSE)</f>
        <v>Хлеб</v>
      </c>
      <c r="J457" s="23">
        <f t="shared" si="36"/>
        <v>300.31818181818181</v>
      </c>
      <c r="K457" s="24">
        <f t="shared" si="37"/>
        <v>-0.20084758589374907</v>
      </c>
      <c r="L457" t="str">
        <f>VLOOKUP(B457,товар!$A$1:$C$433,3,FALSE)</f>
        <v>Русский Хлеб</v>
      </c>
      <c r="M457">
        <f t="shared" si="38"/>
        <v>316.60000000000002</v>
      </c>
      <c r="N457" s="30">
        <f>VLOOKUP(H457,клиенты!$A$1:$G$435,5,FALSE)</f>
        <v>44827</v>
      </c>
      <c r="O457">
        <f t="shared" si="39"/>
        <v>593</v>
      </c>
    </row>
    <row r="458" spans="1:15" x14ac:dyDescent="0.3">
      <c r="A458">
        <v>457</v>
      </c>
      <c r="B458">
        <v>272</v>
      </c>
      <c r="C458">
        <v>67</v>
      </c>
      <c r="D458">
        <v>3</v>
      </c>
      <c r="E458">
        <f t="shared" si="35"/>
        <v>201</v>
      </c>
      <c r="F458" s="30">
        <v>45366</v>
      </c>
      <c r="G458" t="s">
        <v>20</v>
      </c>
      <c r="H458">
        <v>151</v>
      </c>
      <c r="I458" t="str">
        <f>VLOOKUP(B458,товар!$A$1:$C$433,2,FALSE)</f>
        <v>Крупа</v>
      </c>
      <c r="J458" s="23">
        <f t="shared" si="36"/>
        <v>255.11627906976744</v>
      </c>
      <c r="K458" s="24">
        <f t="shared" si="37"/>
        <v>-0.73737465815861447</v>
      </c>
      <c r="L458" t="str">
        <f>VLOOKUP(B458,товар!$A$1:$C$433,3,FALSE)</f>
        <v>Ярмарка</v>
      </c>
      <c r="M458">
        <f t="shared" si="38"/>
        <v>252.09090909090909</v>
      </c>
      <c r="N458" s="30">
        <f>VLOOKUP(H458,клиенты!$A$1:$G$435,5,FALSE)</f>
        <v>44923</v>
      </c>
      <c r="O458">
        <f t="shared" si="39"/>
        <v>443</v>
      </c>
    </row>
    <row r="459" spans="1:15" x14ac:dyDescent="0.3">
      <c r="A459">
        <v>458</v>
      </c>
      <c r="B459">
        <v>473</v>
      </c>
      <c r="C459">
        <v>474</v>
      </c>
      <c r="D459">
        <v>2</v>
      </c>
      <c r="E459">
        <f t="shared" si="35"/>
        <v>948</v>
      </c>
      <c r="F459" s="30">
        <v>44976</v>
      </c>
      <c r="G459" t="s">
        <v>19</v>
      </c>
      <c r="H459">
        <v>428</v>
      </c>
      <c r="I459" t="str">
        <f>VLOOKUP(B459,товар!$A$1:$C$433,2,FALSE)</f>
        <v>Хлеб</v>
      </c>
      <c r="J459" s="23">
        <f t="shared" si="36"/>
        <v>300.31818181818181</v>
      </c>
      <c r="K459" s="24">
        <f t="shared" si="37"/>
        <v>0.57832601785984572</v>
      </c>
      <c r="L459" t="str">
        <f>VLOOKUP(B459,товар!$A$1:$C$433,3,FALSE)</f>
        <v>Хлебный Дом</v>
      </c>
      <c r="M459">
        <f t="shared" si="38"/>
        <v>281.73333333333335</v>
      </c>
      <c r="N459" s="30">
        <f>VLOOKUP(H459,клиенты!$A$1:$G$435,5,FALSE)</f>
        <v>44848</v>
      </c>
      <c r="O459">
        <f t="shared" si="39"/>
        <v>128</v>
      </c>
    </row>
    <row r="460" spans="1:15" x14ac:dyDescent="0.3">
      <c r="A460">
        <v>459</v>
      </c>
      <c r="B460">
        <v>189</v>
      </c>
      <c r="C460">
        <v>275</v>
      </c>
      <c r="D460">
        <v>4</v>
      </c>
      <c r="E460">
        <f t="shared" si="35"/>
        <v>1100</v>
      </c>
      <c r="F460" s="30">
        <v>45176</v>
      </c>
      <c r="G460" t="s">
        <v>29</v>
      </c>
      <c r="H460">
        <v>438</v>
      </c>
      <c r="I460" t="str">
        <f>VLOOKUP(B460,товар!$A$1:$C$433,2,FALSE)</f>
        <v>Хлеб</v>
      </c>
      <c r="J460" s="23">
        <f t="shared" si="36"/>
        <v>300.31818181818181</v>
      </c>
      <c r="K460" s="24">
        <f t="shared" si="37"/>
        <v>-8.4304525503254069E-2</v>
      </c>
      <c r="L460" t="str">
        <f>VLOOKUP(B460,товар!$A$1:$C$433,3,FALSE)</f>
        <v>Дарница</v>
      </c>
      <c r="M460">
        <f t="shared" si="38"/>
        <v>264</v>
      </c>
      <c r="N460" s="30">
        <f>VLOOKUP(H460,клиенты!$A$1:$G$435,5,FALSE)</f>
        <v>44693</v>
      </c>
      <c r="O460">
        <f t="shared" si="39"/>
        <v>483</v>
      </c>
    </row>
    <row r="461" spans="1:15" x14ac:dyDescent="0.3">
      <c r="A461">
        <v>460</v>
      </c>
      <c r="B461">
        <v>362</v>
      </c>
      <c r="C461">
        <v>358</v>
      </c>
      <c r="D461">
        <v>4</v>
      </c>
      <c r="E461">
        <f t="shared" si="35"/>
        <v>1432</v>
      </c>
      <c r="F461" s="30">
        <v>44972</v>
      </c>
      <c r="G461" t="s">
        <v>18</v>
      </c>
      <c r="H461">
        <v>465</v>
      </c>
      <c r="I461" t="str">
        <f>VLOOKUP(B461,товар!$A$1:$C$433,2,FALSE)</f>
        <v>Хлеб</v>
      </c>
      <c r="J461" s="23">
        <f t="shared" si="36"/>
        <v>300.31818181818181</v>
      </c>
      <c r="K461" s="24">
        <f t="shared" si="37"/>
        <v>0.19206901770849094</v>
      </c>
      <c r="L461" t="str">
        <f>VLOOKUP(B461,товар!$A$1:$C$433,3,FALSE)</f>
        <v>Русский Хлеб</v>
      </c>
      <c r="M461">
        <f t="shared" si="38"/>
        <v>316.60000000000002</v>
      </c>
      <c r="N461" s="30">
        <f>VLOOKUP(H461,клиенты!$A$1:$G$435,5,FALSE)</f>
        <v>44671</v>
      </c>
      <c r="O461">
        <f t="shared" si="39"/>
        <v>301</v>
      </c>
    </row>
    <row r="462" spans="1:15" x14ac:dyDescent="0.3">
      <c r="A462">
        <v>461</v>
      </c>
      <c r="B462">
        <v>345</v>
      </c>
      <c r="C462">
        <v>455</v>
      </c>
      <c r="D462">
        <v>5</v>
      </c>
      <c r="E462">
        <f t="shared" si="35"/>
        <v>2275</v>
      </c>
      <c r="F462" s="30">
        <v>45213</v>
      </c>
      <c r="G462" t="s">
        <v>18</v>
      </c>
      <c r="H462">
        <v>215</v>
      </c>
      <c r="I462" t="str">
        <f>VLOOKUP(B462,товар!$A$1:$C$433,2,FALSE)</f>
        <v>Конфеты</v>
      </c>
      <c r="J462" s="23">
        <f t="shared" si="36"/>
        <v>267.85483870967744</v>
      </c>
      <c r="K462" s="24">
        <f t="shared" si="37"/>
        <v>0.69868127897874377</v>
      </c>
      <c r="L462" t="str">
        <f>VLOOKUP(B462,товар!$A$1:$C$433,3,FALSE)</f>
        <v>Рот Фронт</v>
      </c>
      <c r="M462">
        <f t="shared" si="38"/>
        <v>288.23809523809524</v>
      </c>
      <c r="N462" s="30">
        <f>VLOOKUP(H462,клиенты!$A$1:$G$435,5,FALSE)</f>
        <v>44799</v>
      </c>
      <c r="O462">
        <f t="shared" si="39"/>
        <v>414</v>
      </c>
    </row>
    <row r="463" spans="1:15" x14ac:dyDescent="0.3">
      <c r="A463">
        <v>462</v>
      </c>
      <c r="B463">
        <v>461</v>
      </c>
      <c r="C463">
        <v>443</v>
      </c>
      <c r="D463">
        <v>3</v>
      </c>
      <c r="E463">
        <f t="shared" si="35"/>
        <v>1329</v>
      </c>
      <c r="F463" s="30">
        <v>45076</v>
      </c>
      <c r="G463" t="s">
        <v>34</v>
      </c>
      <c r="H463">
        <v>314</v>
      </c>
      <c r="I463" t="str">
        <f>VLOOKUP(B463,товар!$A$1:$C$433,2,FALSE)</f>
        <v>Фрукты</v>
      </c>
      <c r="J463" s="23">
        <f t="shared" si="36"/>
        <v>274.16279069767444</v>
      </c>
      <c r="K463" s="24">
        <f t="shared" si="37"/>
        <v>0.61582831453049436</v>
      </c>
      <c r="L463" t="str">
        <f>VLOOKUP(B463,товар!$A$1:$C$433,3,FALSE)</f>
        <v>Green Garden</v>
      </c>
      <c r="M463">
        <f t="shared" si="38"/>
        <v>369.2</v>
      </c>
      <c r="N463" s="30">
        <f>VLOOKUP(H463,клиенты!$A$1:$G$435,5,FALSE)</f>
        <v>44899</v>
      </c>
      <c r="O463">
        <f t="shared" si="39"/>
        <v>177</v>
      </c>
    </row>
    <row r="464" spans="1:15" x14ac:dyDescent="0.3">
      <c r="A464">
        <v>463</v>
      </c>
      <c r="B464">
        <v>401</v>
      </c>
      <c r="C464">
        <v>464</v>
      </c>
      <c r="D464">
        <v>2</v>
      </c>
      <c r="E464">
        <f t="shared" si="35"/>
        <v>928</v>
      </c>
      <c r="F464" s="30">
        <v>45126</v>
      </c>
      <c r="G464" t="s">
        <v>20</v>
      </c>
      <c r="H464">
        <v>15</v>
      </c>
      <c r="I464" t="str">
        <f>VLOOKUP(B464,товар!$A$1:$C$433,2,FALSE)</f>
        <v>Чай</v>
      </c>
      <c r="J464" s="23">
        <f t="shared" si="36"/>
        <v>271.18181818181819</v>
      </c>
      <c r="K464" s="24">
        <f t="shared" si="37"/>
        <v>0.7110291652698626</v>
      </c>
      <c r="L464" t="str">
        <f>VLOOKUP(B464,товар!$A$1:$C$433,3,FALSE)</f>
        <v>Greenfield</v>
      </c>
      <c r="M464">
        <f t="shared" si="38"/>
        <v>291.45454545454544</v>
      </c>
      <c r="N464" s="30">
        <f>VLOOKUP(H464,клиенты!$A$1:$G$435,5,FALSE)</f>
        <v>44711</v>
      </c>
      <c r="O464">
        <f t="shared" si="39"/>
        <v>415</v>
      </c>
    </row>
    <row r="465" spans="1:15" x14ac:dyDescent="0.3">
      <c r="A465">
        <v>464</v>
      </c>
      <c r="B465">
        <v>427</v>
      </c>
      <c r="C465">
        <v>307</v>
      </c>
      <c r="D465">
        <v>5</v>
      </c>
      <c r="E465">
        <f t="shared" si="35"/>
        <v>1535</v>
      </c>
      <c r="F465" s="30">
        <v>45102</v>
      </c>
      <c r="G465" t="s">
        <v>31</v>
      </c>
      <c r="H465">
        <v>191</v>
      </c>
      <c r="I465" t="str">
        <f>VLOOKUP(B465,товар!$A$1:$C$433,2,FALSE)</f>
        <v>Хлеб</v>
      </c>
      <c r="J465" s="23">
        <f t="shared" si="36"/>
        <v>300.31818181818181</v>
      </c>
      <c r="K465" s="24">
        <f t="shared" si="37"/>
        <v>2.2249129710912641E-2</v>
      </c>
      <c r="L465" t="str">
        <f>VLOOKUP(B465,товар!$A$1:$C$433,3,FALSE)</f>
        <v>Русский Хлеб</v>
      </c>
      <c r="M465">
        <f t="shared" si="38"/>
        <v>316.60000000000002</v>
      </c>
      <c r="N465" s="30">
        <f>VLOOKUP(H465,клиенты!$A$1:$G$435,5,FALSE)</f>
        <v>44866</v>
      </c>
      <c r="O465">
        <f t="shared" si="39"/>
        <v>236</v>
      </c>
    </row>
    <row r="466" spans="1:15" x14ac:dyDescent="0.3">
      <c r="A466">
        <v>465</v>
      </c>
      <c r="B466">
        <v>129</v>
      </c>
      <c r="C466">
        <v>121</v>
      </c>
      <c r="D466">
        <v>5</v>
      </c>
      <c r="E466">
        <f t="shared" si="35"/>
        <v>605</v>
      </c>
      <c r="F466" s="30">
        <v>45156</v>
      </c>
      <c r="G466" t="s">
        <v>31</v>
      </c>
      <c r="H466">
        <v>277</v>
      </c>
      <c r="I466" t="str">
        <f>VLOOKUP(B466,товар!$A$1:$C$433,2,FALSE)</f>
        <v>Мясо</v>
      </c>
      <c r="J466" s="23">
        <f t="shared" si="36"/>
        <v>271.74545454545455</v>
      </c>
      <c r="K466" s="24">
        <f t="shared" si="37"/>
        <v>-0.55473036263883313</v>
      </c>
      <c r="L466" t="str">
        <f>VLOOKUP(B466,товар!$A$1:$C$433,3,FALSE)</f>
        <v>Агрокомплекс</v>
      </c>
      <c r="M466">
        <f t="shared" si="38"/>
        <v>311.2</v>
      </c>
      <c r="N466" s="30">
        <f>VLOOKUP(H466,клиенты!$A$1:$G$435,5,FALSE)</f>
        <v>44750</v>
      </c>
      <c r="O466">
        <f t="shared" si="39"/>
        <v>406</v>
      </c>
    </row>
    <row r="467" spans="1:15" x14ac:dyDescent="0.3">
      <c r="A467">
        <v>466</v>
      </c>
      <c r="B467">
        <v>84</v>
      </c>
      <c r="C467">
        <v>265</v>
      </c>
      <c r="D467">
        <v>2</v>
      </c>
      <c r="E467">
        <f t="shared" si="35"/>
        <v>530</v>
      </c>
      <c r="F467" s="30">
        <v>45067</v>
      </c>
      <c r="G467" t="s">
        <v>15</v>
      </c>
      <c r="H467">
        <v>101</v>
      </c>
      <c r="I467" t="str">
        <f>VLOOKUP(B467,товар!$A$1:$C$433,2,FALSE)</f>
        <v>Кофе</v>
      </c>
      <c r="J467" s="23">
        <f t="shared" si="36"/>
        <v>249.02380952380952</v>
      </c>
      <c r="K467" s="24">
        <f t="shared" si="37"/>
        <v>6.4155272970647381E-2</v>
      </c>
      <c r="L467" t="str">
        <f>VLOOKUP(B467,товар!$A$1:$C$433,3,FALSE)</f>
        <v>Tchibo</v>
      </c>
      <c r="M467">
        <f t="shared" si="38"/>
        <v>140</v>
      </c>
      <c r="N467" s="30">
        <f>VLOOKUP(H467,клиенты!$A$1:$G$435,5,FALSE)</f>
        <v>44727</v>
      </c>
      <c r="O467">
        <f t="shared" si="39"/>
        <v>340</v>
      </c>
    </row>
    <row r="468" spans="1:15" x14ac:dyDescent="0.3">
      <c r="A468">
        <v>467</v>
      </c>
      <c r="B468">
        <v>172</v>
      </c>
      <c r="C468">
        <v>451</v>
      </c>
      <c r="D468">
        <v>2</v>
      </c>
      <c r="E468">
        <f t="shared" si="35"/>
        <v>902</v>
      </c>
      <c r="F468" s="30">
        <v>45217</v>
      </c>
      <c r="G468" t="s">
        <v>33</v>
      </c>
      <c r="H468">
        <v>141</v>
      </c>
      <c r="I468" t="str">
        <f>VLOOKUP(B468,товар!$A$1:$C$433,2,FALSE)</f>
        <v>Фрукты</v>
      </c>
      <c r="J468" s="23">
        <f t="shared" si="36"/>
        <v>274.16279069767444</v>
      </c>
      <c r="K468" s="24">
        <f t="shared" si="37"/>
        <v>0.64500805835948749</v>
      </c>
      <c r="L468" t="str">
        <f>VLOOKUP(B468,товар!$A$1:$C$433,3,FALSE)</f>
        <v>Green Garden</v>
      </c>
      <c r="M468">
        <f t="shared" si="38"/>
        <v>369.2</v>
      </c>
      <c r="N468" s="30">
        <f>VLOOKUP(H468,клиенты!$A$1:$G$435,5,FALSE)</f>
        <v>44743</v>
      </c>
      <c r="O468">
        <f t="shared" si="39"/>
        <v>474</v>
      </c>
    </row>
    <row r="469" spans="1:15" x14ac:dyDescent="0.3">
      <c r="A469">
        <v>468</v>
      </c>
      <c r="B469">
        <v>348</v>
      </c>
      <c r="C469">
        <v>212</v>
      </c>
      <c r="D469">
        <v>5</v>
      </c>
      <c r="E469">
        <f t="shared" si="35"/>
        <v>1060</v>
      </c>
      <c r="F469" s="30">
        <v>45231</v>
      </c>
      <c r="G469" t="s">
        <v>18</v>
      </c>
      <c r="H469">
        <v>126</v>
      </c>
      <c r="I469" t="str">
        <f>VLOOKUP(B469,товар!$A$1:$C$433,2,FALSE)</f>
        <v>Чипсы</v>
      </c>
      <c r="J469" s="23">
        <f t="shared" si="36"/>
        <v>273.72549019607845</v>
      </c>
      <c r="K469" s="24">
        <f t="shared" si="37"/>
        <v>-0.22550143266475653</v>
      </c>
      <c r="L469" t="str">
        <f>VLOOKUP(B469,товар!$A$1:$C$433,3,FALSE)</f>
        <v>Estrella</v>
      </c>
      <c r="M469">
        <f t="shared" si="38"/>
        <v>266.27272727272725</v>
      </c>
      <c r="N469" s="30">
        <f>VLOOKUP(H469,клиенты!$A$1:$G$435,5,FALSE)</f>
        <v>44822</v>
      </c>
      <c r="O469">
        <f t="shared" si="39"/>
        <v>409</v>
      </c>
    </row>
    <row r="470" spans="1:15" x14ac:dyDescent="0.3">
      <c r="A470">
        <v>469</v>
      </c>
      <c r="B470">
        <v>171</v>
      </c>
      <c r="C470">
        <v>336</v>
      </c>
      <c r="D470">
        <v>4</v>
      </c>
      <c r="E470">
        <f t="shared" si="35"/>
        <v>1344</v>
      </c>
      <c r="F470" s="30">
        <v>45021</v>
      </c>
      <c r="G470" t="s">
        <v>22</v>
      </c>
      <c r="H470">
        <v>148</v>
      </c>
      <c r="I470" t="str">
        <f>VLOOKUP(B470,товар!$A$1:$C$433,2,FALSE)</f>
        <v>Чай</v>
      </c>
      <c r="J470" s="23">
        <f t="shared" si="36"/>
        <v>271.18181818181819</v>
      </c>
      <c r="K470" s="24">
        <f t="shared" si="37"/>
        <v>0.23902111967817641</v>
      </c>
      <c r="L470" t="str">
        <f>VLOOKUP(B470,товар!$A$1:$C$433,3,FALSE)</f>
        <v>Greenfield</v>
      </c>
      <c r="M470">
        <f t="shared" si="38"/>
        <v>291.45454545454544</v>
      </c>
      <c r="N470" s="30">
        <f>VLOOKUP(H470,клиенты!$A$1:$G$435,5,FALSE)</f>
        <v>44700</v>
      </c>
      <c r="O470">
        <f t="shared" si="39"/>
        <v>321</v>
      </c>
    </row>
    <row r="471" spans="1:15" x14ac:dyDescent="0.3">
      <c r="A471">
        <v>470</v>
      </c>
      <c r="B471">
        <v>70</v>
      </c>
      <c r="C471">
        <v>407</v>
      </c>
      <c r="D471">
        <v>2</v>
      </c>
      <c r="E471">
        <f t="shared" si="35"/>
        <v>814</v>
      </c>
      <c r="F471" s="30">
        <v>45197</v>
      </c>
      <c r="G471" t="s">
        <v>21</v>
      </c>
      <c r="H471">
        <v>334</v>
      </c>
      <c r="I471" t="str">
        <f>VLOOKUP(B471,товар!$A$1:$C$433,2,FALSE)</f>
        <v>Рис</v>
      </c>
      <c r="J471" s="23">
        <f t="shared" si="36"/>
        <v>258.375</v>
      </c>
      <c r="K471" s="24">
        <f t="shared" si="37"/>
        <v>0.57522980164489601</v>
      </c>
      <c r="L471" t="str">
        <f>VLOOKUP(B471,товар!$A$1:$C$433,3,FALSE)</f>
        <v>Мистраль</v>
      </c>
      <c r="M471">
        <f t="shared" si="38"/>
        <v>181.57142857142858</v>
      </c>
      <c r="N471" s="30">
        <f>VLOOKUP(H471,клиенты!$A$1:$G$435,5,FALSE)</f>
        <v>44881</v>
      </c>
      <c r="O471">
        <f t="shared" si="39"/>
        <v>316</v>
      </c>
    </row>
    <row r="472" spans="1:15" x14ac:dyDescent="0.3">
      <c r="A472">
        <v>471</v>
      </c>
      <c r="B472">
        <v>476</v>
      </c>
      <c r="C472">
        <v>109</v>
      </c>
      <c r="D472">
        <v>4</v>
      </c>
      <c r="E472">
        <f t="shared" si="35"/>
        <v>436</v>
      </c>
      <c r="F472" s="30">
        <v>45087</v>
      </c>
      <c r="G472" t="s">
        <v>21</v>
      </c>
      <c r="H472">
        <v>335</v>
      </c>
      <c r="I472" t="str">
        <f>VLOOKUP(B472,товар!$A$1:$C$433,2,FALSE)</f>
        <v>Рыба</v>
      </c>
      <c r="J472" s="23">
        <f t="shared" si="36"/>
        <v>258.5128205128205</v>
      </c>
      <c r="K472" s="24">
        <f t="shared" si="37"/>
        <v>-0.5783574687561992</v>
      </c>
      <c r="L472" t="str">
        <f>VLOOKUP(B472,товар!$A$1:$C$433,3,FALSE)</f>
        <v>Балтийский берег</v>
      </c>
      <c r="M472">
        <f t="shared" si="38"/>
        <v>289.88888888888891</v>
      </c>
      <c r="N472" s="30">
        <f>VLOOKUP(H472,клиенты!$A$1:$G$435,5,FALSE)</f>
        <v>44619</v>
      </c>
      <c r="O472">
        <f t="shared" si="39"/>
        <v>468</v>
      </c>
    </row>
    <row r="473" spans="1:15" x14ac:dyDescent="0.3">
      <c r="A473">
        <v>472</v>
      </c>
      <c r="B473">
        <v>49</v>
      </c>
      <c r="C473">
        <v>412</v>
      </c>
      <c r="D473">
        <v>3</v>
      </c>
      <c r="E473">
        <f t="shared" si="35"/>
        <v>1236</v>
      </c>
      <c r="F473" s="30">
        <v>45165</v>
      </c>
      <c r="G473" t="s">
        <v>23</v>
      </c>
      <c r="H473">
        <v>370</v>
      </c>
      <c r="I473" t="str">
        <f>VLOOKUP(B473,товар!$A$1:$C$433,2,FALSE)</f>
        <v>Рис</v>
      </c>
      <c r="J473" s="23">
        <f t="shared" si="36"/>
        <v>258.375</v>
      </c>
      <c r="K473" s="24">
        <f t="shared" si="37"/>
        <v>0.59458151910982093</v>
      </c>
      <c r="L473" t="str">
        <f>VLOOKUP(B473,товар!$A$1:$C$433,3,FALSE)</f>
        <v>Агро-Альянс</v>
      </c>
      <c r="M473">
        <f t="shared" si="38"/>
        <v>317.85714285714283</v>
      </c>
      <c r="N473" s="30">
        <f>VLOOKUP(H473,клиенты!$A$1:$G$435,5,FALSE)</f>
        <v>44726</v>
      </c>
      <c r="O473">
        <f t="shared" si="39"/>
        <v>439</v>
      </c>
    </row>
    <row r="474" spans="1:15" x14ac:dyDescent="0.3">
      <c r="A474">
        <v>473</v>
      </c>
      <c r="B474">
        <v>7</v>
      </c>
      <c r="C474">
        <v>254</v>
      </c>
      <c r="D474">
        <v>2</v>
      </c>
      <c r="E474">
        <f t="shared" si="35"/>
        <v>508</v>
      </c>
      <c r="F474" s="30">
        <v>45271</v>
      </c>
      <c r="G474" t="s">
        <v>20</v>
      </c>
      <c r="H474">
        <v>76</v>
      </c>
      <c r="I474" t="str">
        <f>VLOOKUP(B474,товар!$A$1:$C$433,2,FALSE)</f>
        <v>Сыр</v>
      </c>
      <c r="J474" s="23">
        <f t="shared" si="36"/>
        <v>262.63492063492066</v>
      </c>
      <c r="K474" s="24">
        <f t="shared" si="37"/>
        <v>-3.2878036987791681E-2</v>
      </c>
      <c r="L474" t="str">
        <f>VLOOKUP(B474,товар!$A$1:$C$433,3,FALSE)</f>
        <v>President</v>
      </c>
      <c r="M474">
        <f t="shared" si="38"/>
        <v>238.72222222222223</v>
      </c>
      <c r="N474" s="30">
        <f>VLOOKUP(H474,клиенты!$A$1:$G$435,5,FALSE)</f>
        <v>44575</v>
      </c>
      <c r="O474">
        <f t="shared" si="39"/>
        <v>696</v>
      </c>
    </row>
    <row r="475" spans="1:15" x14ac:dyDescent="0.3">
      <c r="A475">
        <v>474</v>
      </c>
      <c r="B475">
        <v>180</v>
      </c>
      <c r="C475">
        <v>338</v>
      </c>
      <c r="D475">
        <v>3</v>
      </c>
      <c r="E475">
        <f t="shared" si="35"/>
        <v>1014</v>
      </c>
      <c r="F475" s="30">
        <v>45158</v>
      </c>
      <c r="G475" t="s">
        <v>27</v>
      </c>
      <c r="H475">
        <v>25</v>
      </c>
      <c r="I475" t="str">
        <f>VLOOKUP(B475,товар!$A$1:$C$433,2,FALSE)</f>
        <v>Чипсы</v>
      </c>
      <c r="J475" s="23">
        <f t="shared" si="36"/>
        <v>273.72549019607845</v>
      </c>
      <c r="K475" s="24">
        <f t="shared" si="37"/>
        <v>0.2348137535816619</v>
      </c>
      <c r="L475" t="str">
        <f>VLOOKUP(B475,товар!$A$1:$C$433,3,FALSE)</f>
        <v>Русская картошка</v>
      </c>
      <c r="M475">
        <f t="shared" si="38"/>
        <v>241.83333333333334</v>
      </c>
      <c r="N475" s="30">
        <f>VLOOKUP(H475,клиенты!$A$1:$G$435,5,FALSE)</f>
        <v>44582</v>
      </c>
      <c r="O475">
        <f t="shared" si="39"/>
        <v>576</v>
      </c>
    </row>
    <row r="476" spans="1:15" x14ac:dyDescent="0.3">
      <c r="A476">
        <v>475</v>
      </c>
      <c r="B476">
        <v>194</v>
      </c>
      <c r="C476">
        <v>268</v>
      </c>
      <c r="D476">
        <v>5</v>
      </c>
      <c r="E476">
        <f t="shared" si="35"/>
        <v>1340</v>
      </c>
      <c r="F476" s="30">
        <v>45408</v>
      </c>
      <c r="G476" t="s">
        <v>31</v>
      </c>
      <c r="H476">
        <v>80</v>
      </c>
      <c r="I476" t="str">
        <f>VLOOKUP(B476,товар!$A$1:$C$433,2,FALSE)</f>
        <v>Соль</v>
      </c>
      <c r="J476" s="23">
        <f t="shared" si="36"/>
        <v>264.8679245283019</v>
      </c>
      <c r="K476" s="24">
        <f t="shared" si="37"/>
        <v>1.1825046302892162E-2</v>
      </c>
      <c r="L476" t="str">
        <f>VLOOKUP(B476,товар!$A$1:$C$433,3,FALSE)</f>
        <v>Салта</v>
      </c>
      <c r="M476">
        <f t="shared" si="38"/>
        <v>273.7</v>
      </c>
      <c r="N476" s="30">
        <f>VLOOKUP(H476,клиенты!$A$1:$G$435,5,FALSE)</f>
        <v>44623</v>
      </c>
      <c r="O476">
        <f t="shared" si="39"/>
        <v>785</v>
      </c>
    </row>
    <row r="477" spans="1:15" x14ac:dyDescent="0.3">
      <c r="A477">
        <v>476</v>
      </c>
      <c r="B477">
        <v>312</v>
      </c>
      <c r="C477">
        <v>223</v>
      </c>
      <c r="D477">
        <v>2</v>
      </c>
      <c r="E477">
        <f t="shared" si="35"/>
        <v>446</v>
      </c>
      <c r="F477" s="30">
        <v>44991</v>
      </c>
      <c r="G477" t="s">
        <v>19</v>
      </c>
      <c r="H477">
        <v>276</v>
      </c>
      <c r="I477" t="str">
        <f>VLOOKUP(B477,товар!$A$1:$C$433,2,FALSE)</f>
        <v>Хлеб</v>
      </c>
      <c r="J477" s="23">
        <f t="shared" si="36"/>
        <v>300.31818181818181</v>
      </c>
      <c r="K477" s="24">
        <f t="shared" si="37"/>
        <v>-0.2574542152262751</v>
      </c>
      <c r="L477" t="str">
        <f>VLOOKUP(B477,товар!$A$1:$C$433,3,FALSE)</f>
        <v>Каравай</v>
      </c>
      <c r="M477">
        <f t="shared" si="38"/>
        <v>331.16666666666669</v>
      </c>
      <c r="N477" s="30">
        <f>VLOOKUP(H477,клиенты!$A$1:$G$435,5,FALSE)</f>
        <v>44632</v>
      </c>
      <c r="O477">
        <f t="shared" si="39"/>
        <v>359</v>
      </c>
    </row>
    <row r="478" spans="1:15" x14ac:dyDescent="0.3">
      <c r="A478">
        <v>477</v>
      </c>
      <c r="B478">
        <v>235</v>
      </c>
      <c r="C478">
        <v>455</v>
      </c>
      <c r="D478">
        <v>5</v>
      </c>
      <c r="E478">
        <f t="shared" si="35"/>
        <v>2275</v>
      </c>
      <c r="F478" s="30">
        <v>45038</v>
      </c>
      <c r="G478" t="s">
        <v>32</v>
      </c>
      <c r="H478">
        <v>71</v>
      </c>
      <c r="I478" t="str">
        <f>VLOOKUP(B478,товар!$A$1:$C$433,2,FALSE)</f>
        <v>Хлеб</v>
      </c>
      <c r="J478" s="23">
        <f t="shared" si="36"/>
        <v>300.31818181818181</v>
      </c>
      <c r="K478" s="24">
        <f t="shared" si="37"/>
        <v>0.51505978507643402</v>
      </c>
      <c r="L478" t="str">
        <f>VLOOKUP(B478,товар!$A$1:$C$433,3,FALSE)</f>
        <v>Русский Хлеб</v>
      </c>
      <c r="M478">
        <f t="shared" si="38"/>
        <v>316.60000000000002</v>
      </c>
      <c r="N478" s="30">
        <f>VLOOKUP(H478,клиенты!$A$1:$G$435,5,FALSE)</f>
        <v>44762</v>
      </c>
      <c r="O478">
        <f t="shared" si="39"/>
        <v>276</v>
      </c>
    </row>
    <row r="479" spans="1:15" x14ac:dyDescent="0.3">
      <c r="A479">
        <v>478</v>
      </c>
      <c r="B479">
        <v>399</v>
      </c>
      <c r="C479">
        <v>379</v>
      </c>
      <c r="D479">
        <v>1</v>
      </c>
      <c r="E479">
        <f t="shared" si="35"/>
        <v>379</v>
      </c>
      <c r="F479" s="30">
        <v>45188</v>
      </c>
      <c r="G479" t="s">
        <v>25</v>
      </c>
      <c r="H479">
        <v>12</v>
      </c>
      <c r="I479" t="str">
        <f>VLOOKUP(B479,товар!$A$1:$C$433,2,FALSE)</f>
        <v>Хлеб</v>
      </c>
      <c r="J479" s="23">
        <f t="shared" si="36"/>
        <v>300.31818181818181</v>
      </c>
      <c r="K479" s="24">
        <f t="shared" si="37"/>
        <v>0.26199485394278788</v>
      </c>
      <c r="L479" t="str">
        <f>VLOOKUP(B479,товар!$A$1:$C$433,3,FALSE)</f>
        <v>Хлебный Дом</v>
      </c>
      <c r="M479">
        <f t="shared" si="38"/>
        <v>281.73333333333335</v>
      </c>
      <c r="N479" s="30">
        <f>VLOOKUP(H479,клиенты!$A$1:$G$435,5,FALSE)</f>
        <v>44842</v>
      </c>
      <c r="O479">
        <f t="shared" si="39"/>
        <v>346</v>
      </c>
    </row>
    <row r="480" spans="1:15" x14ac:dyDescent="0.3">
      <c r="A480">
        <v>479</v>
      </c>
      <c r="B480">
        <v>494</v>
      </c>
      <c r="C480">
        <v>216</v>
      </c>
      <c r="D480">
        <v>3</v>
      </c>
      <c r="E480">
        <f t="shared" si="35"/>
        <v>648</v>
      </c>
      <c r="F480" s="30">
        <v>45009</v>
      </c>
      <c r="G480" t="s">
        <v>32</v>
      </c>
      <c r="H480">
        <v>9</v>
      </c>
      <c r="I480" t="str">
        <f>VLOOKUP(B480,товар!$A$1:$C$433,2,FALSE)</f>
        <v>Сыр</v>
      </c>
      <c r="J480" s="23">
        <f t="shared" si="36"/>
        <v>262.63492063492066</v>
      </c>
      <c r="K480" s="24">
        <f t="shared" si="37"/>
        <v>-0.17756557476127166</v>
      </c>
      <c r="L480" t="str">
        <f>VLOOKUP(B480,товар!$A$1:$C$433,3,FALSE)</f>
        <v>Сырная долина</v>
      </c>
      <c r="M480">
        <f t="shared" si="38"/>
        <v>271</v>
      </c>
      <c r="N480" s="30">
        <f>VLOOKUP(H480,клиенты!$A$1:$G$435,5,FALSE)</f>
        <v>44900</v>
      </c>
      <c r="O480">
        <f t="shared" si="39"/>
        <v>109</v>
      </c>
    </row>
    <row r="481" spans="1:15" x14ac:dyDescent="0.3">
      <c r="A481">
        <v>480</v>
      </c>
      <c r="B481">
        <v>458</v>
      </c>
      <c r="C481">
        <v>469</v>
      </c>
      <c r="D481">
        <v>4</v>
      </c>
      <c r="E481">
        <f t="shared" si="35"/>
        <v>1876</v>
      </c>
      <c r="F481" s="30">
        <v>45411</v>
      </c>
      <c r="G481" t="s">
        <v>27</v>
      </c>
      <c r="H481">
        <v>51</v>
      </c>
      <c r="I481" t="str">
        <f>VLOOKUP(B481,товар!$A$1:$C$433,2,FALSE)</f>
        <v>Макароны</v>
      </c>
      <c r="J481" s="23">
        <f t="shared" si="36"/>
        <v>265.47674418604652</v>
      </c>
      <c r="K481" s="24">
        <f t="shared" si="37"/>
        <v>0.76663308659279039</v>
      </c>
      <c r="L481" t="str">
        <f>VLOOKUP(B481,товар!$A$1:$C$433,3,FALSE)</f>
        <v>Борилла</v>
      </c>
      <c r="M481">
        <f t="shared" si="38"/>
        <v>236.27586206896552</v>
      </c>
      <c r="N481" s="30">
        <f>VLOOKUP(H481,клиенты!$A$1:$G$435,5,FALSE)</f>
        <v>44605</v>
      </c>
      <c r="O481">
        <f t="shared" si="39"/>
        <v>806</v>
      </c>
    </row>
    <row r="482" spans="1:15" x14ac:dyDescent="0.3">
      <c r="A482">
        <v>481</v>
      </c>
      <c r="B482">
        <v>193</v>
      </c>
      <c r="C482">
        <v>94</v>
      </c>
      <c r="D482">
        <v>3</v>
      </c>
      <c r="E482">
        <f t="shared" si="35"/>
        <v>282</v>
      </c>
      <c r="F482" s="30">
        <v>45106</v>
      </c>
      <c r="G482" t="s">
        <v>17</v>
      </c>
      <c r="H482">
        <v>370</v>
      </c>
      <c r="I482" t="str">
        <f>VLOOKUP(B482,товар!$A$1:$C$433,2,FALSE)</f>
        <v>Соль</v>
      </c>
      <c r="J482" s="23">
        <f t="shared" si="36"/>
        <v>264.8679245283019</v>
      </c>
      <c r="K482" s="24">
        <f t="shared" si="37"/>
        <v>-0.64510614047585135</v>
      </c>
      <c r="L482" t="str">
        <f>VLOOKUP(B482,товар!$A$1:$C$433,3,FALSE)</f>
        <v>Салта</v>
      </c>
      <c r="M482">
        <f t="shared" si="38"/>
        <v>273.7</v>
      </c>
      <c r="N482" s="30">
        <f>VLOOKUP(H482,клиенты!$A$1:$G$435,5,FALSE)</f>
        <v>44726</v>
      </c>
      <c r="O482">
        <f t="shared" si="39"/>
        <v>380</v>
      </c>
    </row>
    <row r="483" spans="1:15" x14ac:dyDescent="0.3">
      <c r="A483">
        <v>482</v>
      </c>
      <c r="B483">
        <v>450</v>
      </c>
      <c r="C483">
        <v>494</v>
      </c>
      <c r="D483">
        <v>4</v>
      </c>
      <c r="E483">
        <f t="shared" si="35"/>
        <v>1976</v>
      </c>
      <c r="F483" s="30">
        <v>45004</v>
      </c>
      <c r="G483" t="s">
        <v>30</v>
      </c>
      <c r="H483">
        <v>17</v>
      </c>
      <c r="I483" t="str">
        <f>VLOOKUP(B483,товар!$A$1:$C$433,2,FALSE)</f>
        <v>Хлеб</v>
      </c>
      <c r="J483" s="23">
        <f t="shared" si="36"/>
        <v>300.31818181818181</v>
      </c>
      <c r="K483" s="24">
        <f t="shared" si="37"/>
        <v>0.64492205236869982</v>
      </c>
      <c r="L483" t="str">
        <f>VLOOKUP(B483,товар!$A$1:$C$433,3,FALSE)</f>
        <v>Хлебный Дом</v>
      </c>
      <c r="M483">
        <f t="shared" si="38"/>
        <v>281.73333333333335</v>
      </c>
      <c r="N483" s="30">
        <f>VLOOKUP(H483,клиенты!$A$1:$G$435,5,FALSE)</f>
        <v>44877</v>
      </c>
      <c r="O483">
        <f t="shared" si="39"/>
        <v>127</v>
      </c>
    </row>
    <row r="484" spans="1:15" x14ac:dyDescent="0.3">
      <c r="A484">
        <v>483</v>
      </c>
      <c r="B484">
        <v>334</v>
      </c>
      <c r="C484">
        <v>309</v>
      </c>
      <c r="D484">
        <v>5</v>
      </c>
      <c r="E484">
        <f t="shared" si="35"/>
        <v>1545</v>
      </c>
      <c r="F484" s="30">
        <v>45003</v>
      </c>
      <c r="G484" t="s">
        <v>22</v>
      </c>
      <c r="H484">
        <v>39</v>
      </c>
      <c r="I484" t="str">
        <f>VLOOKUP(B484,товар!$A$1:$C$433,2,FALSE)</f>
        <v>Молоко</v>
      </c>
      <c r="J484" s="23">
        <f t="shared" si="36"/>
        <v>294.95238095238096</v>
      </c>
      <c r="K484" s="24">
        <f t="shared" si="37"/>
        <v>4.7626735550532651E-2</v>
      </c>
      <c r="L484" t="str">
        <f>VLOOKUP(B484,товар!$A$1:$C$433,3,FALSE)</f>
        <v>Домик в деревне</v>
      </c>
      <c r="M484">
        <f t="shared" si="38"/>
        <v>274.77777777777777</v>
      </c>
      <c r="N484" s="30">
        <f>VLOOKUP(H484,клиенты!$A$1:$G$435,5,FALSE)</f>
        <v>44653</v>
      </c>
      <c r="O484">
        <f t="shared" si="39"/>
        <v>350</v>
      </c>
    </row>
    <row r="485" spans="1:15" x14ac:dyDescent="0.3">
      <c r="A485">
        <v>484</v>
      </c>
      <c r="B485">
        <v>115</v>
      </c>
      <c r="C485">
        <v>118</v>
      </c>
      <c r="D485">
        <v>1</v>
      </c>
      <c r="E485">
        <f t="shared" si="35"/>
        <v>118</v>
      </c>
      <c r="F485" s="30">
        <v>45327</v>
      </c>
      <c r="G485" t="s">
        <v>16</v>
      </c>
      <c r="H485">
        <v>481</v>
      </c>
      <c r="I485" t="str">
        <f>VLOOKUP(B485,товар!$A$1:$C$433,2,FALSE)</f>
        <v>Сыр</v>
      </c>
      <c r="J485" s="23">
        <f t="shared" si="36"/>
        <v>262.63492063492066</v>
      </c>
      <c r="K485" s="24">
        <f t="shared" si="37"/>
        <v>-0.55070711954550955</v>
      </c>
      <c r="L485" t="str">
        <f>VLOOKUP(B485,товар!$A$1:$C$433,3,FALSE)</f>
        <v>President</v>
      </c>
      <c r="M485">
        <f t="shared" si="38"/>
        <v>238.72222222222223</v>
      </c>
      <c r="N485" s="30">
        <f>VLOOKUP(H485,клиенты!$A$1:$G$435,5,FALSE)</f>
        <v>44756</v>
      </c>
      <c r="O485">
        <f t="shared" si="39"/>
        <v>571</v>
      </c>
    </row>
    <row r="486" spans="1:15" x14ac:dyDescent="0.3">
      <c r="A486">
        <v>485</v>
      </c>
      <c r="B486">
        <v>163</v>
      </c>
      <c r="C486">
        <v>344</v>
      </c>
      <c r="D486">
        <v>1</v>
      </c>
      <c r="E486">
        <f t="shared" si="35"/>
        <v>344</v>
      </c>
      <c r="F486" s="30">
        <v>45188</v>
      </c>
      <c r="G486" t="s">
        <v>17</v>
      </c>
      <c r="H486">
        <v>363</v>
      </c>
      <c r="I486" t="str">
        <f>VLOOKUP(B486,товар!$A$1:$C$433,2,FALSE)</f>
        <v>Соль</v>
      </c>
      <c r="J486" s="23">
        <f t="shared" si="36"/>
        <v>264.8679245283019</v>
      </c>
      <c r="K486" s="24">
        <f t="shared" si="37"/>
        <v>0.298760507194757</v>
      </c>
      <c r="L486" t="str">
        <f>VLOOKUP(B486,товар!$A$1:$C$433,3,FALSE)</f>
        <v>Экстра</v>
      </c>
      <c r="M486">
        <f t="shared" si="38"/>
        <v>320.84615384615387</v>
      </c>
      <c r="N486" s="30">
        <f>VLOOKUP(H486,клиенты!$A$1:$G$435,5,FALSE)</f>
        <v>44675</v>
      </c>
      <c r="O486">
        <f t="shared" si="39"/>
        <v>513</v>
      </c>
    </row>
    <row r="487" spans="1:15" x14ac:dyDescent="0.3">
      <c r="A487">
        <v>486</v>
      </c>
      <c r="B487">
        <v>321</v>
      </c>
      <c r="C487">
        <v>322</v>
      </c>
      <c r="D487">
        <v>3</v>
      </c>
      <c r="E487">
        <f t="shared" si="35"/>
        <v>966</v>
      </c>
      <c r="F487" s="30">
        <v>45094</v>
      </c>
      <c r="G487" t="s">
        <v>21</v>
      </c>
      <c r="H487">
        <v>328</v>
      </c>
      <c r="I487" t="str">
        <f>VLOOKUP(B487,товар!$A$1:$C$433,2,FALSE)</f>
        <v>Мясо</v>
      </c>
      <c r="J487" s="23">
        <f t="shared" si="36"/>
        <v>271.74545454545455</v>
      </c>
      <c r="K487" s="24">
        <f t="shared" si="37"/>
        <v>0.18493242339087379</v>
      </c>
      <c r="L487" t="str">
        <f>VLOOKUP(B487,товар!$A$1:$C$433,3,FALSE)</f>
        <v>Сава</v>
      </c>
      <c r="M487">
        <f t="shared" si="38"/>
        <v>212.8125</v>
      </c>
      <c r="N487" s="30">
        <f>VLOOKUP(H487,клиенты!$A$1:$G$435,5,FALSE)</f>
        <v>44568</v>
      </c>
      <c r="O487">
        <f t="shared" si="39"/>
        <v>526</v>
      </c>
    </row>
    <row r="488" spans="1:15" x14ac:dyDescent="0.3">
      <c r="A488">
        <v>487</v>
      </c>
      <c r="B488">
        <v>129</v>
      </c>
      <c r="C488">
        <v>328</v>
      </c>
      <c r="D488">
        <v>4</v>
      </c>
      <c r="E488">
        <f t="shared" si="35"/>
        <v>1312</v>
      </c>
      <c r="F488" s="30">
        <v>45304</v>
      </c>
      <c r="G488" t="s">
        <v>18</v>
      </c>
      <c r="H488">
        <v>127</v>
      </c>
      <c r="I488" t="str">
        <f>VLOOKUP(B488,товар!$A$1:$C$433,2,FALSE)</f>
        <v>Мясо</v>
      </c>
      <c r="J488" s="23">
        <f t="shared" si="36"/>
        <v>271.74545454545455</v>
      </c>
      <c r="K488" s="24">
        <f t="shared" si="37"/>
        <v>0.20701190954101434</v>
      </c>
      <c r="L488" t="str">
        <f>VLOOKUP(B488,товар!$A$1:$C$433,3,FALSE)</f>
        <v>Агрокомплекс</v>
      </c>
      <c r="M488">
        <f t="shared" si="38"/>
        <v>311.2</v>
      </c>
      <c r="N488" s="30">
        <f>VLOOKUP(H488,клиенты!$A$1:$G$435,5,FALSE)</f>
        <v>44914</v>
      </c>
      <c r="O488">
        <f t="shared" si="39"/>
        <v>390</v>
      </c>
    </row>
    <row r="489" spans="1:15" x14ac:dyDescent="0.3">
      <c r="A489">
        <v>488</v>
      </c>
      <c r="B489">
        <v>12</v>
      </c>
      <c r="C489">
        <v>357</v>
      </c>
      <c r="D489">
        <v>1</v>
      </c>
      <c r="E489">
        <f t="shared" si="35"/>
        <v>357</v>
      </c>
      <c r="F489" s="30">
        <v>45369</v>
      </c>
      <c r="G489" t="s">
        <v>17</v>
      </c>
      <c r="H489">
        <v>221</v>
      </c>
      <c r="I489" t="str">
        <f>VLOOKUP(B489,товар!$A$1:$C$433,2,FALSE)</f>
        <v>Макароны</v>
      </c>
      <c r="J489" s="23">
        <f t="shared" si="36"/>
        <v>265.47674418604652</v>
      </c>
      <c r="K489" s="24">
        <f t="shared" si="37"/>
        <v>0.34475055845122848</v>
      </c>
      <c r="L489" t="str">
        <f>VLOOKUP(B489,товар!$A$1:$C$433,3,FALSE)</f>
        <v>Макфа</v>
      </c>
      <c r="M489">
        <f t="shared" si="38"/>
        <v>329.27272727272725</v>
      </c>
      <c r="N489" s="30">
        <f>VLOOKUP(H489,клиенты!$A$1:$G$435,5,FALSE)</f>
        <v>44820</v>
      </c>
      <c r="O489">
        <f t="shared" si="39"/>
        <v>549</v>
      </c>
    </row>
    <row r="490" spans="1:15" x14ac:dyDescent="0.3">
      <c r="A490">
        <v>489</v>
      </c>
      <c r="B490">
        <v>104</v>
      </c>
      <c r="C490">
        <v>276</v>
      </c>
      <c r="D490">
        <v>2</v>
      </c>
      <c r="E490">
        <f t="shared" si="35"/>
        <v>552</v>
      </c>
      <c r="F490" s="30">
        <v>45372</v>
      </c>
      <c r="G490" t="s">
        <v>21</v>
      </c>
      <c r="H490">
        <v>134</v>
      </c>
      <c r="I490" t="str">
        <f>VLOOKUP(B490,товар!$A$1:$C$433,2,FALSE)</f>
        <v>Йогурт</v>
      </c>
      <c r="J490" s="23">
        <f t="shared" si="36"/>
        <v>263.25423728813558</v>
      </c>
      <c r="K490" s="24">
        <f t="shared" si="37"/>
        <v>4.841617306206536E-2</v>
      </c>
      <c r="L490" t="str">
        <f>VLOOKUP(B490,товар!$A$1:$C$433,3,FALSE)</f>
        <v>Ростагроэкспорт</v>
      </c>
      <c r="M490">
        <f t="shared" si="38"/>
        <v>257.78260869565219</v>
      </c>
      <c r="N490" s="30">
        <f>VLOOKUP(H490,клиенты!$A$1:$G$435,5,FALSE)</f>
        <v>44753</v>
      </c>
      <c r="O490">
        <f t="shared" si="39"/>
        <v>619</v>
      </c>
    </row>
    <row r="491" spans="1:15" x14ac:dyDescent="0.3">
      <c r="A491">
        <v>490</v>
      </c>
      <c r="B491">
        <v>61</v>
      </c>
      <c r="C491">
        <v>170</v>
      </c>
      <c r="D491">
        <v>2</v>
      </c>
      <c r="E491">
        <f t="shared" si="35"/>
        <v>340</v>
      </c>
      <c r="F491" s="30">
        <v>45292</v>
      </c>
      <c r="G491" t="s">
        <v>18</v>
      </c>
      <c r="H491">
        <v>374</v>
      </c>
      <c r="I491" t="str">
        <f>VLOOKUP(B491,товар!$A$1:$C$433,2,FALSE)</f>
        <v>Йогурт</v>
      </c>
      <c r="J491" s="23">
        <f t="shared" si="36"/>
        <v>263.25423728813558</v>
      </c>
      <c r="K491" s="24">
        <f t="shared" si="37"/>
        <v>-0.35423641514293069</v>
      </c>
      <c r="L491" t="str">
        <f>VLOOKUP(B491,товар!$A$1:$C$433,3,FALSE)</f>
        <v>Эрманн</v>
      </c>
      <c r="M491">
        <f t="shared" si="38"/>
        <v>248.5</v>
      </c>
      <c r="N491" s="30">
        <f>VLOOKUP(H491,клиенты!$A$1:$G$435,5,FALSE)</f>
        <v>44582</v>
      </c>
      <c r="O491">
        <f t="shared" si="39"/>
        <v>710</v>
      </c>
    </row>
    <row r="492" spans="1:15" x14ac:dyDescent="0.3">
      <c r="A492">
        <v>491</v>
      </c>
      <c r="B492">
        <v>202</v>
      </c>
      <c r="C492">
        <v>89</v>
      </c>
      <c r="D492">
        <v>1</v>
      </c>
      <c r="E492">
        <f t="shared" si="35"/>
        <v>89</v>
      </c>
      <c r="F492" s="30">
        <v>45389</v>
      </c>
      <c r="G492" t="s">
        <v>15</v>
      </c>
      <c r="H492">
        <v>441</v>
      </c>
      <c r="I492" t="str">
        <f>VLOOKUP(B492,товар!$A$1:$C$433,2,FALSE)</f>
        <v>Овощи</v>
      </c>
      <c r="J492" s="23">
        <f t="shared" si="36"/>
        <v>250.48780487804879</v>
      </c>
      <c r="K492" s="24">
        <f t="shared" si="37"/>
        <v>-0.64469328140214222</v>
      </c>
      <c r="L492" t="str">
        <f>VLOOKUP(B492,товар!$A$1:$C$433,3,FALSE)</f>
        <v>Овощной ряд</v>
      </c>
      <c r="M492">
        <f t="shared" si="38"/>
        <v>303.8235294117647</v>
      </c>
      <c r="N492" s="30">
        <f>VLOOKUP(H492,клиенты!$A$1:$G$435,5,FALSE)</f>
        <v>44867</v>
      </c>
      <c r="O492">
        <f t="shared" si="39"/>
        <v>522</v>
      </c>
    </row>
    <row r="493" spans="1:15" x14ac:dyDescent="0.3">
      <c r="A493">
        <v>492</v>
      </c>
      <c r="B493">
        <v>464</v>
      </c>
      <c r="C493">
        <v>134</v>
      </c>
      <c r="D493">
        <v>1</v>
      </c>
      <c r="E493">
        <f t="shared" si="35"/>
        <v>134</v>
      </c>
      <c r="F493" s="30">
        <v>45078</v>
      </c>
      <c r="G493" t="s">
        <v>15</v>
      </c>
      <c r="H493">
        <v>220</v>
      </c>
      <c r="I493" t="str">
        <f>VLOOKUP(B493,товар!$A$1:$C$433,2,FALSE)</f>
        <v>Сыр</v>
      </c>
      <c r="J493" s="23">
        <f t="shared" si="36"/>
        <v>262.63492063492066</v>
      </c>
      <c r="K493" s="24">
        <f t="shared" si="37"/>
        <v>-0.48978605100930739</v>
      </c>
      <c r="L493" t="str">
        <f>VLOOKUP(B493,товар!$A$1:$C$433,3,FALSE)</f>
        <v>Сырная долина</v>
      </c>
      <c r="M493">
        <f t="shared" si="38"/>
        <v>271</v>
      </c>
      <c r="N493" s="30">
        <f>VLOOKUP(H493,клиенты!$A$1:$G$435,5,FALSE)</f>
        <v>44570</v>
      </c>
      <c r="O493">
        <f t="shared" si="39"/>
        <v>508</v>
      </c>
    </row>
    <row r="494" spans="1:15" x14ac:dyDescent="0.3">
      <c r="A494">
        <v>493</v>
      </c>
      <c r="B494">
        <v>335</v>
      </c>
      <c r="C494">
        <v>436</v>
      </c>
      <c r="D494">
        <v>1</v>
      </c>
      <c r="E494">
        <f t="shared" si="35"/>
        <v>436</v>
      </c>
      <c r="F494" s="30">
        <v>45407</v>
      </c>
      <c r="G494" t="s">
        <v>21</v>
      </c>
      <c r="H494">
        <v>235</v>
      </c>
      <c r="I494" t="str">
        <f>VLOOKUP(B494,товар!$A$1:$C$433,2,FALSE)</f>
        <v>Хлеб</v>
      </c>
      <c r="J494" s="23">
        <f t="shared" si="36"/>
        <v>300.31818181818181</v>
      </c>
      <c r="K494" s="24">
        <f t="shared" si="37"/>
        <v>0.45179355229302254</v>
      </c>
      <c r="L494" t="str">
        <f>VLOOKUP(B494,товар!$A$1:$C$433,3,FALSE)</f>
        <v>Каравай</v>
      </c>
      <c r="M494">
        <f t="shared" si="38"/>
        <v>331.16666666666669</v>
      </c>
      <c r="N494" s="30">
        <f>VLOOKUP(H494,клиенты!$A$1:$G$435,5,FALSE)</f>
        <v>44635</v>
      </c>
      <c r="O494">
        <f t="shared" si="39"/>
        <v>772</v>
      </c>
    </row>
    <row r="495" spans="1:15" x14ac:dyDescent="0.3">
      <c r="A495">
        <v>494</v>
      </c>
      <c r="B495">
        <v>15</v>
      </c>
      <c r="C495">
        <v>318</v>
      </c>
      <c r="D495">
        <v>5</v>
      </c>
      <c r="E495">
        <f t="shared" si="35"/>
        <v>1590</v>
      </c>
      <c r="F495" s="30">
        <v>44982</v>
      </c>
      <c r="G495" t="s">
        <v>33</v>
      </c>
      <c r="H495">
        <v>323</v>
      </c>
      <c r="I495" t="str">
        <f>VLOOKUP(B495,товар!$A$1:$C$433,2,FALSE)</f>
        <v>Сахар</v>
      </c>
      <c r="J495" s="23">
        <f t="shared" si="36"/>
        <v>252.76271186440678</v>
      </c>
      <c r="K495" s="24">
        <f t="shared" si="37"/>
        <v>0.25809696238181457</v>
      </c>
      <c r="L495" t="str">
        <f>VLOOKUP(B495,товар!$A$1:$C$433,3,FALSE)</f>
        <v>Агросахар</v>
      </c>
      <c r="M495">
        <f t="shared" si="38"/>
        <v>215.85714285714286</v>
      </c>
      <c r="N495" s="30">
        <f>VLOOKUP(H495,клиенты!$A$1:$G$435,5,FALSE)</f>
        <v>44821</v>
      </c>
      <c r="O495">
        <f t="shared" si="39"/>
        <v>161</v>
      </c>
    </row>
    <row r="496" spans="1:15" x14ac:dyDescent="0.3">
      <c r="A496">
        <v>495</v>
      </c>
      <c r="B496">
        <v>441</v>
      </c>
      <c r="C496">
        <v>183</v>
      </c>
      <c r="D496">
        <v>1</v>
      </c>
      <c r="E496">
        <f t="shared" si="35"/>
        <v>183</v>
      </c>
      <c r="F496" s="30">
        <v>45235</v>
      </c>
      <c r="G496" t="s">
        <v>21</v>
      </c>
      <c r="H496">
        <v>296</v>
      </c>
      <c r="I496" t="str">
        <f>VLOOKUP(B496,товар!$A$1:$C$433,2,FALSE)</f>
        <v>Чай</v>
      </c>
      <c r="J496" s="23">
        <f t="shared" si="36"/>
        <v>271.18181818181819</v>
      </c>
      <c r="K496" s="24">
        <f t="shared" si="37"/>
        <v>-0.32517599731813607</v>
      </c>
      <c r="L496" t="str">
        <f>VLOOKUP(B496,товар!$A$1:$C$433,3,FALSE)</f>
        <v>Lipton</v>
      </c>
      <c r="M496">
        <f t="shared" si="38"/>
        <v>260.15789473684208</v>
      </c>
      <c r="N496" s="30">
        <f>VLOOKUP(H496,клиенты!$A$1:$G$435,5,FALSE)</f>
        <v>44758</v>
      </c>
      <c r="O496">
        <f t="shared" si="39"/>
        <v>477</v>
      </c>
    </row>
    <row r="497" spans="1:15" x14ac:dyDescent="0.3">
      <c r="A497">
        <v>496</v>
      </c>
      <c r="B497">
        <v>149</v>
      </c>
      <c r="C497">
        <v>448</v>
      </c>
      <c r="D497">
        <v>2</v>
      </c>
      <c r="E497">
        <f t="shared" si="35"/>
        <v>896</v>
      </c>
      <c r="F497" s="30">
        <v>45069</v>
      </c>
      <c r="G497" t="s">
        <v>23</v>
      </c>
      <c r="H497">
        <v>206</v>
      </c>
      <c r="I497" t="str">
        <f>VLOOKUP(B497,товар!$A$1:$C$433,2,FALSE)</f>
        <v>Конфеты</v>
      </c>
      <c r="J497" s="23">
        <f t="shared" si="36"/>
        <v>267.85483870967744</v>
      </c>
      <c r="K497" s="24">
        <f t="shared" si="37"/>
        <v>0.67254772084060921</v>
      </c>
      <c r="L497" t="str">
        <f>VLOOKUP(B497,товар!$A$1:$C$433,3,FALSE)</f>
        <v>Бабаевский</v>
      </c>
      <c r="M497">
        <f t="shared" si="38"/>
        <v>250.25925925925927</v>
      </c>
      <c r="N497" s="30">
        <f>VLOOKUP(H497,клиенты!$A$1:$G$435,5,FALSE)</f>
        <v>44568</v>
      </c>
      <c r="O497">
        <f t="shared" si="39"/>
        <v>501</v>
      </c>
    </row>
    <row r="498" spans="1:15" x14ac:dyDescent="0.3">
      <c r="A498">
        <v>497</v>
      </c>
      <c r="B498">
        <v>490</v>
      </c>
      <c r="C498">
        <v>58</v>
      </c>
      <c r="D498">
        <v>4</v>
      </c>
      <c r="E498">
        <f t="shared" si="35"/>
        <v>232</v>
      </c>
      <c r="F498" s="30">
        <v>45216</v>
      </c>
      <c r="G498" t="s">
        <v>33</v>
      </c>
      <c r="H498">
        <v>255</v>
      </c>
      <c r="I498" t="str">
        <f>VLOOKUP(B498,товар!$A$1:$C$433,2,FALSE)</f>
        <v>Сыр</v>
      </c>
      <c r="J498" s="23">
        <f t="shared" si="36"/>
        <v>262.63492063492066</v>
      </c>
      <c r="K498" s="24">
        <f t="shared" si="37"/>
        <v>-0.77916112655626746</v>
      </c>
      <c r="L498" t="str">
        <f>VLOOKUP(B498,товар!$A$1:$C$433,3,FALSE)</f>
        <v>Сырная долина</v>
      </c>
      <c r="M498">
        <f t="shared" si="38"/>
        <v>271</v>
      </c>
      <c r="N498" s="30">
        <f>VLOOKUP(H498,клиенты!$A$1:$G$435,5,FALSE)</f>
        <v>44793</v>
      </c>
      <c r="O498">
        <f t="shared" si="39"/>
        <v>423</v>
      </c>
    </row>
    <row r="499" spans="1:15" x14ac:dyDescent="0.3">
      <c r="A499">
        <v>498</v>
      </c>
      <c r="B499">
        <v>90</v>
      </c>
      <c r="C499">
        <v>162</v>
      </c>
      <c r="D499">
        <v>3</v>
      </c>
      <c r="E499">
        <f t="shared" si="35"/>
        <v>486</v>
      </c>
      <c r="F499" s="30">
        <v>45207</v>
      </c>
      <c r="G499" t="s">
        <v>21</v>
      </c>
      <c r="H499">
        <v>88</v>
      </c>
      <c r="I499" t="str">
        <f>VLOOKUP(B499,товар!$A$1:$C$433,2,FALSE)</f>
        <v>Кофе</v>
      </c>
      <c r="J499" s="23">
        <f t="shared" si="36"/>
        <v>249.02380952380952</v>
      </c>
      <c r="K499" s="24">
        <f t="shared" si="37"/>
        <v>-0.34945979539152883</v>
      </c>
      <c r="L499" t="str">
        <f>VLOOKUP(B499,товар!$A$1:$C$433,3,FALSE)</f>
        <v>Nescafe</v>
      </c>
      <c r="M499">
        <f t="shared" si="38"/>
        <v>256.89999999999998</v>
      </c>
      <c r="N499" s="30">
        <f>VLOOKUP(H499,клиенты!$A$1:$G$435,5,FALSE)</f>
        <v>44630</v>
      </c>
      <c r="O499">
        <f t="shared" si="39"/>
        <v>577</v>
      </c>
    </row>
    <row r="500" spans="1:15" x14ac:dyDescent="0.3">
      <c r="A500">
        <v>499</v>
      </c>
      <c r="B500">
        <v>396</v>
      </c>
      <c r="C500">
        <v>482</v>
      </c>
      <c r="D500">
        <v>2</v>
      </c>
      <c r="E500">
        <f t="shared" si="35"/>
        <v>964</v>
      </c>
      <c r="F500" s="30">
        <v>45408</v>
      </c>
      <c r="G500" t="s">
        <v>27</v>
      </c>
      <c r="H500">
        <v>362</v>
      </c>
      <c r="I500" t="str">
        <f>VLOOKUP(B500,товар!$A$1:$C$433,2,FALSE)</f>
        <v>Молоко</v>
      </c>
      <c r="J500" s="23">
        <f t="shared" si="36"/>
        <v>294.95238095238096</v>
      </c>
      <c r="K500" s="24">
        <f t="shared" si="37"/>
        <v>0.63416209234743293</v>
      </c>
      <c r="L500" t="str">
        <f>VLOOKUP(B500,товар!$A$1:$C$433,3,FALSE)</f>
        <v>Домик в деревне</v>
      </c>
      <c r="M500">
        <f t="shared" si="38"/>
        <v>274.77777777777777</v>
      </c>
      <c r="N500" s="30">
        <f>VLOOKUP(H500,клиенты!$A$1:$G$435,5,FALSE)</f>
        <v>44916</v>
      </c>
      <c r="O500">
        <f t="shared" si="39"/>
        <v>492</v>
      </c>
    </row>
    <row r="501" spans="1:15" x14ac:dyDescent="0.3">
      <c r="A501">
        <v>500</v>
      </c>
      <c r="B501">
        <v>323</v>
      </c>
      <c r="C501">
        <v>64</v>
      </c>
      <c r="D501">
        <v>4</v>
      </c>
      <c r="E501">
        <f t="shared" si="35"/>
        <v>256</v>
      </c>
      <c r="F501" s="30">
        <v>45349</v>
      </c>
      <c r="G501" t="s">
        <v>16</v>
      </c>
      <c r="H501">
        <v>265</v>
      </c>
      <c r="I501" t="str">
        <f>VLOOKUP(B501,товар!$A$1:$C$433,2,FALSE)</f>
        <v>Рыба</v>
      </c>
      <c r="J501" s="23">
        <f t="shared" si="36"/>
        <v>258.5128205128205</v>
      </c>
      <c r="K501" s="24">
        <f t="shared" si="37"/>
        <v>-0.75243007339813528</v>
      </c>
      <c r="L501" t="str">
        <f>VLOOKUP(B501,товар!$A$1:$C$433,3,FALSE)</f>
        <v>Меридиан</v>
      </c>
      <c r="M501">
        <f t="shared" si="38"/>
        <v>260.64705882352939</v>
      </c>
      <c r="N501" s="30">
        <f>VLOOKUP(H501,клиенты!$A$1:$G$435,5,FALSE)</f>
        <v>44756</v>
      </c>
      <c r="O501">
        <f t="shared" si="39"/>
        <v>593</v>
      </c>
    </row>
    <row r="502" spans="1:15" x14ac:dyDescent="0.3">
      <c r="A502">
        <v>501</v>
      </c>
      <c r="B502">
        <v>451</v>
      </c>
      <c r="C502">
        <v>187</v>
      </c>
      <c r="D502">
        <v>4</v>
      </c>
      <c r="E502">
        <f t="shared" si="35"/>
        <v>748</v>
      </c>
      <c r="F502" s="30">
        <v>45160</v>
      </c>
      <c r="G502" t="s">
        <v>26</v>
      </c>
      <c r="H502">
        <v>164</v>
      </c>
      <c r="I502" t="str">
        <f>VLOOKUP(B502,товар!$A$1:$C$433,2,FALSE)</f>
        <v>Рис</v>
      </c>
      <c r="J502" s="23">
        <f t="shared" si="36"/>
        <v>258.375</v>
      </c>
      <c r="K502" s="24">
        <f t="shared" si="37"/>
        <v>-0.27624576681180457</v>
      </c>
      <c r="L502" t="str">
        <f>VLOOKUP(B502,товар!$A$1:$C$433,3,FALSE)</f>
        <v>Белый Злат</v>
      </c>
      <c r="M502">
        <f t="shared" si="38"/>
        <v>269.70588235294116</v>
      </c>
      <c r="N502" s="30">
        <f>VLOOKUP(H502,клиенты!$A$1:$G$435,5,FALSE)</f>
        <v>44678</v>
      </c>
      <c r="O502">
        <f t="shared" si="39"/>
        <v>482</v>
      </c>
    </row>
    <row r="503" spans="1:15" x14ac:dyDescent="0.3">
      <c r="A503">
        <v>502</v>
      </c>
      <c r="B503">
        <v>348</v>
      </c>
      <c r="C503">
        <v>461</v>
      </c>
      <c r="D503">
        <v>3</v>
      </c>
      <c r="E503">
        <f t="shared" si="35"/>
        <v>1383</v>
      </c>
      <c r="F503" s="30">
        <v>45344</v>
      </c>
      <c r="G503" t="s">
        <v>25</v>
      </c>
      <c r="H503">
        <v>364</v>
      </c>
      <c r="I503" t="str">
        <f>VLOOKUP(B503,товар!$A$1:$C$433,2,FALSE)</f>
        <v>Чипсы</v>
      </c>
      <c r="J503" s="23">
        <f t="shared" si="36"/>
        <v>273.72549019607845</v>
      </c>
      <c r="K503" s="24">
        <f t="shared" si="37"/>
        <v>0.68416905444126064</v>
      </c>
      <c r="L503" t="str">
        <f>VLOOKUP(B503,товар!$A$1:$C$433,3,FALSE)</f>
        <v>Estrella</v>
      </c>
      <c r="M503">
        <f t="shared" si="38"/>
        <v>266.27272727272725</v>
      </c>
      <c r="N503" s="30">
        <f>VLOOKUP(H503,клиенты!$A$1:$G$435,5,FALSE)</f>
        <v>44883</v>
      </c>
      <c r="O503">
        <f t="shared" si="39"/>
        <v>461</v>
      </c>
    </row>
    <row r="504" spans="1:15" x14ac:dyDescent="0.3">
      <c r="A504">
        <v>503</v>
      </c>
      <c r="B504">
        <v>111</v>
      </c>
      <c r="C504">
        <v>321</v>
      </c>
      <c r="D504">
        <v>5</v>
      </c>
      <c r="E504">
        <f t="shared" si="35"/>
        <v>1605</v>
      </c>
      <c r="F504" s="30">
        <v>45131</v>
      </c>
      <c r="G504" t="s">
        <v>24</v>
      </c>
      <c r="H504">
        <v>19</v>
      </c>
      <c r="I504" t="str">
        <f>VLOOKUP(B504,товар!$A$1:$C$433,2,FALSE)</f>
        <v>Сахар</v>
      </c>
      <c r="J504" s="23">
        <f t="shared" si="36"/>
        <v>252.76271186440678</v>
      </c>
      <c r="K504" s="24">
        <f t="shared" si="37"/>
        <v>0.26996580164956741</v>
      </c>
      <c r="L504" t="str">
        <f>VLOOKUP(B504,товар!$A$1:$C$433,3,FALSE)</f>
        <v>Сладов</v>
      </c>
      <c r="M504">
        <f t="shared" si="38"/>
        <v>240.26666666666668</v>
      </c>
      <c r="N504" s="30">
        <f>VLOOKUP(H504,клиенты!$A$1:$G$435,5,FALSE)</f>
        <v>44902</v>
      </c>
      <c r="O504">
        <f t="shared" si="39"/>
        <v>229</v>
      </c>
    </row>
    <row r="505" spans="1:15" x14ac:dyDescent="0.3">
      <c r="A505">
        <v>504</v>
      </c>
      <c r="B505">
        <v>234</v>
      </c>
      <c r="C505">
        <v>244</v>
      </c>
      <c r="D505">
        <v>3</v>
      </c>
      <c r="E505">
        <f t="shared" si="35"/>
        <v>732</v>
      </c>
      <c r="F505" s="30">
        <v>45081</v>
      </c>
      <c r="G505" t="s">
        <v>27</v>
      </c>
      <c r="H505">
        <v>453</v>
      </c>
      <c r="I505" t="str">
        <f>VLOOKUP(B505,товар!$A$1:$C$433,2,FALSE)</f>
        <v>Чай</v>
      </c>
      <c r="J505" s="23">
        <f t="shared" si="36"/>
        <v>271.18181818181819</v>
      </c>
      <c r="K505" s="24">
        <f t="shared" si="37"/>
        <v>-0.10023466309084816</v>
      </c>
      <c r="L505" t="str">
        <f>VLOOKUP(B505,товар!$A$1:$C$433,3,FALSE)</f>
        <v>Greenfield</v>
      </c>
      <c r="M505">
        <f t="shared" si="38"/>
        <v>291.45454545454544</v>
      </c>
      <c r="N505" s="30">
        <f>VLOOKUP(H505,клиенты!$A$1:$G$435,5,FALSE)</f>
        <v>44635</v>
      </c>
      <c r="O505">
        <f t="shared" si="39"/>
        <v>446</v>
      </c>
    </row>
    <row r="506" spans="1:15" x14ac:dyDescent="0.3">
      <c r="A506">
        <v>505</v>
      </c>
      <c r="B506">
        <v>336</v>
      </c>
      <c r="C506">
        <v>416</v>
      </c>
      <c r="D506">
        <v>2</v>
      </c>
      <c r="E506">
        <f t="shared" si="35"/>
        <v>832</v>
      </c>
      <c r="F506" s="30">
        <v>45173</v>
      </c>
      <c r="G506" t="s">
        <v>19</v>
      </c>
      <c r="H506">
        <v>335</v>
      </c>
      <c r="I506" t="str">
        <f>VLOOKUP(B506,товар!$A$1:$C$433,2,FALSE)</f>
        <v>Чипсы</v>
      </c>
      <c r="J506" s="23">
        <f t="shared" si="36"/>
        <v>273.72549019607845</v>
      </c>
      <c r="K506" s="24">
        <f t="shared" si="37"/>
        <v>0.51977077363896829</v>
      </c>
      <c r="L506" t="str">
        <f>VLOOKUP(B506,товар!$A$1:$C$433,3,FALSE)</f>
        <v>Estrella</v>
      </c>
      <c r="M506">
        <f t="shared" si="38"/>
        <v>266.27272727272725</v>
      </c>
      <c r="N506" s="30">
        <f>VLOOKUP(H506,клиенты!$A$1:$G$435,5,FALSE)</f>
        <v>44619</v>
      </c>
      <c r="O506">
        <f t="shared" si="39"/>
        <v>554</v>
      </c>
    </row>
    <row r="507" spans="1:15" x14ac:dyDescent="0.3">
      <c r="A507">
        <v>506</v>
      </c>
      <c r="B507">
        <v>441</v>
      </c>
      <c r="C507">
        <v>293</v>
      </c>
      <c r="D507">
        <v>3</v>
      </c>
      <c r="E507">
        <f t="shared" si="35"/>
        <v>879</v>
      </c>
      <c r="F507" s="30">
        <v>45274</v>
      </c>
      <c r="G507" t="s">
        <v>31</v>
      </c>
      <c r="H507">
        <v>136</v>
      </c>
      <c r="I507" t="str">
        <f>VLOOKUP(B507,товар!$A$1:$C$433,2,FALSE)</f>
        <v>Чай</v>
      </c>
      <c r="J507" s="23">
        <f t="shared" si="36"/>
        <v>271.18181818181819</v>
      </c>
      <c r="K507" s="24">
        <f t="shared" si="37"/>
        <v>8.0455916862219201E-2</v>
      </c>
      <c r="L507" t="str">
        <f>VLOOKUP(B507,товар!$A$1:$C$433,3,FALSE)</f>
        <v>Lipton</v>
      </c>
      <c r="M507">
        <f t="shared" si="38"/>
        <v>260.15789473684208</v>
      </c>
      <c r="N507" s="30">
        <f>VLOOKUP(H507,клиенты!$A$1:$G$435,5,FALSE)</f>
        <v>44860</v>
      </c>
      <c r="O507">
        <f t="shared" si="39"/>
        <v>414</v>
      </c>
    </row>
    <row r="508" spans="1:15" x14ac:dyDescent="0.3">
      <c r="A508">
        <v>507</v>
      </c>
      <c r="B508">
        <v>481</v>
      </c>
      <c r="C508">
        <v>63</v>
      </c>
      <c r="D508">
        <v>1</v>
      </c>
      <c r="E508">
        <f t="shared" si="35"/>
        <v>63</v>
      </c>
      <c r="F508" s="30">
        <v>45301</v>
      </c>
      <c r="G508" t="s">
        <v>19</v>
      </c>
      <c r="H508">
        <v>388</v>
      </c>
      <c r="I508" t="str">
        <f>VLOOKUP(B508,товар!$A$1:$C$433,2,FALSE)</f>
        <v>Чипсы</v>
      </c>
      <c r="J508" s="23">
        <f t="shared" si="36"/>
        <v>273.72549019607845</v>
      </c>
      <c r="K508" s="24">
        <f t="shared" si="37"/>
        <v>-0.76984240687679084</v>
      </c>
      <c r="L508" t="str">
        <f>VLOOKUP(B508,товар!$A$1:$C$433,3,FALSE)</f>
        <v>Pringles</v>
      </c>
      <c r="M508">
        <f t="shared" si="38"/>
        <v>280.23809523809524</v>
      </c>
      <c r="N508" s="30">
        <f>VLOOKUP(H508,клиенты!$A$1:$G$435,5,FALSE)</f>
        <v>44581</v>
      </c>
      <c r="O508">
        <f t="shared" si="39"/>
        <v>720</v>
      </c>
    </row>
    <row r="509" spans="1:15" x14ac:dyDescent="0.3">
      <c r="A509">
        <v>508</v>
      </c>
      <c r="B509">
        <v>403</v>
      </c>
      <c r="C509">
        <v>240</v>
      </c>
      <c r="D509">
        <v>1</v>
      </c>
      <c r="E509">
        <f t="shared" si="35"/>
        <v>240</v>
      </c>
      <c r="F509" s="30">
        <v>45359</v>
      </c>
      <c r="G509" t="s">
        <v>17</v>
      </c>
      <c r="H509">
        <v>341</v>
      </c>
      <c r="I509" t="str">
        <f>VLOOKUP(B509,товар!$A$1:$C$433,2,FALSE)</f>
        <v>Чай</v>
      </c>
      <c r="J509" s="23">
        <f t="shared" si="36"/>
        <v>271.18181818181819</v>
      </c>
      <c r="K509" s="24">
        <f t="shared" si="37"/>
        <v>-0.11498491451558834</v>
      </c>
      <c r="L509" t="str">
        <f>VLOOKUP(B509,товар!$A$1:$C$433,3,FALSE)</f>
        <v>Ахмад</v>
      </c>
      <c r="M509">
        <f t="shared" si="38"/>
        <v>243.3</v>
      </c>
      <c r="N509" s="30">
        <f>VLOOKUP(H509,клиенты!$A$1:$G$435,5,FALSE)</f>
        <v>44724</v>
      </c>
      <c r="O509">
        <f t="shared" si="39"/>
        <v>635</v>
      </c>
    </row>
    <row r="510" spans="1:15" x14ac:dyDescent="0.3">
      <c r="A510">
        <v>509</v>
      </c>
      <c r="B510">
        <v>137</v>
      </c>
      <c r="C510">
        <v>432</v>
      </c>
      <c r="D510">
        <v>5</v>
      </c>
      <c r="E510">
        <f t="shared" si="35"/>
        <v>2160</v>
      </c>
      <c r="F510" s="30">
        <v>45131</v>
      </c>
      <c r="G510" t="s">
        <v>29</v>
      </c>
      <c r="H510">
        <v>185</v>
      </c>
      <c r="I510" t="str">
        <f>VLOOKUP(B510,товар!$A$1:$C$433,2,FALSE)</f>
        <v>Фрукты</v>
      </c>
      <c r="J510" s="23">
        <f t="shared" si="36"/>
        <v>274.16279069767444</v>
      </c>
      <c r="K510" s="24">
        <f t="shared" si="37"/>
        <v>0.57570616676562891</v>
      </c>
      <c r="L510" t="str">
        <f>VLOOKUP(B510,товар!$A$1:$C$433,3,FALSE)</f>
        <v>Экзотик</v>
      </c>
      <c r="M510">
        <f t="shared" si="38"/>
        <v>253.6875</v>
      </c>
      <c r="N510" s="30">
        <f>VLOOKUP(H510,клиенты!$A$1:$G$435,5,FALSE)</f>
        <v>44683</v>
      </c>
      <c r="O510">
        <f t="shared" si="39"/>
        <v>448</v>
      </c>
    </row>
    <row r="511" spans="1:15" x14ac:dyDescent="0.3">
      <c r="A511">
        <v>510</v>
      </c>
      <c r="B511">
        <v>246</v>
      </c>
      <c r="C511">
        <v>196</v>
      </c>
      <c r="D511">
        <v>5</v>
      </c>
      <c r="E511">
        <f t="shared" si="35"/>
        <v>980</v>
      </c>
      <c r="F511" s="30">
        <v>45168</v>
      </c>
      <c r="G511" t="s">
        <v>22</v>
      </c>
      <c r="H511">
        <v>437</v>
      </c>
      <c r="I511" t="str">
        <f>VLOOKUP(B511,товар!$A$1:$C$433,2,FALSE)</f>
        <v>Сыр</v>
      </c>
      <c r="J511" s="23">
        <f t="shared" si="36"/>
        <v>262.63492063492066</v>
      </c>
      <c r="K511" s="24">
        <f t="shared" si="37"/>
        <v>-0.25371691043152433</v>
      </c>
      <c r="L511" t="str">
        <f>VLOOKUP(B511,товар!$A$1:$C$433,3,FALSE)</f>
        <v>President</v>
      </c>
      <c r="M511">
        <f t="shared" si="38"/>
        <v>238.72222222222223</v>
      </c>
      <c r="N511" s="30">
        <f>VLOOKUP(H511,клиенты!$A$1:$G$435,5,FALSE)</f>
        <v>44576</v>
      </c>
      <c r="O511">
        <f t="shared" si="39"/>
        <v>592</v>
      </c>
    </row>
    <row r="512" spans="1:15" x14ac:dyDescent="0.3">
      <c r="A512">
        <v>511</v>
      </c>
      <c r="B512">
        <v>4</v>
      </c>
      <c r="C512">
        <v>493</v>
      </c>
      <c r="D512">
        <v>4</v>
      </c>
      <c r="E512">
        <f t="shared" si="35"/>
        <v>1972</v>
      </c>
      <c r="F512" s="30">
        <v>45155</v>
      </c>
      <c r="G512" t="s">
        <v>23</v>
      </c>
      <c r="H512">
        <v>263</v>
      </c>
      <c r="I512" t="str">
        <f>VLOOKUP(B512,товар!$A$1:$C$433,2,FALSE)</f>
        <v>Рис</v>
      </c>
      <c r="J512" s="23">
        <f t="shared" si="36"/>
        <v>258.375</v>
      </c>
      <c r="K512" s="24">
        <f t="shared" si="37"/>
        <v>0.90807934204160623</v>
      </c>
      <c r="L512" t="str">
        <f>VLOOKUP(B512,товар!$A$1:$C$433,3,FALSE)</f>
        <v>Белый Злат</v>
      </c>
      <c r="M512">
        <f t="shared" si="38"/>
        <v>269.70588235294116</v>
      </c>
      <c r="N512" s="30">
        <f>VLOOKUP(H512,клиенты!$A$1:$G$435,5,FALSE)</f>
        <v>44612</v>
      </c>
      <c r="O512">
        <f t="shared" si="39"/>
        <v>543</v>
      </c>
    </row>
    <row r="513" spans="1:15" x14ac:dyDescent="0.3">
      <c r="A513">
        <v>512</v>
      </c>
      <c r="B513">
        <v>484</v>
      </c>
      <c r="C513">
        <v>436</v>
      </c>
      <c r="D513">
        <v>2</v>
      </c>
      <c r="E513">
        <f t="shared" si="35"/>
        <v>872</v>
      </c>
      <c r="F513" s="30">
        <v>45405</v>
      </c>
      <c r="G513" t="s">
        <v>22</v>
      </c>
      <c r="H513">
        <v>358</v>
      </c>
      <c r="I513" t="str">
        <f>VLOOKUP(B513,товар!$A$1:$C$433,2,FALSE)</f>
        <v>Печенье</v>
      </c>
      <c r="J513" s="23">
        <f t="shared" si="36"/>
        <v>283.468085106383</v>
      </c>
      <c r="K513" s="24">
        <f t="shared" si="37"/>
        <v>0.53809202131652012</v>
      </c>
      <c r="L513" t="str">
        <f>VLOOKUP(B513,товар!$A$1:$C$433,3,FALSE)</f>
        <v>КДВ</v>
      </c>
      <c r="M513">
        <f t="shared" si="38"/>
        <v>323.07692307692309</v>
      </c>
      <c r="N513" s="30">
        <f>VLOOKUP(H513,клиенты!$A$1:$G$435,5,FALSE)</f>
        <v>44771</v>
      </c>
      <c r="O513">
        <f t="shared" si="39"/>
        <v>634</v>
      </c>
    </row>
    <row r="514" spans="1:15" x14ac:dyDescent="0.3">
      <c r="A514">
        <v>513</v>
      </c>
      <c r="B514">
        <v>60</v>
      </c>
      <c r="C514">
        <v>412</v>
      </c>
      <c r="D514">
        <v>5</v>
      </c>
      <c r="E514">
        <f t="shared" ref="E514:E577" si="40">C514*D514</f>
        <v>2060</v>
      </c>
      <c r="F514" s="30">
        <v>44930</v>
      </c>
      <c r="G514" t="s">
        <v>24</v>
      </c>
      <c r="H514">
        <v>377</v>
      </c>
      <c r="I514" t="str">
        <f>VLOOKUP(B514,товар!$A$1:$C$433,2,FALSE)</f>
        <v>Кофе</v>
      </c>
      <c r="J514" s="23">
        <f t="shared" ref="J514:J577" si="41">AVERAGEIF($I$2:$I$1001,I514,$C$2:$C$1001)</f>
        <v>249.02380952380952</v>
      </c>
      <c r="K514" s="24">
        <f t="shared" ref="K514:K577" si="42">C514/J514-1</f>
        <v>0.65446027344870461</v>
      </c>
      <c r="L514" t="str">
        <f>VLOOKUP(B514,товар!$A$1:$C$433,3,FALSE)</f>
        <v>Jacobs</v>
      </c>
      <c r="M514">
        <f t="shared" ref="M514:M577" si="43">AVERAGEIFS($C$2:$C$1001,$I$2:$I$1001,I514,$L$2:$L$1001,L514)</f>
        <v>276.21052631578948</v>
      </c>
      <c r="N514" s="30">
        <f>VLOOKUP(H514,клиенты!$A$1:$G$435,5,FALSE)</f>
        <v>44794</v>
      </c>
      <c r="O514">
        <f t="shared" ref="O514:O577" si="44">F514-N514</f>
        <v>136</v>
      </c>
    </row>
    <row r="515" spans="1:15" x14ac:dyDescent="0.3">
      <c r="A515">
        <v>514</v>
      </c>
      <c r="B515">
        <v>477</v>
      </c>
      <c r="C515">
        <v>117</v>
      </c>
      <c r="D515">
        <v>3</v>
      </c>
      <c r="E515">
        <f t="shared" si="40"/>
        <v>351</v>
      </c>
      <c r="F515" s="30">
        <v>45247</v>
      </c>
      <c r="G515" t="s">
        <v>30</v>
      </c>
      <c r="H515">
        <v>450</v>
      </c>
      <c r="I515" t="str">
        <f>VLOOKUP(B515,товар!$A$1:$C$433,2,FALSE)</f>
        <v>Макароны</v>
      </c>
      <c r="J515" s="23">
        <f t="shared" si="41"/>
        <v>265.47674418604652</v>
      </c>
      <c r="K515" s="24">
        <f t="shared" si="42"/>
        <v>-0.559283430423547</v>
      </c>
      <c r="L515" t="str">
        <f>VLOOKUP(B515,товар!$A$1:$C$433,3,FALSE)</f>
        <v>Борилла</v>
      </c>
      <c r="M515">
        <f t="shared" si="43"/>
        <v>236.27586206896552</v>
      </c>
      <c r="N515" s="30">
        <f>VLOOKUP(H515,клиенты!$A$1:$G$435,5,FALSE)</f>
        <v>44619</v>
      </c>
      <c r="O515">
        <f t="shared" si="44"/>
        <v>628</v>
      </c>
    </row>
    <row r="516" spans="1:15" x14ac:dyDescent="0.3">
      <c r="A516">
        <v>515</v>
      </c>
      <c r="B516">
        <v>174</v>
      </c>
      <c r="C516">
        <v>301</v>
      </c>
      <c r="D516">
        <v>4</v>
      </c>
      <c r="E516">
        <f t="shared" si="40"/>
        <v>1204</v>
      </c>
      <c r="F516" s="30">
        <v>45382</v>
      </c>
      <c r="G516" t="s">
        <v>21</v>
      </c>
      <c r="H516">
        <v>210</v>
      </c>
      <c r="I516" t="str">
        <f>VLOOKUP(B516,товар!$A$1:$C$433,2,FALSE)</f>
        <v>Чай</v>
      </c>
      <c r="J516" s="23">
        <f t="shared" si="41"/>
        <v>271.18181818181819</v>
      </c>
      <c r="K516" s="24">
        <f t="shared" si="42"/>
        <v>0.10995641971169956</v>
      </c>
      <c r="L516" t="str">
        <f>VLOOKUP(B516,товар!$A$1:$C$433,3,FALSE)</f>
        <v>Ахмад</v>
      </c>
      <c r="M516">
        <f t="shared" si="43"/>
        <v>243.3</v>
      </c>
      <c r="N516" s="30">
        <f>VLOOKUP(H516,клиенты!$A$1:$G$435,5,FALSE)</f>
        <v>44602</v>
      </c>
      <c r="O516">
        <f t="shared" si="44"/>
        <v>780</v>
      </c>
    </row>
    <row r="517" spans="1:15" x14ac:dyDescent="0.3">
      <c r="A517">
        <v>516</v>
      </c>
      <c r="B517">
        <v>240</v>
      </c>
      <c r="C517">
        <v>156</v>
      </c>
      <c r="D517">
        <v>4</v>
      </c>
      <c r="E517">
        <f t="shared" si="40"/>
        <v>624</v>
      </c>
      <c r="F517" s="30">
        <v>45317</v>
      </c>
      <c r="G517" t="s">
        <v>30</v>
      </c>
      <c r="H517">
        <v>67</v>
      </c>
      <c r="I517" t="str">
        <f>VLOOKUP(B517,товар!$A$1:$C$433,2,FALSE)</f>
        <v>Макароны</v>
      </c>
      <c r="J517" s="23">
        <f t="shared" si="41"/>
        <v>265.47674418604652</v>
      </c>
      <c r="K517" s="24">
        <f t="shared" si="42"/>
        <v>-0.41237790723139589</v>
      </c>
      <c r="L517" t="str">
        <f>VLOOKUP(B517,товар!$A$1:$C$433,3,FALSE)</f>
        <v>Борилла</v>
      </c>
      <c r="M517">
        <f t="shared" si="43"/>
        <v>236.27586206896552</v>
      </c>
      <c r="N517" s="30">
        <f>VLOOKUP(H517,клиенты!$A$1:$G$435,5,FALSE)</f>
        <v>44731</v>
      </c>
      <c r="O517">
        <f t="shared" si="44"/>
        <v>586</v>
      </c>
    </row>
    <row r="518" spans="1:15" x14ac:dyDescent="0.3">
      <c r="A518">
        <v>517</v>
      </c>
      <c r="B518">
        <v>299</v>
      </c>
      <c r="C518">
        <v>141</v>
      </c>
      <c r="D518">
        <v>4</v>
      </c>
      <c r="E518">
        <f t="shared" si="40"/>
        <v>564</v>
      </c>
      <c r="F518" s="30">
        <v>45269</v>
      </c>
      <c r="G518" t="s">
        <v>25</v>
      </c>
      <c r="H518">
        <v>125</v>
      </c>
      <c r="I518" t="str">
        <f>VLOOKUP(B518,товар!$A$1:$C$433,2,FALSE)</f>
        <v>Чай</v>
      </c>
      <c r="J518" s="23">
        <f t="shared" si="41"/>
        <v>271.18181818181819</v>
      </c>
      <c r="K518" s="24">
        <f t="shared" si="42"/>
        <v>-0.48005363727790817</v>
      </c>
      <c r="L518" t="str">
        <f>VLOOKUP(B518,товар!$A$1:$C$433,3,FALSE)</f>
        <v>Lipton</v>
      </c>
      <c r="M518">
        <f t="shared" si="43"/>
        <v>260.15789473684208</v>
      </c>
      <c r="N518" s="30">
        <f>VLOOKUP(H518,клиенты!$A$1:$G$435,5,FALSE)</f>
        <v>44701</v>
      </c>
      <c r="O518">
        <f t="shared" si="44"/>
        <v>568</v>
      </c>
    </row>
    <row r="519" spans="1:15" x14ac:dyDescent="0.3">
      <c r="A519">
        <v>518</v>
      </c>
      <c r="B519">
        <v>481</v>
      </c>
      <c r="C519">
        <v>463</v>
      </c>
      <c r="D519">
        <v>2</v>
      </c>
      <c r="E519">
        <f t="shared" si="40"/>
        <v>926</v>
      </c>
      <c r="F519" s="30">
        <v>45171</v>
      </c>
      <c r="G519" t="s">
        <v>29</v>
      </c>
      <c r="H519">
        <v>213</v>
      </c>
      <c r="I519" t="str">
        <f>VLOOKUP(B519,товар!$A$1:$C$433,2,FALSE)</f>
        <v>Чипсы</v>
      </c>
      <c r="J519" s="23">
        <f t="shared" si="41"/>
        <v>273.72549019607845</v>
      </c>
      <c r="K519" s="24">
        <f t="shared" si="42"/>
        <v>0.69147564469914036</v>
      </c>
      <c r="L519" t="str">
        <f>VLOOKUP(B519,товар!$A$1:$C$433,3,FALSE)</f>
        <v>Pringles</v>
      </c>
      <c r="M519">
        <f t="shared" si="43"/>
        <v>280.23809523809524</v>
      </c>
      <c r="N519" s="30">
        <f>VLOOKUP(H519,клиенты!$A$1:$G$435,5,FALSE)</f>
        <v>44733</v>
      </c>
      <c r="O519">
        <f t="shared" si="44"/>
        <v>438</v>
      </c>
    </row>
    <row r="520" spans="1:15" x14ac:dyDescent="0.3">
      <c r="A520">
        <v>519</v>
      </c>
      <c r="B520">
        <v>213</v>
      </c>
      <c r="C520">
        <v>432</v>
      </c>
      <c r="D520">
        <v>3</v>
      </c>
      <c r="E520">
        <f t="shared" si="40"/>
        <v>1296</v>
      </c>
      <c r="F520" s="30">
        <v>45196</v>
      </c>
      <c r="G520" t="s">
        <v>28</v>
      </c>
      <c r="H520">
        <v>254</v>
      </c>
      <c r="I520" t="str">
        <f>VLOOKUP(B520,товар!$A$1:$C$433,2,FALSE)</f>
        <v>Сахар</v>
      </c>
      <c r="J520" s="23">
        <f t="shared" si="41"/>
        <v>252.76271186440678</v>
      </c>
      <c r="K520" s="24">
        <f t="shared" si="42"/>
        <v>0.70911285455642736</v>
      </c>
      <c r="L520" t="str">
        <f>VLOOKUP(B520,товар!$A$1:$C$433,3,FALSE)</f>
        <v>Продимекс</v>
      </c>
      <c r="M520">
        <f t="shared" si="43"/>
        <v>240.5</v>
      </c>
      <c r="N520" s="30">
        <f>VLOOKUP(H520,клиенты!$A$1:$G$435,5,FALSE)</f>
        <v>44862</v>
      </c>
      <c r="O520">
        <f t="shared" si="44"/>
        <v>334</v>
      </c>
    </row>
    <row r="521" spans="1:15" x14ac:dyDescent="0.3">
      <c r="A521">
        <v>520</v>
      </c>
      <c r="B521">
        <v>484</v>
      </c>
      <c r="C521">
        <v>238</v>
      </c>
      <c r="D521">
        <v>2</v>
      </c>
      <c r="E521">
        <f t="shared" si="40"/>
        <v>476</v>
      </c>
      <c r="F521" s="30">
        <v>45364</v>
      </c>
      <c r="G521" t="s">
        <v>21</v>
      </c>
      <c r="H521">
        <v>252</v>
      </c>
      <c r="I521" t="str">
        <f>VLOOKUP(B521,товар!$A$1:$C$433,2,FALSE)</f>
        <v>Печенье</v>
      </c>
      <c r="J521" s="23">
        <f t="shared" si="41"/>
        <v>283.468085106383</v>
      </c>
      <c r="K521" s="24">
        <f t="shared" si="42"/>
        <v>-0.16039930946483527</v>
      </c>
      <c r="L521" t="str">
        <f>VLOOKUP(B521,товар!$A$1:$C$433,3,FALSE)</f>
        <v>КДВ</v>
      </c>
      <c r="M521">
        <f t="shared" si="43"/>
        <v>323.07692307692309</v>
      </c>
      <c r="N521" s="30">
        <f>VLOOKUP(H521,клиенты!$A$1:$G$435,5,FALSE)</f>
        <v>44643</v>
      </c>
      <c r="O521">
        <f t="shared" si="44"/>
        <v>721</v>
      </c>
    </row>
    <row r="522" spans="1:15" x14ac:dyDescent="0.3">
      <c r="A522">
        <v>521</v>
      </c>
      <c r="B522">
        <v>479</v>
      </c>
      <c r="C522">
        <v>131</v>
      </c>
      <c r="D522">
        <v>5</v>
      </c>
      <c r="E522">
        <f t="shared" si="40"/>
        <v>655</v>
      </c>
      <c r="F522" s="30">
        <v>44965</v>
      </c>
      <c r="G522" t="s">
        <v>19</v>
      </c>
      <c r="H522">
        <v>164</v>
      </c>
      <c r="I522" t="str">
        <f>VLOOKUP(B522,товар!$A$1:$C$433,2,FALSE)</f>
        <v>Овощи</v>
      </c>
      <c r="J522" s="23">
        <f t="shared" si="41"/>
        <v>250.48780487804879</v>
      </c>
      <c r="K522" s="24">
        <f t="shared" si="42"/>
        <v>-0.47702044790652387</v>
      </c>
      <c r="L522" t="str">
        <f>VLOOKUP(B522,товар!$A$1:$C$433,3,FALSE)</f>
        <v>Гавриш</v>
      </c>
      <c r="M522">
        <f t="shared" si="43"/>
        <v>247.66666666666666</v>
      </c>
      <c r="N522" s="30">
        <f>VLOOKUP(H522,клиенты!$A$1:$G$435,5,FALSE)</f>
        <v>44678</v>
      </c>
      <c r="O522">
        <f t="shared" si="44"/>
        <v>287</v>
      </c>
    </row>
    <row r="523" spans="1:15" x14ac:dyDescent="0.3">
      <c r="A523">
        <v>522</v>
      </c>
      <c r="B523">
        <v>159</v>
      </c>
      <c r="C523">
        <v>225</v>
      </c>
      <c r="D523">
        <v>1</v>
      </c>
      <c r="E523">
        <f t="shared" si="40"/>
        <v>225</v>
      </c>
      <c r="F523" s="30">
        <v>45016</v>
      </c>
      <c r="G523" t="s">
        <v>28</v>
      </c>
      <c r="H523">
        <v>258</v>
      </c>
      <c r="I523" t="str">
        <f>VLOOKUP(B523,товар!$A$1:$C$433,2,FALSE)</f>
        <v>Крупа</v>
      </c>
      <c r="J523" s="23">
        <f t="shared" si="41"/>
        <v>255.11627906976744</v>
      </c>
      <c r="K523" s="24">
        <f t="shared" si="42"/>
        <v>-0.11804922515952598</v>
      </c>
      <c r="L523" t="str">
        <f>VLOOKUP(B523,товар!$A$1:$C$433,3,FALSE)</f>
        <v>Националь</v>
      </c>
      <c r="M523">
        <f t="shared" si="43"/>
        <v>274.28571428571428</v>
      </c>
      <c r="N523" s="30">
        <f>VLOOKUP(H523,клиенты!$A$1:$G$435,5,FALSE)</f>
        <v>44717</v>
      </c>
      <c r="O523">
        <f t="shared" si="44"/>
        <v>299</v>
      </c>
    </row>
    <row r="524" spans="1:15" x14ac:dyDescent="0.3">
      <c r="A524">
        <v>523</v>
      </c>
      <c r="B524">
        <v>110</v>
      </c>
      <c r="C524">
        <v>279</v>
      </c>
      <c r="D524">
        <v>1</v>
      </c>
      <c r="E524">
        <f t="shared" si="40"/>
        <v>279</v>
      </c>
      <c r="F524" s="30">
        <v>45311</v>
      </c>
      <c r="G524" t="s">
        <v>25</v>
      </c>
      <c r="H524">
        <v>290</v>
      </c>
      <c r="I524" t="str">
        <f>VLOOKUP(B524,товар!$A$1:$C$433,2,FALSE)</f>
        <v>Макароны</v>
      </c>
      <c r="J524" s="23">
        <f t="shared" si="41"/>
        <v>265.47674418604652</v>
      </c>
      <c r="K524" s="24">
        <f t="shared" si="42"/>
        <v>5.0939512066926484E-2</v>
      </c>
      <c r="L524" t="str">
        <f>VLOOKUP(B524,товар!$A$1:$C$433,3,FALSE)</f>
        <v>Паста Зара</v>
      </c>
      <c r="M524">
        <f t="shared" si="43"/>
        <v>276.67567567567568</v>
      </c>
      <c r="N524" s="30">
        <f>VLOOKUP(H524,клиенты!$A$1:$G$435,5,FALSE)</f>
        <v>44777</v>
      </c>
      <c r="O524">
        <f t="shared" si="44"/>
        <v>534</v>
      </c>
    </row>
    <row r="525" spans="1:15" x14ac:dyDescent="0.3">
      <c r="A525">
        <v>524</v>
      </c>
      <c r="B525">
        <v>224</v>
      </c>
      <c r="C525">
        <v>161</v>
      </c>
      <c r="D525">
        <v>2</v>
      </c>
      <c r="E525">
        <f t="shared" si="40"/>
        <v>322</v>
      </c>
      <c r="F525" s="30">
        <v>45177</v>
      </c>
      <c r="G525" t="s">
        <v>25</v>
      </c>
      <c r="H525">
        <v>336</v>
      </c>
      <c r="I525" t="str">
        <f>VLOOKUP(B525,товар!$A$1:$C$433,2,FALSE)</f>
        <v>Чипсы</v>
      </c>
      <c r="J525" s="23">
        <f t="shared" si="41"/>
        <v>273.72549019607845</v>
      </c>
      <c r="K525" s="24">
        <f t="shared" si="42"/>
        <v>-0.41181948424068771</v>
      </c>
      <c r="L525" t="str">
        <f>VLOOKUP(B525,товар!$A$1:$C$433,3,FALSE)</f>
        <v>Pringles</v>
      </c>
      <c r="M525">
        <f t="shared" si="43"/>
        <v>280.23809523809524</v>
      </c>
      <c r="N525" s="30">
        <f>VLOOKUP(H525,клиенты!$A$1:$G$435,5,FALSE)</f>
        <v>44856</v>
      </c>
      <c r="O525">
        <f t="shared" si="44"/>
        <v>321</v>
      </c>
    </row>
    <row r="526" spans="1:15" x14ac:dyDescent="0.3">
      <c r="A526">
        <v>525</v>
      </c>
      <c r="B526">
        <v>126</v>
      </c>
      <c r="C526">
        <v>267</v>
      </c>
      <c r="D526">
        <v>1</v>
      </c>
      <c r="E526">
        <f t="shared" si="40"/>
        <v>267</v>
      </c>
      <c r="F526" s="30">
        <v>44989</v>
      </c>
      <c r="G526" t="s">
        <v>31</v>
      </c>
      <c r="H526">
        <v>437</v>
      </c>
      <c r="I526" t="str">
        <f>VLOOKUP(B526,товар!$A$1:$C$433,2,FALSE)</f>
        <v>Сахар</v>
      </c>
      <c r="J526" s="23">
        <f t="shared" si="41"/>
        <v>252.76271186440678</v>
      </c>
      <c r="K526" s="24">
        <f t="shared" si="42"/>
        <v>5.6326694830014068E-2</v>
      </c>
      <c r="L526" t="str">
        <f>VLOOKUP(B526,товар!$A$1:$C$433,3,FALSE)</f>
        <v>Русский сахар</v>
      </c>
      <c r="M526">
        <f t="shared" si="43"/>
        <v>293.41176470588238</v>
      </c>
      <c r="N526" s="30">
        <f>VLOOKUP(H526,клиенты!$A$1:$G$435,5,FALSE)</f>
        <v>44576</v>
      </c>
      <c r="O526">
        <f t="shared" si="44"/>
        <v>413</v>
      </c>
    </row>
    <row r="527" spans="1:15" x14ac:dyDescent="0.3">
      <c r="A527">
        <v>526</v>
      </c>
      <c r="B527">
        <v>344</v>
      </c>
      <c r="C527">
        <v>110</v>
      </c>
      <c r="D527">
        <v>4</v>
      </c>
      <c r="E527">
        <f t="shared" si="40"/>
        <v>440</v>
      </c>
      <c r="F527" s="30">
        <v>45284</v>
      </c>
      <c r="G527" t="s">
        <v>32</v>
      </c>
      <c r="H527">
        <v>294</v>
      </c>
      <c r="I527" t="str">
        <f>VLOOKUP(B527,товар!$A$1:$C$433,2,FALSE)</f>
        <v>Сок</v>
      </c>
      <c r="J527" s="23">
        <f t="shared" si="41"/>
        <v>268.60344827586209</v>
      </c>
      <c r="K527" s="24">
        <f t="shared" si="42"/>
        <v>-0.59047435650555236</v>
      </c>
      <c r="L527" t="str">
        <f>VLOOKUP(B527,товар!$A$1:$C$433,3,FALSE)</f>
        <v>Сады Придонья</v>
      </c>
      <c r="M527">
        <f t="shared" si="43"/>
        <v>254.18181818181819</v>
      </c>
      <c r="N527" s="30">
        <f>VLOOKUP(H527,клиенты!$A$1:$G$435,5,FALSE)</f>
        <v>44879</v>
      </c>
      <c r="O527">
        <f t="shared" si="44"/>
        <v>405</v>
      </c>
    </row>
    <row r="528" spans="1:15" x14ac:dyDescent="0.3">
      <c r="A528">
        <v>527</v>
      </c>
      <c r="B528">
        <v>447</v>
      </c>
      <c r="C528">
        <v>316</v>
      </c>
      <c r="D528">
        <v>1</v>
      </c>
      <c r="E528">
        <f t="shared" si="40"/>
        <v>316</v>
      </c>
      <c r="F528" s="30">
        <v>45121</v>
      </c>
      <c r="G528" t="s">
        <v>24</v>
      </c>
      <c r="H528">
        <v>297</v>
      </c>
      <c r="I528" t="str">
        <f>VLOOKUP(B528,товар!$A$1:$C$433,2,FALSE)</f>
        <v>Йогурт</v>
      </c>
      <c r="J528" s="23">
        <f t="shared" si="41"/>
        <v>263.25423728813558</v>
      </c>
      <c r="K528" s="24">
        <f t="shared" si="42"/>
        <v>0.20036054596961117</v>
      </c>
      <c r="L528" t="str">
        <f>VLOOKUP(B528,товар!$A$1:$C$433,3,FALSE)</f>
        <v>Эрманн</v>
      </c>
      <c r="M528">
        <f t="shared" si="43"/>
        <v>248.5</v>
      </c>
      <c r="N528" s="30">
        <f>VLOOKUP(H528,клиенты!$A$1:$G$435,5,FALSE)</f>
        <v>44666</v>
      </c>
      <c r="O528">
        <f t="shared" si="44"/>
        <v>455</v>
      </c>
    </row>
    <row r="529" spans="1:15" x14ac:dyDescent="0.3">
      <c r="A529">
        <v>528</v>
      </c>
      <c r="B529">
        <v>450</v>
      </c>
      <c r="C529">
        <v>228</v>
      </c>
      <c r="D529">
        <v>4</v>
      </c>
      <c r="E529">
        <f t="shared" si="40"/>
        <v>912</v>
      </c>
      <c r="F529" s="30">
        <v>45193</v>
      </c>
      <c r="G529" t="s">
        <v>22</v>
      </c>
      <c r="H529">
        <v>27</v>
      </c>
      <c r="I529" t="str">
        <f>VLOOKUP(B529,товар!$A$1:$C$433,2,FALSE)</f>
        <v>Хлеб</v>
      </c>
      <c r="J529" s="23">
        <f t="shared" si="41"/>
        <v>300.31818181818181</v>
      </c>
      <c r="K529" s="24">
        <f t="shared" si="42"/>
        <v>-0.24080520659906157</v>
      </c>
      <c r="L529" t="str">
        <f>VLOOKUP(B529,товар!$A$1:$C$433,3,FALSE)</f>
        <v>Хлебный Дом</v>
      </c>
      <c r="M529">
        <f t="shared" si="43"/>
        <v>281.73333333333335</v>
      </c>
      <c r="N529" s="30">
        <f>VLOOKUP(H529,клиенты!$A$1:$G$435,5,FALSE)</f>
        <v>44586</v>
      </c>
      <c r="O529">
        <f t="shared" si="44"/>
        <v>607</v>
      </c>
    </row>
    <row r="530" spans="1:15" x14ac:dyDescent="0.3">
      <c r="A530">
        <v>529</v>
      </c>
      <c r="B530">
        <v>60</v>
      </c>
      <c r="C530">
        <v>100</v>
      </c>
      <c r="D530">
        <v>1</v>
      </c>
      <c r="E530">
        <f t="shared" si="40"/>
        <v>100</v>
      </c>
      <c r="F530" s="30">
        <v>45397</v>
      </c>
      <c r="G530" t="s">
        <v>34</v>
      </c>
      <c r="H530">
        <v>102</v>
      </c>
      <c r="I530" t="str">
        <f>VLOOKUP(B530,товар!$A$1:$C$433,2,FALSE)</f>
        <v>Кофе</v>
      </c>
      <c r="J530" s="23">
        <f t="shared" si="41"/>
        <v>249.02380952380952</v>
      </c>
      <c r="K530" s="24">
        <f t="shared" si="42"/>
        <v>-0.59843197246390667</v>
      </c>
      <c r="L530" t="str">
        <f>VLOOKUP(B530,товар!$A$1:$C$433,3,FALSE)</f>
        <v>Jacobs</v>
      </c>
      <c r="M530">
        <f t="shared" si="43"/>
        <v>276.21052631578948</v>
      </c>
      <c r="N530" s="30">
        <f>VLOOKUP(H530,клиенты!$A$1:$G$435,5,FALSE)</f>
        <v>44723</v>
      </c>
      <c r="O530">
        <f t="shared" si="44"/>
        <v>674</v>
      </c>
    </row>
    <row r="531" spans="1:15" x14ac:dyDescent="0.3">
      <c r="A531">
        <v>530</v>
      </c>
      <c r="B531">
        <v>42</v>
      </c>
      <c r="C531">
        <v>332</v>
      </c>
      <c r="D531">
        <v>2</v>
      </c>
      <c r="E531">
        <f t="shared" si="40"/>
        <v>664</v>
      </c>
      <c r="F531" s="30">
        <v>45301</v>
      </c>
      <c r="G531" t="s">
        <v>15</v>
      </c>
      <c r="H531">
        <v>323</v>
      </c>
      <c r="I531" t="str">
        <f>VLOOKUP(B531,товар!$A$1:$C$433,2,FALSE)</f>
        <v>Рис</v>
      </c>
      <c r="J531" s="23">
        <f t="shared" si="41"/>
        <v>258.375</v>
      </c>
      <c r="K531" s="24">
        <f t="shared" si="42"/>
        <v>0.28495403967102084</v>
      </c>
      <c r="L531" t="str">
        <f>VLOOKUP(B531,товар!$A$1:$C$433,3,FALSE)</f>
        <v>Мистраль</v>
      </c>
      <c r="M531">
        <f t="shared" si="43"/>
        <v>181.57142857142858</v>
      </c>
      <c r="N531" s="30">
        <f>VLOOKUP(H531,клиенты!$A$1:$G$435,5,FALSE)</f>
        <v>44821</v>
      </c>
      <c r="O531">
        <f t="shared" si="44"/>
        <v>480</v>
      </c>
    </row>
    <row r="532" spans="1:15" x14ac:dyDescent="0.3">
      <c r="A532">
        <v>531</v>
      </c>
      <c r="B532">
        <v>267</v>
      </c>
      <c r="C532">
        <v>65</v>
      </c>
      <c r="D532">
        <v>2</v>
      </c>
      <c r="E532">
        <f t="shared" si="40"/>
        <v>130</v>
      </c>
      <c r="F532" s="30">
        <v>45142</v>
      </c>
      <c r="G532" t="s">
        <v>32</v>
      </c>
      <c r="H532">
        <v>53</v>
      </c>
      <c r="I532" t="str">
        <f>VLOOKUP(B532,товар!$A$1:$C$433,2,FALSE)</f>
        <v>Овощи</v>
      </c>
      <c r="J532" s="23">
        <f t="shared" si="41"/>
        <v>250.48780487804879</v>
      </c>
      <c r="K532" s="24">
        <f t="shared" si="42"/>
        <v>-0.740506329113924</v>
      </c>
      <c r="L532" t="str">
        <f>VLOOKUP(B532,товар!$A$1:$C$433,3,FALSE)</f>
        <v>Семко</v>
      </c>
      <c r="M532">
        <f t="shared" si="43"/>
        <v>208</v>
      </c>
      <c r="N532" s="30">
        <f>VLOOKUP(H532,клиенты!$A$1:$G$435,5,FALSE)</f>
        <v>44593</v>
      </c>
      <c r="O532">
        <f t="shared" si="44"/>
        <v>549</v>
      </c>
    </row>
    <row r="533" spans="1:15" x14ac:dyDescent="0.3">
      <c r="A533">
        <v>532</v>
      </c>
      <c r="B533">
        <v>161</v>
      </c>
      <c r="C533">
        <v>489</v>
      </c>
      <c r="D533">
        <v>5</v>
      </c>
      <c r="E533">
        <f t="shared" si="40"/>
        <v>2445</v>
      </c>
      <c r="F533" s="30">
        <v>45117</v>
      </c>
      <c r="G533" t="s">
        <v>20</v>
      </c>
      <c r="H533">
        <v>143</v>
      </c>
      <c r="I533" t="str">
        <f>VLOOKUP(B533,товар!$A$1:$C$433,2,FALSE)</f>
        <v>Молоко</v>
      </c>
      <c r="J533" s="23">
        <f t="shared" si="41"/>
        <v>294.95238095238096</v>
      </c>
      <c r="K533" s="24">
        <f t="shared" si="42"/>
        <v>0.65789473684210531</v>
      </c>
      <c r="L533" t="str">
        <f>VLOOKUP(B533,товар!$A$1:$C$433,3,FALSE)</f>
        <v>Простоквашино</v>
      </c>
      <c r="M533">
        <f t="shared" si="43"/>
        <v>318.81818181818181</v>
      </c>
      <c r="N533" s="30">
        <f>VLOOKUP(H533,клиенты!$A$1:$G$435,5,FALSE)</f>
        <v>44601</v>
      </c>
      <c r="O533">
        <f t="shared" si="44"/>
        <v>516</v>
      </c>
    </row>
    <row r="534" spans="1:15" x14ac:dyDescent="0.3">
      <c r="A534">
        <v>533</v>
      </c>
      <c r="B534">
        <v>83</v>
      </c>
      <c r="C534">
        <v>315</v>
      </c>
      <c r="D534">
        <v>2</v>
      </c>
      <c r="E534">
        <f t="shared" si="40"/>
        <v>630</v>
      </c>
      <c r="F534" s="30">
        <v>45369</v>
      </c>
      <c r="G534" t="s">
        <v>23</v>
      </c>
      <c r="H534">
        <v>135</v>
      </c>
      <c r="I534" t="str">
        <f>VLOOKUP(B534,товар!$A$1:$C$433,2,FALSE)</f>
        <v>Сок</v>
      </c>
      <c r="J534" s="23">
        <f t="shared" si="41"/>
        <v>268.60344827586209</v>
      </c>
      <c r="K534" s="24">
        <f t="shared" si="42"/>
        <v>0.17273252455228172</v>
      </c>
      <c r="L534" t="str">
        <f>VLOOKUP(B534,товар!$A$1:$C$433,3,FALSE)</f>
        <v>Сады Придонья</v>
      </c>
      <c r="M534">
        <f t="shared" si="43"/>
        <v>254.18181818181819</v>
      </c>
      <c r="N534" s="30">
        <f>VLOOKUP(H534,клиенты!$A$1:$G$435,5,FALSE)</f>
        <v>44602</v>
      </c>
      <c r="O534">
        <f t="shared" si="44"/>
        <v>767</v>
      </c>
    </row>
    <row r="535" spans="1:15" x14ac:dyDescent="0.3">
      <c r="A535">
        <v>534</v>
      </c>
      <c r="B535">
        <v>315</v>
      </c>
      <c r="C535">
        <v>348</v>
      </c>
      <c r="D535">
        <v>2</v>
      </c>
      <c r="E535">
        <f t="shared" si="40"/>
        <v>696</v>
      </c>
      <c r="F535" s="30">
        <v>45002</v>
      </c>
      <c r="G535" t="s">
        <v>19</v>
      </c>
      <c r="H535">
        <v>402</v>
      </c>
      <c r="I535" t="str">
        <f>VLOOKUP(B535,товар!$A$1:$C$433,2,FALSE)</f>
        <v>Йогурт</v>
      </c>
      <c r="J535" s="23">
        <f t="shared" si="41"/>
        <v>263.25423728813558</v>
      </c>
      <c r="K535" s="24">
        <f t="shared" si="42"/>
        <v>0.32191604429564769</v>
      </c>
      <c r="L535" t="str">
        <f>VLOOKUP(B535,товар!$A$1:$C$433,3,FALSE)</f>
        <v>Чудо</v>
      </c>
      <c r="M535">
        <f t="shared" si="43"/>
        <v>287.10000000000002</v>
      </c>
      <c r="N535" s="30">
        <f>VLOOKUP(H535,клиенты!$A$1:$G$435,5,FALSE)</f>
        <v>44742</v>
      </c>
      <c r="O535">
        <f t="shared" si="44"/>
        <v>260</v>
      </c>
    </row>
    <row r="536" spans="1:15" x14ac:dyDescent="0.3">
      <c r="A536">
        <v>535</v>
      </c>
      <c r="B536">
        <v>121</v>
      </c>
      <c r="C536">
        <v>77</v>
      </c>
      <c r="D536">
        <v>1</v>
      </c>
      <c r="E536">
        <f t="shared" si="40"/>
        <v>77</v>
      </c>
      <c r="F536" s="30">
        <v>45047</v>
      </c>
      <c r="G536" t="s">
        <v>18</v>
      </c>
      <c r="H536">
        <v>279</v>
      </c>
      <c r="I536" t="str">
        <f>VLOOKUP(B536,товар!$A$1:$C$433,2,FALSE)</f>
        <v>Чипсы</v>
      </c>
      <c r="J536" s="23">
        <f t="shared" si="41"/>
        <v>273.72549019607845</v>
      </c>
      <c r="K536" s="24">
        <f t="shared" si="42"/>
        <v>-0.71869627507163325</v>
      </c>
      <c r="L536" t="str">
        <f>VLOOKUP(B536,товар!$A$1:$C$433,3,FALSE)</f>
        <v>Pringles</v>
      </c>
      <c r="M536">
        <f t="shared" si="43"/>
        <v>280.23809523809524</v>
      </c>
      <c r="N536" s="30">
        <f>VLOOKUP(H536,клиенты!$A$1:$G$435,5,FALSE)</f>
        <v>44786</v>
      </c>
      <c r="O536">
        <f t="shared" si="44"/>
        <v>261</v>
      </c>
    </row>
    <row r="537" spans="1:15" x14ac:dyDescent="0.3">
      <c r="A537">
        <v>536</v>
      </c>
      <c r="B537">
        <v>371</v>
      </c>
      <c r="C537">
        <v>62</v>
      </c>
      <c r="D537">
        <v>5</v>
      </c>
      <c r="E537">
        <f t="shared" si="40"/>
        <v>310</v>
      </c>
      <c r="F537" s="30">
        <v>45330</v>
      </c>
      <c r="G537" t="s">
        <v>17</v>
      </c>
      <c r="H537">
        <v>385</v>
      </c>
      <c r="I537" t="str">
        <f>VLOOKUP(B537,товар!$A$1:$C$433,2,FALSE)</f>
        <v>Сахар</v>
      </c>
      <c r="J537" s="23">
        <f t="shared" si="41"/>
        <v>252.76271186440678</v>
      </c>
      <c r="K537" s="24">
        <f t="shared" si="42"/>
        <v>-0.75471065513310531</v>
      </c>
      <c r="L537" t="str">
        <f>VLOOKUP(B537,товар!$A$1:$C$433,3,FALSE)</f>
        <v>Русский сахар</v>
      </c>
      <c r="M537">
        <f t="shared" si="43"/>
        <v>293.41176470588238</v>
      </c>
      <c r="N537" s="30">
        <f>VLOOKUP(H537,клиенты!$A$1:$G$435,5,FALSE)</f>
        <v>44753</v>
      </c>
      <c r="O537">
        <f t="shared" si="44"/>
        <v>577</v>
      </c>
    </row>
    <row r="538" spans="1:15" x14ac:dyDescent="0.3">
      <c r="A538">
        <v>537</v>
      </c>
      <c r="B538">
        <v>169</v>
      </c>
      <c r="C538">
        <v>429</v>
      </c>
      <c r="D538">
        <v>2</v>
      </c>
      <c r="E538">
        <f t="shared" si="40"/>
        <v>858</v>
      </c>
      <c r="F538" s="30">
        <v>45289</v>
      </c>
      <c r="G538" t="s">
        <v>33</v>
      </c>
      <c r="H538">
        <v>326</v>
      </c>
      <c r="I538" t="str">
        <f>VLOOKUP(B538,товар!$A$1:$C$433,2,FALSE)</f>
        <v>Фрукты</v>
      </c>
      <c r="J538" s="23">
        <f t="shared" si="41"/>
        <v>274.16279069767444</v>
      </c>
      <c r="K538" s="24">
        <f t="shared" si="42"/>
        <v>0.56476376282975638</v>
      </c>
      <c r="L538" t="str">
        <f>VLOOKUP(B538,товар!$A$1:$C$433,3,FALSE)</f>
        <v>Фруктовый Рай</v>
      </c>
      <c r="M538">
        <f t="shared" si="43"/>
        <v>258.30769230769232</v>
      </c>
      <c r="N538" s="30">
        <f>VLOOKUP(H538,клиенты!$A$1:$G$435,5,FALSE)</f>
        <v>44655</v>
      </c>
      <c r="O538">
        <f t="shared" si="44"/>
        <v>634</v>
      </c>
    </row>
    <row r="539" spans="1:15" x14ac:dyDescent="0.3">
      <c r="A539">
        <v>538</v>
      </c>
      <c r="B539">
        <v>433</v>
      </c>
      <c r="C539">
        <v>115</v>
      </c>
      <c r="D539">
        <v>4</v>
      </c>
      <c r="E539">
        <f t="shared" si="40"/>
        <v>460</v>
      </c>
      <c r="F539" s="30">
        <v>45203</v>
      </c>
      <c r="G539" t="s">
        <v>32</v>
      </c>
      <c r="H539">
        <v>138</v>
      </c>
      <c r="I539" t="str">
        <f>VLOOKUP(B539,товар!$A$1:$C$433,2,FALSE)</f>
        <v>Рыба</v>
      </c>
      <c r="J539" s="23">
        <f t="shared" si="41"/>
        <v>258.5128205128205</v>
      </c>
      <c r="K539" s="24">
        <f t="shared" si="42"/>
        <v>-0.55514778813727439</v>
      </c>
      <c r="L539" t="str">
        <f>VLOOKUP(B539,товар!$A$1:$C$433,3,FALSE)</f>
        <v>Меридиан</v>
      </c>
      <c r="M539">
        <f t="shared" si="43"/>
        <v>260.64705882352939</v>
      </c>
      <c r="N539" s="30">
        <f>VLOOKUP(H539,клиенты!$A$1:$G$435,5,FALSE)</f>
        <v>44723</v>
      </c>
      <c r="O539">
        <f t="shared" si="44"/>
        <v>480</v>
      </c>
    </row>
    <row r="540" spans="1:15" x14ac:dyDescent="0.3">
      <c r="A540">
        <v>539</v>
      </c>
      <c r="B540">
        <v>43</v>
      </c>
      <c r="C540">
        <v>158</v>
      </c>
      <c r="D540">
        <v>5</v>
      </c>
      <c r="E540">
        <f t="shared" si="40"/>
        <v>790</v>
      </c>
      <c r="F540" s="30">
        <v>45397</v>
      </c>
      <c r="G540" t="s">
        <v>23</v>
      </c>
      <c r="H540">
        <v>271</v>
      </c>
      <c r="I540" t="str">
        <f>VLOOKUP(B540,товар!$A$1:$C$433,2,FALSE)</f>
        <v>Печенье</v>
      </c>
      <c r="J540" s="23">
        <f t="shared" si="41"/>
        <v>283.468085106383</v>
      </c>
      <c r="K540" s="24">
        <f t="shared" si="42"/>
        <v>-0.44261802897245373</v>
      </c>
      <c r="L540" t="str">
        <f>VLOOKUP(B540,товар!$A$1:$C$433,3,FALSE)</f>
        <v>КДВ</v>
      </c>
      <c r="M540">
        <f t="shared" si="43"/>
        <v>323.07692307692309</v>
      </c>
      <c r="N540" s="30">
        <f>VLOOKUP(H540,клиенты!$A$1:$G$435,5,FALSE)</f>
        <v>44892</v>
      </c>
      <c r="O540">
        <f t="shared" si="44"/>
        <v>505</v>
      </c>
    </row>
    <row r="541" spans="1:15" x14ac:dyDescent="0.3">
      <c r="A541">
        <v>540</v>
      </c>
      <c r="B541">
        <v>453</v>
      </c>
      <c r="C541">
        <v>318</v>
      </c>
      <c r="D541">
        <v>4</v>
      </c>
      <c r="E541">
        <f t="shared" si="40"/>
        <v>1272</v>
      </c>
      <c r="F541" s="30">
        <v>45355</v>
      </c>
      <c r="G541" t="s">
        <v>23</v>
      </c>
      <c r="H541">
        <v>408</v>
      </c>
      <c r="I541" t="str">
        <f>VLOOKUP(B541,товар!$A$1:$C$433,2,FALSE)</f>
        <v>Макароны</v>
      </c>
      <c r="J541" s="23">
        <f t="shared" si="41"/>
        <v>265.47674418604652</v>
      </c>
      <c r="K541" s="24">
        <f t="shared" si="42"/>
        <v>0.19784503525907748</v>
      </c>
      <c r="L541" t="str">
        <f>VLOOKUP(B541,товар!$A$1:$C$433,3,FALSE)</f>
        <v>Макфа</v>
      </c>
      <c r="M541">
        <f t="shared" si="43"/>
        <v>329.27272727272725</v>
      </c>
      <c r="N541" s="30">
        <f>VLOOKUP(H541,клиенты!$A$1:$G$435,5,FALSE)</f>
        <v>44857</v>
      </c>
      <c r="O541">
        <f t="shared" si="44"/>
        <v>498</v>
      </c>
    </row>
    <row r="542" spans="1:15" x14ac:dyDescent="0.3">
      <c r="A542">
        <v>541</v>
      </c>
      <c r="B542">
        <v>403</v>
      </c>
      <c r="C542">
        <v>184</v>
      </c>
      <c r="D542">
        <v>5</v>
      </c>
      <c r="E542">
        <f t="shared" si="40"/>
        <v>920</v>
      </c>
      <c r="F542" s="30">
        <v>45378</v>
      </c>
      <c r="G542" t="s">
        <v>18</v>
      </c>
      <c r="H542">
        <v>444</v>
      </c>
      <c r="I542" t="str">
        <f>VLOOKUP(B542,товар!$A$1:$C$433,2,FALSE)</f>
        <v>Чай</v>
      </c>
      <c r="J542" s="23">
        <f t="shared" si="41"/>
        <v>271.18181818181819</v>
      </c>
      <c r="K542" s="24">
        <f t="shared" si="42"/>
        <v>-0.32148843446195108</v>
      </c>
      <c r="L542" t="str">
        <f>VLOOKUP(B542,товар!$A$1:$C$433,3,FALSE)</f>
        <v>Ахмад</v>
      </c>
      <c r="M542">
        <f t="shared" si="43"/>
        <v>243.3</v>
      </c>
      <c r="N542" s="30">
        <f>VLOOKUP(H542,клиенты!$A$1:$G$435,5,FALSE)</f>
        <v>44688</v>
      </c>
      <c r="O542">
        <f t="shared" si="44"/>
        <v>690</v>
      </c>
    </row>
    <row r="543" spans="1:15" x14ac:dyDescent="0.3">
      <c r="A543">
        <v>542</v>
      </c>
      <c r="B543">
        <v>248</v>
      </c>
      <c r="C543">
        <v>497</v>
      </c>
      <c r="D543">
        <v>2</v>
      </c>
      <c r="E543">
        <f t="shared" si="40"/>
        <v>994</v>
      </c>
      <c r="F543" s="30">
        <v>45051</v>
      </c>
      <c r="G543" t="s">
        <v>24</v>
      </c>
      <c r="H543">
        <v>116</v>
      </c>
      <c r="I543" t="str">
        <f>VLOOKUP(B543,товар!$A$1:$C$433,2,FALSE)</f>
        <v>Конфеты</v>
      </c>
      <c r="J543" s="23">
        <f t="shared" si="41"/>
        <v>267.85483870967744</v>
      </c>
      <c r="K543" s="24">
        <f t="shared" si="42"/>
        <v>0.85548262780755091</v>
      </c>
      <c r="L543" t="str">
        <f>VLOOKUP(B543,товар!$A$1:$C$433,3,FALSE)</f>
        <v>Красный Октябрь</v>
      </c>
      <c r="M543">
        <f t="shared" si="43"/>
        <v>273.625</v>
      </c>
      <c r="N543" s="30">
        <f>VLOOKUP(H543,клиенты!$A$1:$G$435,5,FALSE)</f>
        <v>44643</v>
      </c>
      <c r="O543">
        <f t="shared" si="44"/>
        <v>408</v>
      </c>
    </row>
    <row r="544" spans="1:15" x14ac:dyDescent="0.3">
      <c r="A544">
        <v>543</v>
      </c>
      <c r="B544">
        <v>492</v>
      </c>
      <c r="C544">
        <v>469</v>
      </c>
      <c r="D544">
        <v>4</v>
      </c>
      <c r="E544">
        <f t="shared" si="40"/>
        <v>1876</v>
      </c>
      <c r="F544" s="30">
        <v>45386</v>
      </c>
      <c r="G544" t="s">
        <v>17</v>
      </c>
      <c r="H544">
        <v>38</v>
      </c>
      <c r="I544" t="str">
        <f>VLOOKUP(B544,товар!$A$1:$C$433,2,FALSE)</f>
        <v>Рыба</v>
      </c>
      <c r="J544" s="23">
        <f t="shared" si="41"/>
        <v>258.5128205128205</v>
      </c>
      <c r="K544" s="24">
        <f t="shared" si="42"/>
        <v>0.81422336837928988</v>
      </c>
      <c r="L544" t="str">
        <f>VLOOKUP(B544,товар!$A$1:$C$433,3,FALSE)</f>
        <v>Русское море</v>
      </c>
      <c r="M544">
        <f t="shared" si="43"/>
        <v>292.66666666666669</v>
      </c>
      <c r="N544" s="30">
        <f>VLOOKUP(H544,клиенты!$A$1:$G$435,5,FALSE)</f>
        <v>44819</v>
      </c>
      <c r="O544">
        <f t="shared" si="44"/>
        <v>567</v>
      </c>
    </row>
    <row r="545" spans="1:15" x14ac:dyDescent="0.3">
      <c r="A545">
        <v>544</v>
      </c>
      <c r="B545">
        <v>428</v>
      </c>
      <c r="C545">
        <v>263</v>
      </c>
      <c r="D545">
        <v>4</v>
      </c>
      <c r="E545">
        <f t="shared" si="40"/>
        <v>1052</v>
      </c>
      <c r="F545" s="30">
        <v>45385</v>
      </c>
      <c r="G545" t="s">
        <v>29</v>
      </c>
      <c r="H545">
        <v>136</v>
      </c>
      <c r="I545" t="str">
        <f>VLOOKUP(B545,товар!$A$1:$C$433,2,FALSE)</f>
        <v>Конфеты</v>
      </c>
      <c r="J545" s="23">
        <f t="shared" si="41"/>
        <v>267.85483870967744</v>
      </c>
      <c r="K545" s="24">
        <f t="shared" si="42"/>
        <v>-1.8124887095803066E-2</v>
      </c>
      <c r="L545" t="str">
        <f>VLOOKUP(B545,товар!$A$1:$C$433,3,FALSE)</f>
        <v>Бабаевский</v>
      </c>
      <c r="M545">
        <f t="shared" si="43"/>
        <v>250.25925925925927</v>
      </c>
      <c r="N545" s="30">
        <f>VLOOKUP(H545,клиенты!$A$1:$G$435,5,FALSE)</f>
        <v>44860</v>
      </c>
      <c r="O545">
        <f t="shared" si="44"/>
        <v>525</v>
      </c>
    </row>
    <row r="546" spans="1:15" x14ac:dyDescent="0.3">
      <c r="A546">
        <v>545</v>
      </c>
      <c r="B546">
        <v>91</v>
      </c>
      <c r="C546">
        <v>335</v>
      </c>
      <c r="D546">
        <v>2</v>
      </c>
      <c r="E546">
        <f t="shared" si="40"/>
        <v>670</v>
      </c>
      <c r="F546" s="30">
        <v>45186</v>
      </c>
      <c r="G546" t="s">
        <v>30</v>
      </c>
      <c r="H546">
        <v>310</v>
      </c>
      <c r="I546" t="str">
        <f>VLOOKUP(B546,товар!$A$1:$C$433,2,FALSE)</f>
        <v>Сыр</v>
      </c>
      <c r="J546" s="23">
        <f t="shared" si="41"/>
        <v>262.63492063492066</v>
      </c>
      <c r="K546" s="24">
        <f t="shared" si="42"/>
        <v>0.27553487247673147</v>
      </c>
      <c r="L546" t="str">
        <f>VLOOKUP(B546,товар!$A$1:$C$433,3,FALSE)</f>
        <v>Сырная долина</v>
      </c>
      <c r="M546">
        <f t="shared" si="43"/>
        <v>271</v>
      </c>
      <c r="N546" s="30">
        <f>VLOOKUP(H546,клиенты!$A$1:$G$435,5,FALSE)</f>
        <v>44807</v>
      </c>
      <c r="O546">
        <f t="shared" si="44"/>
        <v>379</v>
      </c>
    </row>
    <row r="547" spans="1:15" x14ac:dyDescent="0.3">
      <c r="A547">
        <v>546</v>
      </c>
      <c r="B547">
        <v>122</v>
      </c>
      <c r="C547">
        <v>309</v>
      </c>
      <c r="D547">
        <v>3</v>
      </c>
      <c r="E547">
        <f t="shared" si="40"/>
        <v>927</v>
      </c>
      <c r="F547" s="30">
        <v>45073</v>
      </c>
      <c r="G547" t="s">
        <v>26</v>
      </c>
      <c r="H547">
        <v>263</v>
      </c>
      <c r="I547" t="str">
        <f>VLOOKUP(B547,товар!$A$1:$C$433,2,FALSE)</f>
        <v>Фрукты</v>
      </c>
      <c r="J547" s="23">
        <f t="shared" si="41"/>
        <v>274.16279069767444</v>
      </c>
      <c r="K547" s="24">
        <f t="shared" si="42"/>
        <v>0.12706760539485962</v>
      </c>
      <c r="L547" t="str">
        <f>VLOOKUP(B547,товар!$A$1:$C$433,3,FALSE)</f>
        <v>Фрукты-Ягоды</v>
      </c>
      <c r="M547">
        <f t="shared" si="43"/>
        <v>280.66666666666669</v>
      </c>
      <c r="N547" s="30">
        <f>VLOOKUP(H547,клиенты!$A$1:$G$435,5,FALSE)</f>
        <v>44612</v>
      </c>
      <c r="O547">
        <f t="shared" si="44"/>
        <v>461</v>
      </c>
    </row>
    <row r="548" spans="1:15" x14ac:dyDescent="0.3">
      <c r="A548">
        <v>547</v>
      </c>
      <c r="B548">
        <v>444</v>
      </c>
      <c r="C548">
        <v>59</v>
      </c>
      <c r="D548">
        <v>2</v>
      </c>
      <c r="E548">
        <f t="shared" si="40"/>
        <v>118</v>
      </c>
      <c r="F548" s="30">
        <v>45263</v>
      </c>
      <c r="G548" t="s">
        <v>34</v>
      </c>
      <c r="H548">
        <v>381</v>
      </c>
      <c r="I548" t="str">
        <f>VLOOKUP(B548,товар!$A$1:$C$433,2,FALSE)</f>
        <v>Йогурт</v>
      </c>
      <c r="J548" s="23">
        <f t="shared" si="41"/>
        <v>263.25423728813558</v>
      </c>
      <c r="K548" s="24">
        <f t="shared" si="42"/>
        <v>-0.77588204996137011</v>
      </c>
      <c r="L548" t="str">
        <f>VLOOKUP(B548,товар!$A$1:$C$433,3,FALSE)</f>
        <v>Эрманн</v>
      </c>
      <c r="M548">
        <f t="shared" si="43"/>
        <v>248.5</v>
      </c>
      <c r="N548" s="30">
        <f>VLOOKUP(H548,клиенты!$A$1:$G$435,5,FALSE)</f>
        <v>44714</v>
      </c>
      <c r="O548">
        <f t="shared" si="44"/>
        <v>549</v>
      </c>
    </row>
    <row r="549" spans="1:15" x14ac:dyDescent="0.3">
      <c r="A549">
        <v>548</v>
      </c>
      <c r="B549">
        <v>334</v>
      </c>
      <c r="C549">
        <v>459</v>
      </c>
      <c r="D549">
        <v>5</v>
      </c>
      <c r="E549">
        <f t="shared" si="40"/>
        <v>2295</v>
      </c>
      <c r="F549" s="30">
        <v>45146</v>
      </c>
      <c r="G549" t="s">
        <v>15</v>
      </c>
      <c r="H549">
        <v>167</v>
      </c>
      <c r="I549" t="str">
        <f>VLOOKUP(B549,товар!$A$1:$C$433,2,FALSE)</f>
        <v>Молоко</v>
      </c>
      <c r="J549" s="23">
        <f t="shared" si="41"/>
        <v>294.95238095238096</v>
      </c>
      <c r="K549" s="24">
        <f t="shared" si="42"/>
        <v>0.55618340329350979</v>
      </c>
      <c r="L549" t="str">
        <f>VLOOKUP(B549,товар!$A$1:$C$433,3,FALSE)</f>
        <v>Домик в деревне</v>
      </c>
      <c r="M549">
        <f t="shared" si="43"/>
        <v>274.77777777777777</v>
      </c>
      <c r="N549" s="30">
        <f>VLOOKUP(H549,клиенты!$A$1:$G$435,5,FALSE)</f>
        <v>44563</v>
      </c>
      <c r="O549">
        <f t="shared" si="44"/>
        <v>583</v>
      </c>
    </row>
    <row r="550" spans="1:15" x14ac:dyDescent="0.3">
      <c r="A550">
        <v>549</v>
      </c>
      <c r="B550">
        <v>431</v>
      </c>
      <c r="C550">
        <v>149</v>
      </c>
      <c r="D550">
        <v>5</v>
      </c>
      <c r="E550">
        <f t="shared" si="40"/>
        <v>745</v>
      </c>
      <c r="F550" s="30">
        <v>45271</v>
      </c>
      <c r="G550" t="s">
        <v>30</v>
      </c>
      <c r="H550">
        <v>12</v>
      </c>
      <c r="I550" t="str">
        <f>VLOOKUP(B550,товар!$A$1:$C$433,2,FALSE)</f>
        <v>Овощи</v>
      </c>
      <c r="J550" s="23">
        <f t="shared" si="41"/>
        <v>250.48780487804879</v>
      </c>
      <c r="K550" s="24">
        <f t="shared" si="42"/>
        <v>-0.40516066212268742</v>
      </c>
      <c r="L550" t="str">
        <f>VLOOKUP(B550,товар!$A$1:$C$433,3,FALSE)</f>
        <v>Гавриш</v>
      </c>
      <c r="M550">
        <f t="shared" si="43"/>
        <v>247.66666666666666</v>
      </c>
      <c r="N550" s="30">
        <f>VLOOKUP(H550,клиенты!$A$1:$G$435,5,FALSE)</f>
        <v>44842</v>
      </c>
      <c r="O550">
        <f t="shared" si="44"/>
        <v>429</v>
      </c>
    </row>
    <row r="551" spans="1:15" x14ac:dyDescent="0.3">
      <c r="A551">
        <v>550</v>
      </c>
      <c r="B551">
        <v>62</v>
      </c>
      <c r="C551">
        <v>88</v>
      </c>
      <c r="D551">
        <v>1</v>
      </c>
      <c r="E551">
        <f t="shared" si="40"/>
        <v>88</v>
      </c>
      <c r="F551" s="30">
        <v>44950</v>
      </c>
      <c r="G551" t="s">
        <v>21</v>
      </c>
      <c r="H551">
        <v>44</v>
      </c>
      <c r="I551" t="str">
        <f>VLOOKUP(B551,товар!$A$1:$C$433,2,FALSE)</f>
        <v>Рыба</v>
      </c>
      <c r="J551" s="23">
        <f t="shared" si="41"/>
        <v>258.5128205128205</v>
      </c>
      <c r="K551" s="24">
        <f t="shared" si="42"/>
        <v>-0.65959135092243604</v>
      </c>
      <c r="L551" t="str">
        <f>VLOOKUP(B551,товар!$A$1:$C$433,3,FALSE)</f>
        <v>Балтийский берег</v>
      </c>
      <c r="M551">
        <f t="shared" si="43"/>
        <v>289.88888888888891</v>
      </c>
      <c r="N551" s="30">
        <f>VLOOKUP(H551,клиенты!$A$1:$G$435,5,FALSE)</f>
        <v>44701</v>
      </c>
      <c r="O551">
        <f t="shared" si="44"/>
        <v>249</v>
      </c>
    </row>
    <row r="552" spans="1:15" x14ac:dyDescent="0.3">
      <c r="A552">
        <v>551</v>
      </c>
      <c r="B552">
        <v>458</v>
      </c>
      <c r="C552">
        <v>79</v>
      </c>
      <c r="D552">
        <v>2</v>
      </c>
      <c r="E552">
        <f t="shared" si="40"/>
        <v>158</v>
      </c>
      <c r="F552" s="30">
        <v>45023</v>
      </c>
      <c r="G552" t="s">
        <v>29</v>
      </c>
      <c r="H552">
        <v>133</v>
      </c>
      <c r="I552" t="str">
        <f>VLOOKUP(B552,товар!$A$1:$C$433,2,FALSE)</f>
        <v>Макароны</v>
      </c>
      <c r="J552" s="23">
        <f t="shared" si="41"/>
        <v>265.47674418604652</v>
      </c>
      <c r="K552" s="24">
        <f t="shared" si="42"/>
        <v>-0.70242214532871972</v>
      </c>
      <c r="L552" t="str">
        <f>VLOOKUP(B552,товар!$A$1:$C$433,3,FALSE)</f>
        <v>Борилла</v>
      </c>
      <c r="M552">
        <f t="shared" si="43"/>
        <v>236.27586206896552</v>
      </c>
      <c r="N552" s="30">
        <f>VLOOKUP(H552,клиенты!$A$1:$G$435,5,FALSE)</f>
        <v>44588</v>
      </c>
      <c r="O552">
        <f t="shared" si="44"/>
        <v>435</v>
      </c>
    </row>
    <row r="553" spans="1:15" x14ac:dyDescent="0.3">
      <c r="A553">
        <v>552</v>
      </c>
      <c r="B553">
        <v>119</v>
      </c>
      <c r="C553">
        <v>369</v>
      </c>
      <c r="D553">
        <v>2</v>
      </c>
      <c r="E553">
        <f t="shared" si="40"/>
        <v>738</v>
      </c>
      <c r="F553" s="30">
        <v>45105</v>
      </c>
      <c r="G553" t="s">
        <v>27</v>
      </c>
      <c r="H553">
        <v>21</v>
      </c>
      <c r="I553" t="str">
        <f>VLOOKUP(B553,товар!$A$1:$C$433,2,FALSE)</f>
        <v>Печенье</v>
      </c>
      <c r="J553" s="23">
        <f t="shared" si="41"/>
        <v>283.468085106383</v>
      </c>
      <c r="K553" s="24">
        <f t="shared" si="42"/>
        <v>0.30173384372888989</v>
      </c>
      <c r="L553" t="str">
        <f>VLOOKUP(B553,товар!$A$1:$C$433,3,FALSE)</f>
        <v>КДВ</v>
      </c>
      <c r="M553">
        <f t="shared" si="43"/>
        <v>323.07692307692309</v>
      </c>
      <c r="N553" s="30">
        <f>VLOOKUP(H553,клиенты!$A$1:$G$435,5,FALSE)</f>
        <v>44881</v>
      </c>
      <c r="O553">
        <f t="shared" si="44"/>
        <v>224</v>
      </c>
    </row>
    <row r="554" spans="1:15" x14ac:dyDescent="0.3">
      <c r="A554">
        <v>553</v>
      </c>
      <c r="B554">
        <v>388</v>
      </c>
      <c r="C554">
        <v>107</v>
      </c>
      <c r="D554">
        <v>1</v>
      </c>
      <c r="E554">
        <f t="shared" si="40"/>
        <v>107</v>
      </c>
      <c r="F554" s="30">
        <v>45137</v>
      </c>
      <c r="G554" t="s">
        <v>19</v>
      </c>
      <c r="H554">
        <v>179</v>
      </c>
      <c r="I554" t="str">
        <f>VLOOKUP(B554,товар!$A$1:$C$433,2,FALSE)</f>
        <v>Рыба</v>
      </c>
      <c r="J554" s="23">
        <f t="shared" si="41"/>
        <v>258.5128205128205</v>
      </c>
      <c r="K554" s="24">
        <f t="shared" si="42"/>
        <v>-0.5860940289625074</v>
      </c>
      <c r="L554" t="str">
        <f>VLOOKUP(B554,товар!$A$1:$C$433,3,FALSE)</f>
        <v>Меридиан</v>
      </c>
      <c r="M554">
        <f t="shared" si="43"/>
        <v>260.64705882352939</v>
      </c>
      <c r="N554" s="30">
        <f>VLOOKUP(H554,клиенты!$A$1:$G$435,5,FALSE)</f>
        <v>44833</v>
      </c>
      <c r="O554">
        <f t="shared" si="44"/>
        <v>304</v>
      </c>
    </row>
    <row r="555" spans="1:15" x14ac:dyDescent="0.3">
      <c r="A555">
        <v>554</v>
      </c>
      <c r="B555">
        <v>303</v>
      </c>
      <c r="C555">
        <v>258</v>
      </c>
      <c r="D555">
        <v>4</v>
      </c>
      <c r="E555">
        <f t="shared" si="40"/>
        <v>1032</v>
      </c>
      <c r="F555" s="30">
        <v>45076</v>
      </c>
      <c r="G555" t="s">
        <v>25</v>
      </c>
      <c r="H555">
        <v>300</v>
      </c>
      <c r="I555" t="str">
        <f>VLOOKUP(B555,товар!$A$1:$C$433,2,FALSE)</f>
        <v>Фрукты</v>
      </c>
      <c r="J555" s="23">
        <f t="shared" si="41"/>
        <v>274.16279069767444</v>
      </c>
      <c r="K555" s="24">
        <f t="shared" si="42"/>
        <v>-5.89532615149716E-2</v>
      </c>
      <c r="L555" t="str">
        <f>VLOOKUP(B555,товар!$A$1:$C$433,3,FALSE)</f>
        <v>Фруктовый Рай</v>
      </c>
      <c r="M555">
        <f t="shared" si="43"/>
        <v>258.30769230769232</v>
      </c>
      <c r="N555" s="30">
        <f>VLOOKUP(H555,клиенты!$A$1:$G$435,5,FALSE)</f>
        <v>44824</v>
      </c>
      <c r="O555">
        <f t="shared" si="44"/>
        <v>252</v>
      </c>
    </row>
    <row r="556" spans="1:15" x14ac:dyDescent="0.3">
      <c r="A556">
        <v>555</v>
      </c>
      <c r="B556">
        <v>160</v>
      </c>
      <c r="C556">
        <v>400</v>
      </c>
      <c r="D556">
        <v>3</v>
      </c>
      <c r="E556">
        <f t="shared" si="40"/>
        <v>1200</v>
      </c>
      <c r="F556" s="30">
        <v>45181</v>
      </c>
      <c r="G556" t="s">
        <v>34</v>
      </c>
      <c r="H556">
        <v>134</v>
      </c>
      <c r="I556" t="str">
        <f>VLOOKUP(B556,товар!$A$1:$C$433,2,FALSE)</f>
        <v>Крупа</v>
      </c>
      <c r="J556" s="23">
        <f t="shared" si="41"/>
        <v>255.11627906976744</v>
      </c>
      <c r="K556" s="24">
        <f t="shared" si="42"/>
        <v>0.56791248860528709</v>
      </c>
      <c r="L556" t="str">
        <f>VLOOKUP(B556,товар!$A$1:$C$433,3,FALSE)</f>
        <v>Мистраль</v>
      </c>
      <c r="M556">
        <f t="shared" si="43"/>
        <v>250.30769230769232</v>
      </c>
      <c r="N556" s="30">
        <f>VLOOKUP(H556,клиенты!$A$1:$G$435,5,FALSE)</f>
        <v>44753</v>
      </c>
      <c r="O556">
        <f t="shared" si="44"/>
        <v>428</v>
      </c>
    </row>
    <row r="557" spans="1:15" x14ac:dyDescent="0.3">
      <c r="A557">
        <v>556</v>
      </c>
      <c r="B557">
        <v>66</v>
      </c>
      <c r="C557">
        <v>230</v>
      </c>
      <c r="D557">
        <v>2</v>
      </c>
      <c r="E557">
        <f t="shared" si="40"/>
        <v>460</v>
      </c>
      <c r="F557" s="30">
        <v>45074</v>
      </c>
      <c r="G557" t="s">
        <v>28</v>
      </c>
      <c r="H557">
        <v>391</v>
      </c>
      <c r="I557" t="str">
        <f>VLOOKUP(B557,товар!$A$1:$C$433,2,FALSE)</f>
        <v>Кофе</v>
      </c>
      <c r="J557" s="23">
        <f t="shared" si="41"/>
        <v>249.02380952380952</v>
      </c>
      <c r="K557" s="24">
        <f t="shared" si="42"/>
        <v>-7.639353666698534E-2</v>
      </c>
      <c r="L557" t="str">
        <f>VLOOKUP(B557,товар!$A$1:$C$433,3,FALSE)</f>
        <v>Черная Карта</v>
      </c>
      <c r="M557">
        <f t="shared" si="43"/>
        <v>222.2</v>
      </c>
      <c r="N557" s="30">
        <f>VLOOKUP(H557,клиенты!$A$1:$G$435,5,FALSE)</f>
        <v>44675</v>
      </c>
      <c r="O557">
        <f t="shared" si="44"/>
        <v>399</v>
      </c>
    </row>
    <row r="558" spans="1:15" x14ac:dyDescent="0.3">
      <c r="A558">
        <v>557</v>
      </c>
      <c r="B558">
        <v>125</v>
      </c>
      <c r="C558">
        <v>187</v>
      </c>
      <c r="D558">
        <v>5</v>
      </c>
      <c r="E558">
        <f t="shared" si="40"/>
        <v>935</v>
      </c>
      <c r="F558" s="30">
        <v>45027</v>
      </c>
      <c r="G558" t="s">
        <v>30</v>
      </c>
      <c r="H558">
        <v>54</v>
      </c>
      <c r="I558" t="str">
        <f>VLOOKUP(B558,товар!$A$1:$C$433,2,FALSE)</f>
        <v>Рис</v>
      </c>
      <c r="J558" s="23">
        <f t="shared" si="41"/>
        <v>258.375</v>
      </c>
      <c r="K558" s="24">
        <f t="shared" si="42"/>
        <v>-0.27624576681180457</v>
      </c>
      <c r="L558" t="str">
        <f>VLOOKUP(B558,товар!$A$1:$C$433,3,FALSE)</f>
        <v>Националь</v>
      </c>
      <c r="M558">
        <f t="shared" si="43"/>
        <v>187</v>
      </c>
      <c r="N558" s="30">
        <f>VLOOKUP(H558,клиенты!$A$1:$G$435,5,FALSE)</f>
        <v>44847</v>
      </c>
      <c r="O558">
        <f t="shared" si="44"/>
        <v>180</v>
      </c>
    </row>
    <row r="559" spans="1:15" x14ac:dyDescent="0.3">
      <c r="A559">
        <v>558</v>
      </c>
      <c r="B559">
        <v>280</v>
      </c>
      <c r="C559">
        <v>234</v>
      </c>
      <c r="D559">
        <v>2</v>
      </c>
      <c r="E559">
        <f t="shared" si="40"/>
        <v>468</v>
      </c>
      <c r="F559" s="30">
        <v>45088</v>
      </c>
      <c r="G559" t="s">
        <v>19</v>
      </c>
      <c r="H559">
        <v>19</v>
      </c>
      <c r="I559" t="str">
        <f>VLOOKUP(B559,товар!$A$1:$C$433,2,FALSE)</f>
        <v>Сыр</v>
      </c>
      <c r="J559" s="23">
        <f t="shared" si="41"/>
        <v>262.63492063492066</v>
      </c>
      <c r="K559" s="24">
        <f t="shared" si="42"/>
        <v>-0.10902937265804435</v>
      </c>
      <c r="L559" t="str">
        <f>VLOOKUP(B559,товар!$A$1:$C$433,3,FALSE)</f>
        <v>President</v>
      </c>
      <c r="M559">
        <f t="shared" si="43"/>
        <v>238.72222222222223</v>
      </c>
      <c r="N559" s="30">
        <f>VLOOKUP(H559,клиенты!$A$1:$G$435,5,FALSE)</f>
        <v>44902</v>
      </c>
      <c r="O559">
        <f t="shared" si="44"/>
        <v>186</v>
      </c>
    </row>
    <row r="560" spans="1:15" x14ac:dyDescent="0.3">
      <c r="A560">
        <v>559</v>
      </c>
      <c r="B560">
        <v>309</v>
      </c>
      <c r="C560">
        <v>368</v>
      </c>
      <c r="D560">
        <v>3</v>
      </c>
      <c r="E560">
        <f t="shared" si="40"/>
        <v>1104</v>
      </c>
      <c r="F560" s="30">
        <v>44960</v>
      </c>
      <c r="G560" t="s">
        <v>22</v>
      </c>
      <c r="H560">
        <v>340</v>
      </c>
      <c r="I560" t="str">
        <f>VLOOKUP(B560,товар!$A$1:$C$433,2,FALSE)</f>
        <v>Конфеты</v>
      </c>
      <c r="J560" s="23">
        <f t="shared" si="41"/>
        <v>267.85483870967744</v>
      </c>
      <c r="K560" s="24">
        <f t="shared" si="42"/>
        <v>0.37387848497621468</v>
      </c>
      <c r="L560" t="str">
        <f>VLOOKUP(B560,товар!$A$1:$C$433,3,FALSE)</f>
        <v>Рот Фронт</v>
      </c>
      <c r="M560">
        <f t="shared" si="43"/>
        <v>288.23809523809524</v>
      </c>
      <c r="N560" s="30">
        <f>VLOOKUP(H560,клиенты!$A$1:$G$435,5,FALSE)</f>
        <v>44896</v>
      </c>
      <c r="O560">
        <f t="shared" si="44"/>
        <v>64</v>
      </c>
    </row>
    <row r="561" spans="1:15" x14ac:dyDescent="0.3">
      <c r="A561">
        <v>560</v>
      </c>
      <c r="B561">
        <v>317</v>
      </c>
      <c r="C561">
        <v>267</v>
      </c>
      <c r="D561">
        <v>3</v>
      </c>
      <c r="E561">
        <f t="shared" si="40"/>
        <v>801</v>
      </c>
      <c r="F561" s="30">
        <v>45396</v>
      </c>
      <c r="G561" t="s">
        <v>33</v>
      </c>
      <c r="H561">
        <v>71</v>
      </c>
      <c r="I561" t="str">
        <f>VLOOKUP(B561,товар!$A$1:$C$433,2,FALSE)</f>
        <v>Сок</v>
      </c>
      <c r="J561" s="23">
        <f t="shared" si="41"/>
        <v>268.60344827586209</v>
      </c>
      <c r="K561" s="24">
        <f t="shared" si="42"/>
        <v>-5.9695744271135442E-3</v>
      </c>
      <c r="L561" t="str">
        <f>VLOOKUP(B561,товар!$A$1:$C$433,3,FALSE)</f>
        <v>Фруктовый сад</v>
      </c>
      <c r="M561">
        <f t="shared" si="43"/>
        <v>281.96875</v>
      </c>
      <c r="N561" s="30">
        <f>VLOOKUP(H561,клиенты!$A$1:$G$435,5,FALSE)</f>
        <v>44762</v>
      </c>
      <c r="O561">
        <f t="shared" si="44"/>
        <v>634</v>
      </c>
    </row>
    <row r="562" spans="1:15" x14ac:dyDescent="0.3">
      <c r="A562">
        <v>561</v>
      </c>
      <c r="B562">
        <v>260</v>
      </c>
      <c r="C562">
        <v>370</v>
      </c>
      <c r="D562">
        <v>5</v>
      </c>
      <c r="E562">
        <f t="shared" si="40"/>
        <v>1850</v>
      </c>
      <c r="F562" s="30">
        <v>44958</v>
      </c>
      <c r="G562" t="s">
        <v>25</v>
      </c>
      <c r="H562">
        <v>102</v>
      </c>
      <c r="I562" t="str">
        <f>VLOOKUP(B562,товар!$A$1:$C$433,2,FALSE)</f>
        <v>Соль</v>
      </c>
      <c r="J562" s="23">
        <f t="shared" si="41"/>
        <v>264.8679245283019</v>
      </c>
      <c r="K562" s="24">
        <f t="shared" si="42"/>
        <v>0.39692263855250021</v>
      </c>
      <c r="L562" t="str">
        <f>VLOOKUP(B562,товар!$A$1:$C$433,3,FALSE)</f>
        <v>Экстра</v>
      </c>
      <c r="M562">
        <f t="shared" si="43"/>
        <v>320.84615384615387</v>
      </c>
      <c r="N562" s="30">
        <f>VLOOKUP(H562,клиенты!$A$1:$G$435,5,FALSE)</f>
        <v>44723</v>
      </c>
      <c r="O562">
        <f t="shared" si="44"/>
        <v>235</v>
      </c>
    </row>
    <row r="563" spans="1:15" x14ac:dyDescent="0.3">
      <c r="A563">
        <v>562</v>
      </c>
      <c r="B563">
        <v>448</v>
      </c>
      <c r="C563">
        <v>170</v>
      </c>
      <c r="D563">
        <v>1</v>
      </c>
      <c r="E563">
        <f t="shared" si="40"/>
        <v>170</v>
      </c>
      <c r="F563" s="30">
        <v>45075</v>
      </c>
      <c r="G563" t="s">
        <v>33</v>
      </c>
      <c r="H563">
        <v>43</v>
      </c>
      <c r="I563" t="str">
        <f>VLOOKUP(B563,товар!$A$1:$C$433,2,FALSE)</f>
        <v>Йогурт</v>
      </c>
      <c r="J563" s="23">
        <f t="shared" si="41"/>
        <v>263.25423728813558</v>
      </c>
      <c r="K563" s="24">
        <f t="shared" si="42"/>
        <v>-0.35423641514293069</v>
      </c>
      <c r="L563" t="str">
        <f>VLOOKUP(B563,товар!$A$1:$C$433,3,FALSE)</f>
        <v>Ростагроэкспорт</v>
      </c>
      <c r="M563">
        <f t="shared" si="43"/>
        <v>257.78260869565219</v>
      </c>
      <c r="N563" s="30">
        <f>VLOOKUP(H563,клиенты!$A$1:$G$435,5,FALSE)</f>
        <v>44912</v>
      </c>
      <c r="O563">
        <f t="shared" si="44"/>
        <v>163</v>
      </c>
    </row>
    <row r="564" spans="1:15" x14ac:dyDescent="0.3">
      <c r="A564">
        <v>563</v>
      </c>
      <c r="B564">
        <v>158</v>
      </c>
      <c r="C564">
        <v>71</v>
      </c>
      <c r="D564">
        <v>2</v>
      </c>
      <c r="E564">
        <f t="shared" si="40"/>
        <v>142</v>
      </c>
      <c r="F564" s="30">
        <v>45051</v>
      </c>
      <c r="G564" t="s">
        <v>20</v>
      </c>
      <c r="H564">
        <v>29</v>
      </c>
      <c r="I564" t="str">
        <f>VLOOKUP(B564,товар!$A$1:$C$433,2,FALSE)</f>
        <v>Сахар</v>
      </c>
      <c r="J564" s="23">
        <f t="shared" si="41"/>
        <v>252.76271186440678</v>
      </c>
      <c r="K564" s="24">
        <f t="shared" si="42"/>
        <v>-0.71910413732984646</v>
      </c>
      <c r="L564" t="str">
        <f>VLOOKUP(B564,товар!$A$1:$C$433,3,FALSE)</f>
        <v>Сладов</v>
      </c>
      <c r="M564">
        <f t="shared" si="43"/>
        <v>240.26666666666668</v>
      </c>
      <c r="N564" s="30">
        <f>VLOOKUP(H564,клиенты!$A$1:$G$435,5,FALSE)</f>
        <v>44704</v>
      </c>
      <c r="O564">
        <f t="shared" si="44"/>
        <v>347</v>
      </c>
    </row>
    <row r="565" spans="1:15" x14ac:dyDescent="0.3">
      <c r="A565">
        <v>564</v>
      </c>
      <c r="B565">
        <v>274</v>
      </c>
      <c r="C565">
        <v>472</v>
      </c>
      <c r="D565">
        <v>3</v>
      </c>
      <c r="E565">
        <f t="shared" si="40"/>
        <v>1416</v>
      </c>
      <c r="F565" s="30">
        <v>45408</v>
      </c>
      <c r="G565" t="s">
        <v>16</v>
      </c>
      <c r="H565">
        <v>272</v>
      </c>
      <c r="I565" t="str">
        <f>VLOOKUP(B565,товар!$A$1:$C$433,2,FALSE)</f>
        <v>Молоко</v>
      </c>
      <c r="J565" s="23">
        <f t="shared" si="41"/>
        <v>294.95238095238096</v>
      </c>
      <c r="K565" s="24">
        <f t="shared" si="42"/>
        <v>0.60025831449790124</v>
      </c>
      <c r="L565" t="str">
        <f>VLOOKUP(B565,товар!$A$1:$C$433,3,FALSE)</f>
        <v>Простоквашино</v>
      </c>
      <c r="M565">
        <f t="shared" si="43"/>
        <v>318.81818181818181</v>
      </c>
      <c r="N565" s="30">
        <f>VLOOKUP(H565,клиенты!$A$1:$G$435,5,FALSE)</f>
        <v>44668</v>
      </c>
      <c r="O565">
        <f t="shared" si="44"/>
        <v>740</v>
      </c>
    </row>
    <row r="566" spans="1:15" x14ac:dyDescent="0.3">
      <c r="A566">
        <v>565</v>
      </c>
      <c r="B566">
        <v>471</v>
      </c>
      <c r="C566">
        <v>294</v>
      </c>
      <c r="D566">
        <v>2</v>
      </c>
      <c r="E566">
        <f t="shared" si="40"/>
        <v>588</v>
      </c>
      <c r="F566" s="30">
        <v>45112</v>
      </c>
      <c r="G566" t="s">
        <v>18</v>
      </c>
      <c r="H566">
        <v>370</v>
      </c>
      <c r="I566" t="str">
        <f>VLOOKUP(B566,товар!$A$1:$C$433,2,FALSE)</f>
        <v>Овощи</v>
      </c>
      <c r="J566" s="23">
        <f t="shared" si="41"/>
        <v>250.48780487804879</v>
      </c>
      <c r="K566" s="24">
        <f t="shared" si="42"/>
        <v>0.17370983446932819</v>
      </c>
      <c r="L566" t="str">
        <f>VLOOKUP(B566,товар!$A$1:$C$433,3,FALSE)</f>
        <v>Зеленая грядка</v>
      </c>
      <c r="M566">
        <f t="shared" si="43"/>
        <v>159.19999999999999</v>
      </c>
      <c r="N566" s="30">
        <f>VLOOKUP(H566,клиенты!$A$1:$G$435,5,FALSE)</f>
        <v>44726</v>
      </c>
      <c r="O566">
        <f t="shared" si="44"/>
        <v>386</v>
      </c>
    </row>
    <row r="567" spans="1:15" x14ac:dyDescent="0.3">
      <c r="A567">
        <v>566</v>
      </c>
      <c r="B567">
        <v>398</v>
      </c>
      <c r="C567">
        <v>65</v>
      </c>
      <c r="D567">
        <v>4</v>
      </c>
      <c r="E567">
        <f t="shared" si="40"/>
        <v>260</v>
      </c>
      <c r="F567" s="30">
        <v>45055</v>
      </c>
      <c r="G567" t="s">
        <v>22</v>
      </c>
      <c r="H567">
        <v>165</v>
      </c>
      <c r="I567" t="str">
        <f>VLOOKUP(B567,товар!$A$1:$C$433,2,FALSE)</f>
        <v>Сок</v>
      </c>
      <c r="J567" s="23">
        <f t="shared" si="41"/>
        <v>268.60344827586209</v>
      </c>
      <c r="K567" s="24">
        <f t="shared" si="42"/>
        <v>-0.75800757429873555</v>
      </c>
      <c r="L567" t="str">
        <f>VLOOKUP(B567,товар!$A$1:$C$433,3,FALSE)</f>
        <v>Фруктовый сад</v>
      </c>
      <c r="M567">
        <f t="shared" si="43"/>
        <v>281.96875</v>
      </c>
      <c r="N567" s="30">
        <f>VLOOKUP(H567,клиенты!$A$1:$G$435,5,FALSE)</f>
        <v>44599</v>
      </c>
      <c r="O567">
        <f t="shared" si="44"/>
        <v>456</v>
      </c>
    </row>
    <row r="568" spans="1:15" x14ac:dyDescent="0.3">
      <c r="A568">
        <v>567</v>
      </c>
      <c r="B568">
        <v>395</v>
      </c>
      <c r="C568">
        <v>454</v>
      </c>
      <c r="D568">
        <v>5</v>
      </c>
      <c r="E568">
        <f t="shared" si="40"/>
        <v>2270</v>
      </c>
      <c r="F568" s="30">
        <v>45278</v>
      </c>
      <c r="G568" t="s">
        <v>19</v>
      </c>
      <c r="H568">
        <v>147</v>
      </c>
      <c r="I568" t="str">
        <f>VLOOKUP(B568,товар!$A$1:$C$433,2,FALSE)</f>
        <v>Соль</v>
      </c>
      <c r="J568" s="23">
        <f t="shared" si="41"/>
        <v>264.8679245283019</v>
      </c>
      <c r="K568" s="24">
        <f t="shared" si="42"/>
        <v>0.71406183216982466</v>
      </c>
      <c r="L568" t="str">
        <f>VLOOKUP(B568,товар!$A$1:$C$433,3,FALSE)</f>
        <v>Славянская</v>
      </c>
      <c r="M568">
        <f t="shared" si="43"/>
        <v>236.91666666666666</v>
      </c>
      <c r="N568" s="30">
        <f>VLOOKUP(H568,клиенты!$A$1:$G$435,5,FALSE)</f>
        <v>44827</v>
      </c>
      <c r="O568">
        <f t="shared" si="44"/>
        <v>451</v>
      </c>
    </row>
    <row r="569" spans="1:15" x14ac:dyDescent="0.3">
      <c r="A569">
        <v>568</v>
      </c>
      <c r="B569">
        <v>424</v>
      </c>
      <c r="C569">
        <v>472</v>
      </c>
      <c r="D569">
        <v>3</v>
      </c>
      <c r="E569">
        <f t="shared" si="40"/>
        <v>1416</v>
      </c>
      <c r="F569" s="30">
        <v>45423</v>
      </c>
      <c r="G569" t="s">
        <v>29</v>
      </c>
      <c r="H569">
        <v>181</v>
      </c>
      <c r="I569" t="str">
        <f>VLOOKUP(B569,товар!$A$1:$C$433,2,FALSE)</f>
        <v>Печенье</v>
      </c>
      <c r="J569" s="23">
        <f t="shared" si="41"/>
        <v>283.468085106383</v>
      </c>
      <c r="K569" s="24">
        <f t="shared" si="42"/>
        <v>0.66509044509494841</v>
      </c>
      <c r="L569" t="str">
        <f>VLOOKUP(B569,товар!$A$1:$C$433,3,FALSE)</f>
        <v>КДВ</v>
      </c>
      <c r="M569">
        <f t="shared" si="43"/>
        <v>323.07692307692309</v>
      </c>
      <c r="N569" s="30">
        <f>VLOOKUP(H569,клиенты!$A$1:$G$435,5,FALSE)</f>
        <v>44568</v>
      </c>
      <c r="O569">
        <f t="shared" si="44"/>
        <v>855</v>
      </c>
    </row>
    <row r="570" spans="1:15" x14ac:dyDescent="0.3">
      <c r="A570">
        <v>569</v>
      </c>
      <c r="B570">
        <v>474</v>
      </c>
      <c r="C570">
        <v>261</v>
      </c>
      <c r="D570">
        <v>2</v>
      </c>
      <c r="E570">
        <f t="shared" si="40"/>
        <v>522</v>
      </c>
      <c r="F570" s="30">
        <v>45382</v>
      </c>
      <c r="G570" t="s">
        <v>34</v>
      </c>
      <c r="H570">
        <v>88</v>
      </c>
      <c r="I570" t="str">
        <f>VLOOKUP(B570,товар!$A$1:$C$433,2,FALSE)</f>
        <v>Молоко</v>
      </c>
      <c r="J570" s="23">
        <f t="shared" si="41"/>
        <v>294.95238095238096</v>
      </c>
      <c r="K570" s="24">
        <f t="shared" si="42"/>
        <v>-0.11511139812721993</v>
      </c>
      <c r="L570" t="str">
        <f>VLOOKUP(B570,товар!$A$1:$C$433,3,FALSE)</f>
        <v>Простоквашино</v>
      </c>
      <c r="M570">
        <f t="shared" si="43"/>
        <v>318.81818181818181</v>
      </c>
      <c r="N570" s="30">
        <f>VLOOKUP(H570,клиенты!$A$1:$G$435,5,FALSE)</f>
        <v>44630</v>
      </c>
      <c r="O570">
        <f t="shared" si="44"/>
        <v>752</v>
      </c>
    </row>
    <row r="571" spans="1:15" x14ac:dyDescent="0.3">
      <c r="A571">
        <v>570</v>
      </c>
      <c r="B571">
        <v>346</v>
      </c>
      <c r="C571">
        <v>390</v>
      </c>
      <c r="D571">
        <v>5</v>
      </c>
      <c r="E571">
        <f t="shared" si="40"/>
        <v>1950</v>
      </c>
      <c r="F571" s="30">
        <v>45402</v>
      </c>
      <c r="G571" t="s">
        <v>27</v>
      </c>
      <c r="H571">
        <v>10</v>
      </c>
      <c r="I571" t="str">
        <f>VLOOKUP(B571,товар!$A$1:$C$433,2,FALSE)</f>
        <v>Чай</v>
      </c>
      <c r="J571" s="23">
        <f t="shared" si="41"/>
        <v>271.18181818181819</v>
      </c>
      <c r="K571" s="24">
        <f t="shared" si="42"/>
        <v>0.43814951391216894</v>
      </c>
      <c r="L571" t="str">
        <f>VLOOKUP(B571,товар!$A$1:$C$433,3,FALSE)</f>
        <v>Greenfield</v>
      </c>
      <c r="M571">
        <f t="shared" si="43"/>
        <v>291.45454545454544</v>
      </c>
      <c r="N571" s="30">
        <f>VLOOKUP(H571,клиенты!$A$1:$G$435,5,FALSE)</f>
        <v>44881</v>
      </c>
      <c r="O571">
        <f t="shared" si="44"/>
        <v>521</v>
      </c>
    </row>
    <row r="572" spans="1:15" x14ac:dyDescent="0.3">
      <c r="A572">
        <v>571</v>
      </c>
      <c r="B572">
        <v>132</v>
      </c>
      <c r="C572">
        <v>497</v>
      </c>
      <c r="D572">
        <v>4</v>
      </c>
      <c r="E572">
        <f t="shared" si="40"/>
        <v>1988</v>
      </c>
      <c r="F572" s="30">
        <v>44987</v>
      </c>
      <c r="G572" t="s">
        <v>34</v>
      </c>
      <c r="H572">
        <v>364</v>
      </c>
      <c r="I572" t="str">
        <f>VLOOKUP(B572,товар!$A$1:$C$433,2,FALSE)</f>
        <v>Рыба</v>
      </c>
      <c r="J572" s="23">
        <f t="shared" si="41"/>
        <v>258.5128205128205</v>
      </c>
      <c r="K572" s="24">
        <f t="shared" si="42"/>
        <v>0.92253521126760574</v>
      </c>
      <c r="L572" t="str">
        <f>VLOOKUP(B572,товар!$A$1:$C$433,3,FALSE)</f>
        <v>Меридиан</v>
      </c>
      <c r="M572">
        <f t="shared" si="43"/>
        <v>260.64705882352939</v>
      </c>
      <c r="N572" s="30">
        <f>VLOOKUP(H572,клиенты!$A$1:$G$435,5,FALSE)</f>
        <v>44883</v>
      </c>
      <c r="O572">
        <f t="shared" si="44"/>
        <v>104</v>
      </c>
    </row>
    <row r="573" spans="1:15" x14ac:dyDescent="0.3">
      <c r="A573">
        <v>572</v>
      </c>
      <c r="B573">
        <v>17</v>
      </c>
      <c r="C573">
        <v>363</v>
      </c>
      <c r="D573">
        <v>4</v>
      </c>
      <c r="E573">
        <f t="shared" si="40"/>
        <v>1452</v>
      </c>
      <c r="F573" s="30">
        <v>45191</v>
      </c>
      <c r="G573" t="s">
        <v>27</v>
      </c>
      <c r="H573">
        <v>277</v>
      </c>
      <c r="I573" t="str">
        <f>VLOOKUP(B573,товар!$A$1:$C$433,2,FALSE)</f>
        <v>Кофе</v>
      </c>
      <c r="J573" s="23">
        <f t="shared" si="41"/>
        <v>249.02380952380952</v>
      </c>
      <c r="K573" s="24">
        <f t="shared" si="42"/>
        <v>0.45769193995601887</v>
      </c>
      <c r="L573" t="str">
        <f>VLOOKUP(B573,товар!$A$1:$C$433,3,FALSE)</f>
        <v>Jacobs</v>
      </c>
      <c r="M573">
        <f t="shared" si="43"/>
        <v>276.21052631578948</v>
      </c>
      <c r="N573" s="30">
        <f>VLOOKUP(H573,клиенты!$A$1:$G$435,5,FALSE)</f>
        <v>44750</v>
      </c>
      <c r="O573">
        <f t="shared" si="44"/>
        <v>441</v>
      </c>
    </row>
    <row r="574" spans="1:15" x14ac:dyDescent="0.3">
      <c r="A574">
        <v>573</v>
      </c>
      <c r="B574">
        <v>63</v>
      </c>
      <c r="C574">
        <v>251</v>
      </c>
      <c r="D574">
        <v>1</v>
      </c>
      <c r="E574">
        <f t="shared" si="40"/>
        <v>251</v>
      </c>
      <c r="F574" s="30">
        <v>45087</v>
      </c>
      <c r="G574" t="s">
        <v>26</v>
      </c>
      <c r="H574">
        <v>214</v>
      </c>
      <c r="I574" t="str">
        <f>VLOOKUP(B574,товар!$A$1:$C$433,2,FALSE)</f>
        <v>Рыба</v>
      </c>
      <c r="J574" s="23">
        <f t="shared" si="41"/>
        <v>258.5128205128205</v>
      </c>
      <c r="K574" s="24">
        <f t="shared" si="42"/>
        <v>-2.9061694108311831E-2</v>
      </c>
      <c r="L574" t="str">
        <f>VLOOKUP(B574,товар!$A$1:$C$433,3,FALSE)</f>
        <v>Балтийский берег</v>
      </c>
      <c r="M574">
        <f t="shared" si="43"/>
        <v>289.88888888888891</v>
      </c>
      <c r="N574" s="30">
        <f>VLOOKUP(H574,клиенты!$A$1:$G$435,5,FALSE)</f>
        <v>44601</v>
      </c>
      <c r="O574">
        <f t="shared" si="44"/>
        <v>486</v>
      </c>
    </row>
    <row r="575" spans="1:15" x14ac:dyDescent="0.3">
      <c r="A575">
        <v>574</v>
      </c>
      <c r="B575">
        <v>89</v>
      </c>
      <c r="C575">
        <v>492</v>
      </c>
      <c r="D575">
        <v>2</v>
      </c>
      <c r="E575">
        <f t="shared" si="40"/>
        <v>984</v>
      </c>
      <c r="F575" s="30">
        <v>44935</v>
      </c>
      <c r="G575" t="s">
        <v>24</v>
      </c>
      <c r="H575">
        <v>402</v>
      </c>
      <c r="I575" t="str">
        <f>VLOOKUP(B575,товар!$A$1:$C$433,2,FALSE)</f>
        <v>Конфеты</v>
      </c>
      <c r="J575" s="23">
        <f t="shared" si="41"/>
        <v>267.85483870967744</v>
      </c>
      <c r="K575" s="24">
        <f t="shared" si="42"/>
        <v>0.83681580056602622</v>
      </c>
      <c r="L575" t="str">
        <f>VLOOKUP(B575,товар!$A$1:$C$433,3,FALSE)</f>
        <v>Рот Фронт</v>
      </c>
      <c r="M575">
        <f t="shared" si="43"/>
        <v>288.23809523809524</v>
      </c>
      <c r="N575" s="30">
        <f>VLOOKUP(H575,клиенты!$A$1:$G$435,5,FALSE)</f>
        <v>44742</v>
      </c>
      <c r="O575">
        <f t="shared" si="44"/>
        <v>193</v>
      </c>
    </row>
    <row r="576" spans="1:15" x14ac:dyDescent="0.3">
      <c r="A576">
        <v>575</v>
      </c>
      <c r="B576">
        <v>260</v>
      </c>
      <c r="C576">
        <v>449</v>
      </c>
      <c r="D576">
        <v>1</v>
      </c>
      <c r="E576">
        <f t="shared" si="40"/>
        <v>449</v>
      </c>
      <c r="F576" s="30">
        <v>45025</v>
      </c>
      <c r="G576" t="s">
        <v>31</v>
      </c>
      <c r="H576">
        <v>490</v>
      </c>
      <c r="I576" t="str">
        <f>VLOOKUP(B576,товар!$A$1:$C$433,2,FALSE)</f>
        <v>Соль</v>
      </c>
      <c r="J576" s="23">
        <f t="shared" si="41"/>
        <v>264.8679245283019</v>
      </c>
      <c r="K576" s="24">
        <f t="shared" si="42"/>
        <v>0.69518449921641245</v>
      </c>
      <c r="L576" t="str">
        <f>VLOOKUP(B576,товар!$A$1:$C$433,3,FALSE)</f>
        <v>Экстра</v>
      </c>
      <c r="M576">
        <f t="shared" si="43"/>
        <v>320.84615384615387</v>
      </c>
      <c r="N576" s="30">
        <f>VLOOKUP(H576,клиенты!$A$1:$G$435,5,FALSE)</f>
        <v>44603</v>
      </c>
      <c r="O576">
        <f t="shared" si="44"/>
        <v>422</v>
      </c>
    </row>
    <row r="577" spans="1:15" x14ac:dyDescent="0.3">
      <c r="A577">
        <v>576</v>
      </c>
      <c r="B577">
        <v>27</v>
      </c>
      <c r="C577">
        <v>193</v>
      </c>
      <c r="D577">
        <v>1</v>
      </c>
      <c r="E577">
        <f t="shared" si="40"/>
        <v>193</v>
      </c>
      <c r="F577" s="30">
        <v>45061</v>
      </c>
      <c r="G577" t="s">
        <v>22</v>
      </c>
      <c r="H577">
        <v>151</v>
      </c>
      <c r="I577" t="str">
        <f>VLOOKUP(B577,товар!$A$1:$C$433,2,FALSE)</f>
        <v>Макароны</v>
      </c>
      <c r="J577" s="23">
        <f t="shared" si="41"/>
        <v>265.47674418604652</v>
      </c>
      <c r="K577" s="24">
        <f t="shared" si="42"/>
        <v>-0.27300600061320135</v>
      </c>
      <c r="L577" t="str">
        <f>VLOOKUP(B577,товар!$A$1:$C$433,3,FALSE)</f>
        <v>Паста Зара</v>
      </c>
      <c r="M577">
        <f t="shared" si="43"/>
        <v>276.67567567567568</v>
      </c>
      <c r="N577" s="30">
        <f>VLOOKUP(H577,клиенты!$A$1:$G$435,5,FALSE)</f>
        <v>44923</v>
      </c>
      <c r="O577">
        <f t="shared" si="44"/>
        <v>138</v>
      </c>
    </row>
    <row r="578" spans="1:15" x14ac:dyDescent="0.3">
      <c r="A578">
        <v>577</v>
      </c>
      <c r="B578">
        <v>221</v>
      </c>
      <c r="C578">
        <v>406</v>
      </c>
      <c r="D578">
        <v>3</v>
      </c>
      <c r="E578">
        <f t="shared" ref="E578:E641" si="45">C578*D578</f>
        <v>1218</v>
      </c>
      <c r="F578" s="30">
        <v>44999</v>
      </c>
      <c r="G578" t="s">
        <v>34</v>
      </c>
      <c r="H578">
        <v>409</v>
      </c>
      <c r="I578" t="str">
        <f>VLOOKUP(B578,товар!$A$1:$C$433,2,FALSE)</f>
        <v>Чипсы</v>
      </c>
      <c r="J578" s="23">
        <f t="shared" ref="J578:J641" si="46">AVERAGEIF($I$2:$I$1001,I578,$C$2:$C$1001)</f>
        <v>273.72549019607845</v>
      </c>
      <c r="K578" s="24">
        <f t="shared" ref="K578:K641" si="47">C578/J578-1</f>
        <v>0.48323782234957013</v>
      </c>
      <c r="L578" t="str">
        <f>VLOOKUP(B578,товар!$A$1:$C$433,3,FALSE)</f>
        <v>Pringles</v>
      </c>
      <c r="M578">
        <f t="shared" ref="M578:M641" si="48">AVERAGEIFS($C$2:$C$1001,$I$2:$I$1001,I578,$L$2:$L$1001,L578)</f>
        <v>280.23809523809524</v>
      </c>
      <c r="N578" s="30">
        <f>VLOOKUP(H578,клиенты!$A$1:$G$435,5,FALSE)</f>
        <v>44869</v>
      </c>
      <c r="O578">
        <f t="shared" ref="O578:O641" si="49">F578-N578</f>
        <v>130</v>
      </c>
    </row>
    <row r="579" spans="1:15" x14ac:dyDescent="0.3">
      <c r="A579">
        <v>578</v>
      </c>
      <c r="B579">
        <v>127</v>
      </c>
      <c r="C579">
        <v>384</v>
      </c>
      <c r="D579">
        <v>2</v>
      </c>
      <c r="E579">
        <f t="shared" si="45"/>
        <v>768</v>
      </c>
      <c r="F579" s="30">
        <v>45010</v>
      </c>
      <c r="G579" t="s">
        <v>26</v>
      </c>
      <c r="H579">
        <v>348</v>
      </c>
      <c r="I579" t="str">
        <f>VLOOKUP(B579,товар!$A$1:$C$433,2,FALSE)</f>
        <v>Овощи</v>
      </c>
      <c r="J579" s="23">
        <f t="shared" si="46"/>
        <v>250.48780487804879</v>
      </c>
      <c r="K579" s="24">
        <f t="shared" si="47"/>
        <v>0.53300876338851011</v>
      </c>
      <c r="L579" t="str">
        <f>VLOOKUP(B579,товар!$A$1:$C$433,3,FALSE)</f>
        <v>Семко</v>
      </c>
      <c r="M579">
        <f t="shared" si="48"/>
        <v>208</v>
      </c>
      <c r="N579" s="30">
        <f>VLOOKUP(H579,клиенты!$A$1:$G$435,5,FALSE)</f>
        <v>44569</v>
      </c>
      <c r="O579">
        <f t="shared" si="49"/>
        <v>441</v>
      </c>
    </row>
    <row r="580" spans="1:15" x14ac:dyDescent="0.3">
      <c r="A580">
        <v>579</v>
      </c>
      <c r="B580">
        <v>464</v>
      </c>
      <c r="C580">
        <v>356</v>
      </c>
      <c r="D580">
        <v>4</v>
      </c>
      <c r="E580">
        <f t="shared" si="45"/>
        <v>1424</v>
      </c>
      <c r="F580" s="30">
        <v>45031</v>
      </c>
      <c r="G580" t="s">
        <v>26</v>
      </c>
      <c r="H580">
        <v>255</v>
      </c>
      <c r="I580" t="str">
        <f>VLOOKUP(B580,товар!$A$1:$C$433,2,FALSE)</f>
        <v>Сыр</v>
      </c>
      <c r="J580" s="23">
        <f t="shared" si="46"/>
        <v>262.63492063492066</v>
      </c>
      <c r="K580" s="24">
        <f t="shared" si="47"/>
        <v>0.35549377493049672</v>
      </c>
      <c r="L580" t="str">
        <f>VLOOKUP(B580,товар!$A$1:$C$433,3,FALSE)</f>
        <v>Сырная долина</v>
      </c>
      <c r="M580">
        <f t="shared" si="48"/>
        <v>271</v>
      </c>
      <c r="N580" s="30">
        <f>VLOOKUP(H580,клиенты!$A$1:$G$435,5,FALSE)</f>
        <v>44793</v>
      </c>
      <c r="O580">
        <f t="shared" si="49"/>
        <v>238</v>
      </c>
    </row>
    <row r="581" spans="1:15" x14ac:dyDescent="0.3">
      <c r="A581">
        <v>580</v>
      </c>
      <c r="B581">
        <v>426</v>
      </c>
      <c r="C581">
        <v>438</v>
      </c>
      <c r="D581">
        <v>1</v>
      </c>
      <c r="E581">
        <f t="shared" si="45"/>
        <v>438</v>
      </c>
      <c r="F581" s="30">
        <v>44932</v>
      </c>
      <c r="G581" t="s">
        <v>17</v>
      </c>
      <c r="H581">
        <v>27</v>
      </c>
      <c r="I581" t="str">
        <f>VLOOKUP(B581,товар!$A$1:$C$433,2,FALSE)</f>
        <v>Печенье</v>
      </c>
      <c r="J581" s="23">
        <f t="shared" si="46"/>
        <v>283.468085106383</v>
      </c>
      <c r="K581" s="24">
        <f t="shared" si="47"/>
        <v>0.54514748930421075</v>
      </c>
      <c r="L581" t="str">
        <f>VLOOKUP(B581,товар!$A$1:$C$433,3,FALSE)</f>
        <v>Посиделкино</v>
      </c>
      <c r="M581">
        <f t="shared" si="48"/>
        <v>321.63636363636363</v>
      </c>
      <c r="N581" s="30">
        <f>VLOOKUP(H581,клиенты!$A$1:$G$435,5,FALSE)</f>
        <v>44586</v>
      </c>
      <c r="O581">
        <f t="shared" si="49"/>
        <v>346</v>
      </c>
    </row>
    <row r="582" spans="1:15" x14ac:dyDescent="0.3">
      <c r="A582">
        <v>581</v>
      </c>
      <c r="B582">
        <v>224</v>
      </c>
      <c r="C582">
        <v>232</v>
      </c>
      <c r="D582">
        <v>5</v>
      </c>
      <c r="E582">
        <f t="shared" si="45"/>
        <v>1160</v>
      </c>
      <c r="F582" s="30">
        <v>45332</v>
      </c>
      <c r="G582" t="s">
        <v>34</v>
      </c>
      <c r="H582">
        <v>219</v>
      </c>
      <c r="I582" t="str">
        <f>VLOOKUP(B582,товар!$A$1:$C$433,2,FALSE)</f>
        <v>Чипсы</v>
      </c>
      <c r="J582" s="23">
        <f t="shared" si="46"/>
        <v>273.72549019607845</v>
      </c>
      <c r="K582" s="24">
        <f t="shared" si="47"/>
        <v>-0.15243553008596</v>
      </c>
      <c r="L582" t="str">
        <f>VLOOKUP(B582,товар!$A$1:$C$433,3,FALSE)</f>
        <v>Pringles</v>
      </c>
      <c r="M582">
        <f t="shared" si="48"/>
        <v>280.23809523809524</v>
      </c>
      <c r="N582" s="30">
        <f>VLOOKUP(H582,клиенты!$A$1:$G$435,5,FALSE)</f>
        <v>44585</v>
      </c>
      <c r="O582">
        <f t="shared" si="49"/>
        <v>747</v>
      </c>
    </row>
    <row r="583" spans="1:15" x14ac:dyDescent="0.3">
      <c r="A583">
        <v>582</v>
      </c>
      <c r="B583">
        <v>198</v>
      </c>
      <c r="C583">
        <v>383</v>
      </c>
      <c r="D583">
        <v>2</v>
      </c>
      <c r="E583">
        <f t="shared" si="45"/>
        <v>766</v>
      </c>
      <c r="F583" s="30">
        <v>45393</v>
      </c>
      <c r="G583" t="s">
        <v>20</v>
      </c>
      <c r="H583">
        <v>272</v>
      </c>
      <c r="I583" t="str">
        <f>VLOOKUP(B583,товар!$A$1:$C$433,2,FALSE)</f>
        <v>Мясо</v>
      </c>
      <c r="J583" s="23">
        <f t="shared" si="46"/>
        <v>271.74545454545455</v>
      </c>
      <c r="K583" s="24">
        <f t="shared" si="47"/>
        <v>0.40940719925063562</v>
      </c>
      <c r="L583" t="str">
        <f>VLOOKUP(B583,товар!$A$1:$C$433,3,FALSE)</f>
        <v>Мираторг</v>
      </c>
      <c r="M583">
        <f t="shared" si="48"/>
        <v>316.58333333333331</v>
      </c>
      <c r="N583" s="30">
        <f>VLOOKUP(H583,клиенты!$A$1:$G$435,5,FALSE)</f>
        <v>44668</v>
      </c>
      <c r="O583">
        <f t="shared" si="49"/>
        <v>725</v>
      </c>
    </row>
    <row r="584" spans="1:15" x14ac:dyDescent="0.3">
      <c r="A584">
        <v>583</v>
      </c>
      <c r="B584">
        <v>233</v>
      </c>
      <c r="C584">
        <v>419</v>
      </c>
      <c r="D584">
        <v>5</v>
      </c>
      <c r="E584">
        <f t="shared" si="45"/>
        <v>2095</v>
      </c>
      <c r="F584" s="30">
        <v>45304</v>
      </c>
      <c r="G584" t="s">
        <v>32</v>
      </c>
      <c r="H584">
        <v>388</v>
      </c>
      <c r="I584" t="str">
        <f>VLOOKUP(B584,товар!$A$1:$C$433,2,FALSE)</f>
        <v>Йогурт</v>
      </c>
      <c r="J584" s="23">
        <f t="shared" si="46"/>
        <v>263.25423728813558</v>
      </c>
      <c r="K584" s="24">
        <f t="shared" si="47"/>
        <v>0.59161730620654129</v>
      </c>
      <c r="L584" t="str">
        <f>VLOOKUP(B584,товар!$A$1:$C$433,3,FALSE)</f>
        <v>Ростагроэкспорт</v>
      </c>
      <c r="M584">
        <f t="shared" si="48"/>
        <v>257.78260869565219</v>
      </c>
      <c r="N584" s="30">
        <f>VLOOKUP(H584,клиенты!$A$1:$G$435,5,FALSE)</f>
        <v>44581</v>
      </c>
      <c r="O584">
        <f t="shared" si="49"/>
        <v>723</v>
      </c>
    </row>
    <row r="585" spans="1:15" x14ac:dyDescent="0.3">
      <c r="A585">
        <v>584</v>
      </c>
      <c r="B585">
        <v>355</v>
      </c>
      <c r="C585">
        <v>210</v>
      </c>
      <c r="D585">
        <v>1</v>
      </c>
      <c r="E585">
        <f t="shared" si="45"/>
        <v>210</v>
      </c>
      <c r="F585" s="30">
        <v>45213</v>
      </c>
      <c r="G585" t="s">
        <v>21</v>
      </c>
      <c r="H585">
        <v>446</v>
      </c>
      <c r="I585" t="str">
        <f>VLOOKUP(B585,товар!$A$1:$C$433,2,FALSE)</f>
        <v>Кофе</v>
      </c>
      <c r="J585" s="23">
        <f t="shared" si="46"/>
        <v>249.02380952380952</v>
      </c>
      <c r="K585" s="24">
        <f t="shared" si="47"/>
        <v>-0.15670714217420401</v>
      </c>
      <c r="L585" t="str">
        <f>VLOOKUP(B585,товар!$A$1:$C$433,3,FALSE)</f>
        <v>Jacobs</v>
      </c>
      <c r="M585">
        <f t="shared" si="48"/>
        <v>276.21052631578948</v>
      </c>
      <c r="N585" s="30">
        <f>VLOOKUP(H585,клиенты!$A$1:$G$435,5,FALSE)</f>
        <v>44671</v>
      </c>
      <c r="O585">
        <f t="shared" si="49"/>
        <v>542</v>
      </c>
    </row>
    <row r="586" spans="1:15" x14ac:dyDescent="0.3">
      <c r="A586">
        <v>585</v>
      </c>
      <c r="B586">
        <v>118</v>
      </c>
      <c r="C586">
        <v>214</v>
      </c>
      <c r="D586">
        <v>2</v>
      </c>
      <c r="E586">
        <f t="shared" si="45"/>
        <v>428</v>
      </c>
      <c r="F586" s="30">
        <v>45058</v>
      </c>
      <c r="G586" t="s">
        <v>21</v>
      </c>
      <c r="H586">
        <v>138</v>
      </c>
      <c r="I586" t="str">
        <f>VLOOKUP(B586,товар!$A$1:$C$433,2,FALSE)</f>
        <v>Сахар</v>
      </c>
      <c r="J586" s="23">
        <f t="shared" si="46"/>
        <v>252.76271186440678</v>
      </c>
      <c r="K586" s="24">
        <f t="shared" si="47"/>
        <v>-0.15335613223362166</v>
      </c>
      <c r="L586" t="str">
        <f>VLOOKUP(B586,товар!$A$1:$C$433,3,FALSE)</f>
        <v>Продимекс</v>
      </c>
      <c r="M586">
        <f t="shared" si="48"/>
        <v>240.5</v>
      </c>
      <c r="N586" s="30">
        <f>VLOOKUP(H586,клиенты!$A$1:$G$435,5,FALSE)</f>
        <v>44723</v>
      </c>
      <c r="O586">
        <f t="shared" si="49"/>
        <v>335</v>
      </c>
    </row>
    <row r="587" spans="1:15" x14ac:dyDescent="0.3">
      <c r="A587">
        <v>586</v>
      </c>
      <c r="B587">
        <v>414</v>
      </c>
      <c r="C587">
        <v>115</v>
      </c>
      <c r="D587">
        <v>2</v>
      </c>
      <c r="E587">
        <f t="shared" si="45"/>
        <v>230</v>
      </c>
      <c r="F587" s="30">
        <v>45094</v>
      </c>
      <c r="G587" t="s">
        <v>19</v>
      </c>
      <c r="H587">
        <v>402</v>
      </c>
      <c r="I587" t="str">
        <f>VLOOKUP(B587,товар!$A$1:$C$433,2,FALSE)</f>
        <v>Фрукты</v>
      </c>
      <c r="J587" s="23">
        <f t="shared" si="46"/>
        <v>274.16279069767444</v>
      </c>
      <c r="K587" s="24">
        <f t="shared" si="47"/>
        <v>-0.58054118245822384</v>
      </c>
      <c r="L587" t="str">
        <f>VLOOKUP(B587,товар!$A$1:$C$433,3,FALSE)</f>
        <v>Экзотик</v>
      </c>
      <c r="M587">
        <f t="shared" si="48"/>
        <v>253.6875</v>
      </c>
      <c r="N587" s="30">
        <f>VLOOKUP(H587,клиенты!$A$1:$G$435,5,FALSE)</f>
        <v>44742</v>
      </c>
      <c r="O587">
        <f t="shared" si="49"/>
        <v>352</v>
      </c>
    </row>
    <row r="588" spans="1:15" x14ac:dyDescent="0.3">
      <c r="A588">
        <v>587</v>
      </c>
      <c r="B588">
        <v>405</v>
      </c>
      <c r="C588">
        <v>340</v>
      </c>
      <c r="D588">
        <v>1</v>
      </c>
      <c r="E588">
        <f t="shared" si="45"/>
        <v>340</v>
      </c>
      <c r="F588" s="30">
        <v>45213</v>
      </c>
      <c r="G588" t="s">
        <v>18</v>
      </c>
      <c r="H588">
        <v>351</v>
      </c>
      <c r="I588" t="str">
        <f>VLOOKUP(B588,товар!$A$1:$C$433,2,FALSE)</f>
        <v>Хлеб</v>
      </c>
      <c r="J588" s="23">
        <f t="shared" si="46"/>
        <v>300.31818181818181</v>
      </c>
      <c r="K588" s="24">
        <f t="shared" si="47"/>
        <v>0.1321325866505223</v>
      </c>
      <c r="L588" t="str">
        <f>VLOOKUP(B588,товар!$A$1:$C$433,3,FALSE)</f>
        <v>Каравай</v>
      </c>
      <c r="M588">
        <f t="shared" si="48"/>
        <v>331.16666666666669</v>
      </c>
      <c r="N588" s="30">
        <f>VLOOKUP(H588,клиенты!$A$1:$G$435,5,FALSE)</f>
        <v>44863</v>
      </c>
      <c r="O588">
        <f t="shared" si="49"/>
        <v>350</v>
      </c>
    </row>
    <row r="589" spans="1:15" x14ac:dyDescent="0.3">
      <c r="A589">
        <v>588</v>
      </c>
      <c r="B589">
        <v>313</v>
      </c>
      <c r="C589">
        <v>392</v>
      </c>
      <c r="D589">
        <v>5</v>
      </c>
      <c r="E589">
        <f t="shared" si="45"/>
        <v>1960</v>
      </c>
      <c r="F589" s="30">
        <v>45109</v>
      </c>
      <c r="G589" t="s">
        <v>15</v>
      </c>
      <c r="H589">
        <v>40</v>
      </c>
      <c r="I589" t="str">
        <f>VLOOKUP(B589,товар!$A$1:$C$433,2,FALSE)</f>
        <v>Конфеты</v>
      </c>
      <c r="J589" s="23">
        <f t="shared" si="46"/>
        <v>267.85483870967744</v>
      </c>
      <c r="K589" s="24">
        <f t="shared" si="47"/>
        <v>0.46347925573553317</v>
      </c>
      <c r="L589" t="str">
        <f>VLOOKUP(B589,товар!$A$1:$C$433,3,FALSE)</f>
        <v>Бабаевский</v>
      </c>
      <c r="M589">
        <f t="shared" si="48"/>
        <v>250.25925925925927</v>
      </c>
      <c r="N589" s="30">
        <f>VLOOKUP(H589,клиенты!$A$1:$G$435,5,FALSE)</f>
        <v>44855</v>
      </c>
      <c r="O589">
        <f t="shared" si="49"/>
        <v>254</v>
      </c>
    </row>
    <row r="590" spans="1:15" x14ac:dyDescent="0.3">
      <c r="A590">
        <v>589</v>
      </c>
      <c r="B590">
        <v>113</v>
      </c>
      <c r="C590">
        <v>378</v>
      </c>
      <c r="D590">
        <v>1</v>
      </c>
      <c r="E590">
        <f t="shared" si="45"/>
        <v>378</v>
      </c>
      <c r="F590" s="30">
        <v>45277</v>
      </c>
      <c r="G590" t="s">
        <v>17</v>
      </c>
      <c r="H590">
        <v>19</v>
      </c>
      <c r="I590" t="str">
        <f>VLOOKUP(B590,товар!$A$1:$C$433,2,FALSE)</f>
        <v>Сок</v>
      </c>
      <c r="J590" s="23">
        <f t="shared" si="46"/>
        <v>268.60344827586209</v>
      </c>
      <c r="K590" s="24">
        <f t="shared" si="47"/>
        <v>0.4072790294627382</v>
      </c>
      <c r="L590" t="str">
        <f>VLOOKUP(B590,товар!$A$1:$C$433,3,FALSE)</f>
        <v>Добрый</v>
      </c>
      <c r="M590">
        <f t="shared" si="48"/>
        <v>242.81818181818181</v>
      </c>
      <c r="N590" s="30">
        <f>VLOOKUP(H590,клиенты!$A$1:$G$435,5,FALSE)</f>
        <v>44902</v>
      </c>
      <c r="O590">
        <f t="shared" si="49"/>
        <v>375</v>
      </c>
    </row>
    <row r="591" spans="1:15" x14ac:dyDescent="0.3">
      <c r="A591">
        <v>590</v>
      </c>
      <c r="B591">
        <v>474</v>
      </c>
      <c r="C591">
        <v>204</v>
      </c>
      <c r="D591">
        <v>2</v>
      </c>
      <c r="E591">
        <f t="shared" si="45"/>
        <v>408</v>
      </c>
      <c r="F591" s="30">
        <v>45349</v>
      </c>
      <c r="G591" t="s">
        <v>30</v>
      </c>
      <c r="H591">
        <v>153</v>
      </c>
      <c r="I591" t="str">
        <f>VLOOKUP(B591,товар!$A$1:$C$433,2,FALSE)</f>
        <v>Молоко</v>
      </c>
      <c r="J591" s="23">
        <f t="shared" si="46"/>
        <v>294.95238095238096</v>
      </c>
      <c r="K591" s="24">
        <f t="shared" si="47"/>
        <v>-0.30836293186955122</v>
      </c>
      <c r="L591" t="str">
        <f>VLOOKUP(B591,товар!$A$1:$C$433,3,FALSE)</f>
        <v>Простоквашино</v>
      </c>
      <c r="M591">
        <f t="shared" si="48"/>
        <v>318.81818181818181</v>
      </c>
      <c r="N591" s="30">
        <f>VLOOKUP(H591,клиенты!$A$1:$G$435,5,FALSE)</f>
        <v>44802</v>
      </c>
      <c r="O591">
        <f t="shared" si="49"/>
        <v>547</v>
      </c>
    </row>
    <row r="592" spans="1:15" x14ac:dyDescent="0.3">
      <c r="A592">
        <v>591</v>
      </c>
      <c r="B592">
        <v>361</v>
      </c>
      <c r="C592">
        <v>69</v>
      </c>
      <c r="D592">
        <v>1</v>
      </c>
      <c r="E592">
        <f t="shared" si="45"/>
        <v>69</v>
      </c>
      <c r="F592" s="30">
        <v>45021</v>
      </c>
      <c r="G592" t="s">
        <v>34</v>
      </c>
      <c r="H592">
        <v>355</v>
      </c>
      <c r="I592" t="str">
        <f>VLOOKUP(B592,товар!$A$1:$C$433,2,FALSE)</f>
        <v>Мясо</v>
      </c>
      <c r="J592" s="23">
        <f t="shared" si="46"/>
        <v>271.74545454545455</v>
      </c>
      <c r="K592" s="24">
        <f t="shared" si="47"/>
        <v>-0.74608590927338425</v>
      </c>
      <c r="L592" t="str">
        <f>VLOOKUP(B592,товар!$A$1:$C$433,3,FALSE)</f>
        <v>Сава</v>
      </c>
      <c r="M592">
        <f t="shared" si="48"/>
        <v>212.8125</v>
      </c>
      <c r="N592" s="30">
        <f>VLOOKUP(H592,клиенты!$A$1:$G$435,5,FALSE)</f>
        <v>44631</v>
      </c>
      <c r="O592">
        <f t="shared" si="49"/>
        <v>390</v>
      </c>
    </row>
    <row r="593" spans="1:15" x14ac:dyDescent="0.3">
      <c r="A593">
        <v>592</v>
      </c>
      <c r="B593">
        <v>291</v>
      </c>
      <c r="C593">
        <v>455</v>
      </c>
      <c r="D593">
        <v>5</v>
      </c>
      <c r="E593">
        <f t="shared" si="45"/>
        <v>2275</v>
      </c>
      <c r="F593" s="30">
        <v>45142</v>
      </c>
      <c r="G593" t="s">
        <v>25</v>
      </c>
      <c r="H593">
        <v>245</v>
      </c>
      <c r="I593" t="str">
        <f>VLOOKUP(B593,товар!$A$1:$C$433,2,FALSE)</f>
        <v>Рыба</v>
      </c>
      <c r="J593" s="23">
        <f t="shared" si="46"/>
        <v>258.5128205128205</v>
      </c>
      <c r="K593" s="24">
        <f t="shared" si="47"/>
        <v>0.76006744693513206</v>
      </c>
      <c r="L593" t="str">
        <f>VLOOKUP(B593,товар!$A$1:$C$433,3,FALSE)</f>
        <v>Балтийский берег</v>
      </c>
      <c r="M593">
        <f t="shared" si="48"/>
        <v>289.88888888888891</v>
      </c>
      <c r="N593" s="30">
        <f>VLOOKUP(H593,клиенты!$A$1:$G$435,5,FALSE)</f>
        <v>44695</v>
      </c>
      <c r="O593">
        <f t="shared" si="49"/>
        <v>447</v>
      </c>
    </row>
    <row r="594" spans="1:15" x14ac:dyDescent="0.3">
      <c r="A594">
        <v>593</v>
      </c>
      <c r="B594">
        <v>360</v>
      </c>
      <c r="C594">
        <v>137</v>
      </c>
      <c r="D594">
        <v>2</v>
      </c>
      <c r="E594">
        <f t="shared" si="45"/>
        <v>274</v>
      </c>
      <c r="F594" s="30">
        <v>45318</v>
      </c>
      <c r="G594" t="s">
        <v>29</v>
      </c>
      <c r="H594">
        <v>80</v>
      </c>
      <c r="I594" t="str">
        <f>VLOOKUP(B594,товар!$A$1:$C$433,2,FALSE)</f>
        <v>Соль</v>
      </c>
      <c r="J594" s="23">
        <f t="shared" si="46"/>
        <v>264.8679245283019</v>
      </c>
      <c r="K594" s="24">
        <f t="shared" si="47"/>
        <v>-0.48276107707650662</v>
      </c>
      <c r="L594" t="str">
        <f>VLOOKUP(B594,товар!$A$1:$C$433,3,FALSE)</f>
        <v>Славянская</v>
      </c>
      <c r="M594">
        <f t="shared" si="48"/>
        <v>236.91666666666666</v>
      </c>
      <c r="N594" s="30">
        <f>VLOOKUP(H594,клиенты!$A$1:$G$435,5,FALSE)</f>
        <v>44623</v>
      </c>
      <c r="O594">
        <f t="shared" si="49"/>
        <v>695</v>
      </c>
    </row>
    <row r="595" spans="1:15" x14ac:dyDescent="0.3">
      <c r="A595">
        <v>594</v>
      </c>
      <c r="B595">
        <v>182</v>
      </c>
      <c r="C595">
        <v>152</v>
      </c>
      <c r="D595">
        <v>3</v>
      </c>
      <c r="E595">
        <f t="shared" si="45"/>
        <v>456</v>
      </c>
      <c r="F595" s="30">
        <v>45053</v>
      </c>
      <c r="G595" t="s">
        <v>29</v>
      </c>
      <c r="H595">
        <v>466</v>
      </c>
      <c r="I595" t="str">
        <f>VLOOKUP(B595,товар!$A$1:$C$433,2,FALSE)</f>
        <v>Соль</v>
      </c>
      <c r="J595" s="23">
        <f t="shared" si="46"/>
        <v>264.8679245283019</v>
      </c>
      <c r="K595" s="24">
        <f t="shared" si="47"/>
        <v>-0.42612907821627011</v>
      </c>
      <c r="L595" t="str">
        <f>VLOOKUP(B595,товар!$A$1:$C$433,3,FALSE)</f>
        <v>Экстра</v>
      </c>
      <c r="M595">
        <f t="shared" si="48"/>
        <v>320.84615384615387</v>
      </c>
      <c r="N595" s="30">
        <f>VLOOKUP(H595,клиенты!$A$1:$G$435,5,FALSE)</f>
        <v>44772</v>
      </c>
      <c r="O595">
        <f t="shared" si="49"/>
        <v>281</v>
      </c>
    </row>
    <row r="596" spans="1:15" x14ac:dyDescent="0.3">
      <c r="A596">
        <v>595</v>
      </c>
      <c r="B596">
        <v>490</v>
      </c>
      <c r="C596">
        <v>170</v>
      </c>
      <c r="D596">
        <v>5</v>
      </c>
      <c r="E596">
        <f t="shared" si="45"/>
        <v>850</v>
      </c>
      <c r="F596" s="30">
        <v>45058</v>
      </c>
      <c r="G596" t="s">
        <v>24</v>
      </c>
      <c r="H596">
        <v>317</v>
      </c>
      <c r="I596" t="str">
        <f>VLOOKUP(B596,товар!$A$1:$C$433,2,FALSE)</f>
        <v>Сыр</v>
      </c>
      <c r="J596" s="23">
        <f t="shared" si="46"/>
        <v>262.63492063492066</v>
      </c>
      <c r="K596" s="24">
        <f t="shared" si="47"/>
        <v>-0.35271364680285267</v>
      </c>
      <c r="L596" t="str">
        <f>VLOOKUP(B596,товар!$A$1:$C$433,3,FALSE)</f>
        <v>Сырная долина</v>
      </c>
      <c r="M596">
        <f t="shared" si="48"/>
        <v>271</v>
      </c>
      <c r="N596" s="30">
        <f>VLOOKUP(H596,клиенты!$A$1:$G$435,5,FALSE)</f>
        <v>44770</v>
      </c>
      <c r="O596">
        <f t="shared" si="49"/>
        <v>288</v>
      </c>
    </row>
    <row r="597" spans="1:15" x14ac:dyDescent="0.3">
      <c r="A597">
        <v>596</v>
      </c>
      <c r="B597">
        <v>215</v>
      </c>
      <c r="C597">
        <v>496</v>
      </c>
      <c r="D597">
        <v>2</v>
      </c>
      <c r="E597">
        <f t="shared" si="45"/>
        <v>992</v>
      </c>
      <c r="F597" s="30">
        <v>45404</v>
      </c>
      <c r="G597" t="s">
        <v>19</v>
      </c>
      <c r="H597">
        <v>342</v>
      </c>
      <c r="I597" t="str">
        <f>VLOOKUP(B597,товар!$A$1:$C$433,2,FALSE)</f>
        <v>Сок</v>
      </c>
      <c r="J597" s="23">
        <f t="shared" si="46"/>
        <v>268.60344827586209</v>
      </c>
      <c r="K597" s="24">
        <f t="shared" si="47"/>
        <v>0.84658835612041838</v>
      </c>
      <c r="L597" t="str">
        <f>VLOOKUP(B597,товар!$A$1:$C$433,3,FALSE)</f>
        <v>Фруктовый сад</v>
      </c>
      <c r="M597">
        <f t="shared" si="48"/>
        <v>281.96875</v>
      </c>
      <c r="N597" s="30">
        <f>VLOOKUP(H597,клиенты!$A$1:$G$435,5,FALSE)</f>
        <v>44570</v>
      </c>
      <c r="O597">
        <f t="shared" si="49"/>
        <v>834</v>
      </c>
    </row>
    <row r="598" spans="1:15" x14ac:dyDescent="0.3">
      <c r="A598">
        <v>597</v>
      </c>
      <c r="B598">
        <v>137</v>
      </c>
      <c r="C598">
        <v>411</v>
      </c>
      <c r="D598">
        <v>1</v>
      </c>
      <c r="E598">
        <f t="shared" si="45"/>
        <v>411</v>
      </c>
      <c r="F598" s="30">
        <v>45192</v>
      </c>
      <c r="G598" t="s">
        <v>34</v>
      </c>
      <c r="H598">
        <v>130</v>
      </c>
      <c r="I598" t="str">
        <f>VLOOKUP(B598,товар!$A$1:$C$433,2,FALSE)</f>
        <v>Фрукты</v>
      </c>
      <c r="J598" s="23">
        <f t="shared" si="46"/>
        <v>274.16279069767444</v>
      </c>
      <c r="K598" s="24">
        <f t="shared" si="47"/>
        <v>0.49910933921452183</v>
      </c>
      <c r="L598" t="str">
        <f>VLOOKUP(B598,товар!$A$1:$C$433,3,FALSE)</f>
        <v>Экзотик</v>
      </c>
      <c r="M598">
        <f t="shared" si="48"/>
        <v>253.6875</v>
      </c>
      <c r="N598" s="30">
        <f>VLOOKUP(H598,клиенты!$A$1:$G$435,5,FALSE)</f>
        <v>44863</v>
      </c>
      <c r="O598">
        <f t="shared" si="49"/>
        <v>329</v>
      </c>
    </row>
    <row r="599" spans="1:15" x14ac:dyDescent="0.3">
      <c r="A599">
        <v>598</v>
      </c>
      <c r="B599">
        <v>75</v>
      </c>
      <c r="C599">
        <v>240</v>
      </c>
      <c r="D599">
        <v>4</v>
      </c>
      <c r="E599">
        <f t="shared" si="45"/>
        <v>960</v>
      </c>
      <c r="F599" s="30">
        <v>45148</v>
      </c>
      <c r="G599" t="s">
        <v>29</v>
      </c>
      <c r="H599">
        <v>53</v>
      </c>
      <c r="I599" t="str">
        <f>VLOOKUP(B599,товар!$A$1:$C$433,2,FALSE)</f>
        <v>Печенье</v>
      </c>
      <c r="J599" s="23">
        <f t="shared" si="46"/>
        <v>283.468085106383</v>
      </c>
      <c r="K599" s="24">
        <f t="shared" si="47"/>
        <v>-0.15334384147714486</v>
      </c>
      <c r="L599" t="str">
        <f>VLOOKUP(B599,товар!$A$1:$C$433,3,FALSE)</f>
        <v>Белогорье</v>
      </c>
      <c r="M599">
        <f t="shared" si="48"/>
        <v>249.5</v>
      </c>
      <c r="N599" s="30">
        <f>VLOOKUP(H599,клиенты!$A$1:$G$435,5,FALSE)</f>
        <v>44593</v>
      </c>
      <c r="O599">
        <f t="shared" si="49"/>
        <v>555</v>
      </c>
    </row>
    <row r="600" spans="1:15" x14ac:dyDescent="0.3">
      <c r="A600">
        <v>599</v>
      </c>
      <c r="B600">
        <v>359</v>
      </c>
      <c r="C600">
        <v>302</v>
      </c>
      <c r="D600">
        <v>4</v>
      </c>
      <c r="E600">
        <f t="shared" si="45"/>
        <v>1208</v>
      </c>
      <c r="F600" s="30">
        <v>45195</v>
      </c>
      <c r="G600" t="s">
        <v>29</v>
      </c>
      <c r="H600">
        <v>122</v>
      </c>
      <c r="I600" t="str">
        <f>VLOOKUP(B600,товар!$A$1:$C$433,2,FALSE)</f>
        <v>Мясо</v>
      </c>
      <c r="J600" s="23">
        <f t="shared" si="46"/>
        <v>271.74545454545455</v>
      </c>
      <c r="K600" s="24">
        <f t="shared" si="47"/>
        <v>0.11133413622373878</v>
      </c>
      <c r="L600" t="str">
        <f>VLOOKUP(B600,товар!$A$1:$C$433,3,FALSE)</f>
        <v>Мираторг</v>
      </c>
      <c r="M600">
        <f t="shared" si="48"/>
        <v>316.58333333333331</v>
      </c>
      <c r="N600" s="30">
        <f>VLOOKUP(H600,клиенты!$A$1:$G$435,5,FALSE)</f>
        <v>44683</v>
      </c>
      <c r="O600">
        <f t="shared" si="49"/>
        <v>512</v>
      </c>
    </row>
    <row r="601" spans="1:15" x14ac:dyDescent="0.3">
      <c r="A601">
        <v>600</v>
      </c>
      <c r="B601">
        <v>364</v>
      </c>
      <c r="C601">
        <v>138</v>
      </c>
      <c r="D601">
        <v>4</v>
      </c>
      <c r="E601">
        <f t="shared" si="45"/>
        <v>552</v>
      </c>
      <c r="F601" s="30">
        <v>45256</v>
      </c>
      <c r="G601" t="s">
        <v>29</v>
      </c>
      <c r="H601">
        <v>199</v>
      </c>
      <c r="I601" t="str">
        <f>VLOOKUP(B601,товар!$A$1:$C$433,2,FALSE)</f>
        <v>Сахар</v>
      </c>
      <c r="J601" s="23">
        <f t="shared" si="46"/>
        <v>252.76271186440678</v>
      </c>
      <c r="K601" s="24">
        <f t="shared" si="47"/>
        <v>-0.45403339368336348</v>
      </c>
      <c r="L601" t="str">
        <f>VLOOKUP(B601,товар!$A$1:$C$433,3,FALSE)</f>
        <v>Русский сахар</v>
      </c>
      <c r="M601">
        <f t="shared" si="48"/>
        <v>293.41176470588238</v>
      </c>
      <c r="N601" s="30">
        <f>VLOOKUP(H601,клиенты!$A$1:$G$435,5,FALSE)</f>
        <v>44715</v>
      </c>
      <c r="O601">
        <f t="shared" si="49"/>
        <v>541</v>
      </c>
    </row>
    <row r="602" spans="1:15" x14ac:dyDescent="0.3">
      <c r="A602">
        <v>601</v>
      </c>
      <c r="B602">
        <v>197</v>
      </c>
      <c r="C602">
        <v>309</v>
      </c>
      <c r="D602">
        <v>4</v>
      </c>
      <c r="E602">
        <f t="shared" si="45"/>
        <v>1236</v>
      </c>
      <c r="F602" s="30">
        <v>45212</v>
      </c>
      <c r="G602" t="s">
        <v>22</v>
      </c>
      <c r="H602">
        <v>52</v>
      </c>
      <c r="I602" t="str">
        <f>VLOOKUP(B602,товар!$A$1:$C$433,2,FALSE)</f>
        <v>Печенье</v>
      </c>
      <c r="J602" s="23">
        <f t="shared" si="46"/>
        <v>283.468085106383</v>
      </c>
      <c r="K602" s="24">
        <f t="shared" si="47"/>
        <v>9.0069804098175998E-2</v>
      </c>
      <c r="L602" t="str">
        <f>VLOOKUP(B602,товар!$A$1:$C$433,3,FALSE)</f>
        <v>Юбилейное</v>
      </c>
      <c r="M602">
        <f t="shared" si="48"/>
        <v>232.44444444444446</v>
      </c>
      <c r="N602" s="30">
        <f>VLOOKUP(H602,клиенты!$A$1:$G$435,5,FALSE)</f>
        <v>44917</v>
      </c>
      <c r="O602">
        <f t="shared" si="49"/>
        <v>295</v>
      </c>
    </row>
    <row r="603" spans="1:15" x14ac:dyDescent="0.3">
      <c r="A603">
        <v>602</v>
      </c>
      <c r="B603">
        <v>157</v>
      </c>
      <c r="C603">
        <v>473</v>
      </c>
      <c r="D603">
        <v>5</v>
      </c>
      <c r="E603">
        <f t="shared" si="45"/>
        <v>2365</v>
      </c>
      <c r="F603" s="30">
        <v>45012</v>
      </c>
      <c r="G603" t="s">
        <v>29</v>
      </c>
      <c r="H603">
        <v>477</v>
      </c>
      <c r="I603" t="str">
        <f>VLOOKUP(B603,товар!$A$1:$C$433,2,FALSE)</f>
        <v>Сыр</v>
      </c>
      <c r="J603" s="23">
        <f t="shared" si="46"/>
        <v>262.63492063492066</v>
      </c>
      <c r="K603" s="24">
        <f t="shared" si="47"/>
        <v>0.80097908860147449</v>
      </c>
      <c r="L603" t="str">
        <f>VLOOKUP(B603,товар!$A$1:$C$433,3,FALSE)</f>
        <v>President</v>
      </c>
      <c r="M603">
        <f t="shared" si="48"/>
        <v>238.72222222222223</v>
      </c>
      <c r="N603" s="30">
        <f>VLOOKUP(H603,клиенты!$A$1:$G$435,5,FALSE)</f>
        <v>44738</v>
      </c>
      <c r="O603">
        <f t="shared" si="49"/>
        <v>274</v>
      </c>
    </row>
    <row r="604" spans="1:15" x14ac:dyDescent="0.3">
      <c r="A604">
        <v>603</v>
      </c>
      <c r="B604">
        <v>105</v>
      </c>
      <c r="C604">
        <v>187</v>
      </c>
      <c r="D604">
        <v>1</v>
      </c>
      <c r="E604">
        <f t="shared" si="45"/>
        <v>187</v>
      </c>
      <c r="F604" s="30">
        <v>45038</v>
      </c>
      <c r="G604" t="s">
        <v>26</v>
      </c>
      <c r="H604">
        <v>24</v>
      </c>
      <c r="I604" t="str">
        <f>VLOOKUP(B604,товар!$A$1:$C$433,2,FALSE)</f>
        <v>Фрукты</v>
      </c>
      <c r="J604" s="23">
        <f t="shared" si="46"/>
        <v>274.16279069767444</v>
      </c>
      <c r="K604" s="24">
        <f t="shared" si="47"/>
        <v>-0.31792348799728565</v>
      </c>
      <c r="L604" t="str">
        <f>VLOOKUP(B604,товар!$A$1:$C$433,3,FALSE)</f>
        <v>Фрукты-Ягоды</v>
      </c>
      <c r="M604">
        <f t="shared" si="48"/>
        <v>280.66666666666669</v>
      </c>
      <c r="N604" s="30">
        <f>VLOOKUP(H604,клиенты!$A$1:$G$435,5,FALSE)</f>
        <v>44609</v>
      </c>
      <c r="O604">
        <f t="shared" si="49"/>
        <v>429</v>
      </c>
    </row>
    <row r="605" spans="1:15" x14ac:dyDescent="0.3">
      <c r="A605">
        <v>604</v>
      </c>
      <c r="B605">
        <v>479</v>
      </c>
      <c r="C605">
        <v>314</v>
      </c>
      <c r="D605">
        <v>3</v>
      </c>
      <c r="E605">
        <f t="shared" si="45"/>
        <v>942</v>
      </c>
      <c r="F605" s="30">
        <v>45429</v>
      </c>
      <c r="G605" t="s">
        <v>23</v>
      </c>
      <c r="H605">
        <v>293</v>
      </c>
      <c r="I605" t="str">
        <f>VLOOKUP(B605,товар!$A$1:$C$433,2,FALSE)</f>
        <v>Овощи</v>
      </c>
      <c r="J605" s="23">
        <f t="shared" si="46"/>
        <v>250.48780487804879</v>
      </c>
      <c r="K605" s="24">
        <f t="shared" si="47"/>
        <v>0.25355404089581302</v>
      </c>
      <c r="L605" t="str">
        <f>VLOOKUP(B605,товар!$A$1:$C$433,3,FALSE)</f>
        <v>Гавриш</v>
      </c>
      <c r="M605">
        <f t="shared" si="48"/>
        <v>247.66666666666666</v>
      </c>
      <c r="N605" s="30">
        <f>VLOOKUP(H605,клиенты!$A$1:$G$435,5,FALSE)</f>
        <v>44573</v>
      </c>
      <c r="O605">
        <f t="shared" si="49"/>
        <v>856</v>
      </c>
    </row>
    <row r="606" spans="1:15" x14ac:dyDescent="0.3">
      <c r="A606">
        <v>605</v>
      </c>
      <c r="B606">
        <v>285</v>
      </c>
      <c r="C606">
        <v>122</v>
      </c>
      <c r="D606">
        <v>5</v>
      </c>
      <c r="E606">
        <f t="shared" si="45"/>
        <v>610</v>
      </c>
      <c r="F606" s="30">
        <v>44959</v>
      </c>
      <c r="G606" t="s">
        <v>24</v>
      </c>
      <c r="H606">
        <v>447</v>
      </c>
      <c r="I606" t="str">
        <f>VLOOKUP(B606,товар!$A$1:$C$433,2,FALSE)</f>
        <v>Макароны</v>
      </c>
      <c r="J606" s="23">
        <f t="shared" si="46"/>
        <v>265.47674418604652</v>
      </c>
      <c r="K606" s="24">
        <f t="shared" si="47"/>
        <v>-0.5404493889886558</v>
      </c>
      <c r="L606" t="str">
        <f>VLOOKUP(B606,товар!$A$1:$C$433,3,FALSE)</f>
        <v>Паста Зара</v>
      </c>
      <c r="M606">
        <f t="shared" si="48"/>
        <v>276.67567567567568</v>
      </c>
      <c r="N606" s="30">
        <f>VLOOKUP(H606,клиенты!$A$1:$G$435,5,FALSE)</f>
        <v>44898</v>
      </c>
      <c r="O606">
        <f t="shared" si="49"/>
        <v>61</v>
      </c>
    </row>
    <row r="607" spans="1:15" x14ac:dyDescent="0.3">
      <c r="A607">
        <v>606</v>
      </c>
      <c r="B607">
        <v>93</v>
      </c>
      <c r="C607">
        <v>184</v>
      </c>
      <c r="D607">
        <v>2</v>
      </c>
      <c r="E607">
        <f t="shared" si="45"/>
        <v>368</v>
      </c>
      <c r="F607" s="30">
        <v>45187</v>
      </c>
      <c r="G607" t="s">
        <v>26</v>
      </c>
      <c r="H607">
        <v>163</v>
      </c>
      <c r="I607" t="str">
        <f>VLOOKUP(B607,товар!$A$1:$C$433,2,FALSE)</f>
        <v>Чай</v>
      </c>
      <c r="J607" s="23">
        <f t="shared" si="46"/>
        <v>271.18181818181819</v>
      </c>
      <c r="K607" s="24">
        <f t="shared" si="47"/>
        <v>-0.32148843446195108</v>
      </c>
      <c r="L607" t="str">
        <f>VLOOKUP(B607,товар!$A$1:$C$433,3,FALSE)</f>
        <v>Greenfield</v>
      </c>
      <c r="M607">
        <f t="shared" si="48"/>
        <v>291.45454545454544</v>
      </c>
      <c r="N607" s="30">
        <f>VLOOKUP(H607,клиенты!$A$1:$G$435,5,FALSE)</f>
        <v>44571</v>
      </c>
      <c r="O607">
        <f t="shared" si="49"/>
        <v>616</v>
      </c>
    </row>
    <row r="608" spans="1:15" x14ac:dyDescent="0.3">
      <c r="A608">
        <v>607</v>
      </c>
      <c r="B608">
        <v>199</v>
      </c>
      <c r="C608">
        <v>172</v>
      </c>
      <c r="D608">
        <v>3</v>
      </c>
      <c r="E608">
        <f t="shared" si="45"/>
        <v>516</v>
      </c>
      <c r="F608" s="30">
        <v>45223</v>
      </c>
      <c r="G608" t="s">
        <v>29</v>
      </c>
      <c r="H608">
        <v>421</v>
      </c>
      <c r="I608" t="str">
        <f>VLOOKUP(B608,товар!$A$1:$C$433,2,FALSE)</f>
        <v>Макароны</v>
      </c>
      <c r="J608" s="23">
        <f t="shared" si="46"/>
        <v>265.47674418604652</v>
      </c>
      <c r="K608" s="24">
        <f t="shared" si="47"/>
        <v>-0.35210897463974422</v>
      </c>
      <c r="L608" t="str">
        <f>VLOOKUP(B608,товар!$A$1:$C$433,3,FALSE)</f>
        <v>Борилла</v>
      </c>
      <c r="M608">
        <f t="shared" si="48"/>
        <v>236.27586206896552</v>
      </c>
      <c r="N608" s="30">
        <f>VLOOKUP(H608,клиенты!$A$1:$G$435,5,FALSE)</f>
        <v>44620</v>
      </c>
      <c r="O608">
        <f t="shared" si="49"/>
        <v>603</v>
      </c>
    </row>
    <row r="609" spans="1:15" x14ac:dyDescent="0.3">
      <c r="A609">
        <v>608</v>
      </c>
      <c r="B609">
        <v>122</v>
      </c>
      <c r="C609">
        <v>482</v>
      </c>
      <c r="D609">
        <v>4</v>
      </c>
      <c r="E609">
        <f t="shared" si="45"/>
        <v>1928</v>
      </c>
      <c r="F609" s="30">
        <v>45038</v>
      </c>
      <c r="G609" t="s">
        <v>30</v>
      </c>
      <c r="H609">
        <v>320</v>
      </c>
      <c r="I609" t="str">
        <f>VLOOKUP(B609,товар!$A$1:$C$433,2,FALSE)</f>
        <v>Фрукты</v>
      </c>
      <c r="J609" s="23">
        <f t="shared" si="46"/>
        <v>274.16279069767444</v>
      </c>
      <c r="K609" s="24">
        <f t="shared" si="47"/>
        <v>0.75807956569683599</v>
      </c>
      <c r="L609" t="str">
        <f>VLOOKUP(B609,товар!$A$1:$C$433,3,FALSE)</f>
        <v>Фрукты-Ягоды</v>
      </c>
      <c r="M609">
        <f t="shared" si="48"/>
        <v>280.66666666666669</v>
      </c>
      <c r="N609" s="30">
        <f>VLOOKUP(H609,клиенты!$A$1:$G$435,5,FALSE)</f>
        <v>44869</v>
      </c>
      <c r="O609">
        <f t="shared" si="49"/>
        <v>169</v>
      </c>
    </row>
    <row r="610" spans="1:15" x14ac:dyDescent="0.3">
      <c r="A610">
        <v>609</v>
      </c>
      <c r="B610">
        <v>415</v>
      </c>
      <c r="C610">
        <v>350</v>
      </c>
      <c r="D610">
        <v>1</v>
      </c>
      <c r="E610">
        <f t="shared" si="45"/>
        <v>350</v>
      </c>
      <c r="F610" s="30">
        <v>45358</v>
      </c>
      <c r="G610" t="s">
        <v>15</v>
      </c>
      <c r="H610">
        <v>199</v>
      </c>
      <c r="I610" t="str">
        <f>VLOOKUP(B610,товар!$A$1:$C$433,2,FALSE)</f>
        <v>Чипсы</v>
      </c>
      <c r="J610" s="23">
        <f t="shared" si="46"/>
        <v>273.72549019607845</v>
      </c>
      <c r="K610" s="24">
        <f t="shared" si="47"/>
        <v>0.27865329512893977</v>
      </c>
      <c r="L610" t="str">
        <f>VLOOKUP(B610,товар!$A$1:$C$433,3,FALSE)</f>
        <v>Pringles</v>
      </c>
      <c r="M610">
        <f t="shared" si="48"/>
        <v>280.23809523809524</v>
      </c>
      <c r="N610" s="30">
        <f>VLOOKUP(H610,клиенты!$A$1:$G$435,5,FALSE)</f>
        <v>44715</v>
      </c>
      <c r="O610">
        <f t="shared" si="49"/>
        <v>643</v>
      </c>
    </row>
    <row r="611" spans="1:15" x14ac:dyDescent="0.3">
      <c r="A611">
        <v>610</v>
      </c>
      <c r="B611">
        <v>315</v>
      </c>
      <c r="C611">
        <v>232</v>
      </c>
      <c r="D611">
        <v>1</v>
      </c>
      <c r="E611">
        <f t="shared" si="45"/>
        <v>232</v>
      </c>
      <c r="F611" s="30">
        <v>44929</v>
      </c>
      <c r="G611" t="s">
        <v>20</v>
      </c>
      <c r="H611">
        <v>247</v>
      </c>
      <c r="I611" t="str">
        <f>VLOOKUP(B611,товар!$A$1:$C$433,2,FALSE)</f>
        <v>Йогурт</v>
      </c>
      <c r="J611" s="23">
        <f t="shared" si="46"/>
        <v>263.25423728813558</v>
      </c>
      <c r="K611" s="24">
        <f t="shared" si="47"/>
        <v>-0.11872263713623488</v>
      </c>
      <c r="L611" t="str">
        <f>VLOOKUP(B611,товар!$A$1:$C$433,3,FALSE)</f>
        <v>Чудо</v>
      </c>
      <c r="M611">
        <f t="shared" si="48"/>
        <v>287.10000000000002</v>
      </c>
      <c r="N611" s="30">
        <f>VLOOKUP(H611,клиенты!$A$1:$G$435,5,FALSE)</f>
        <v>44762</v>
      </c>
      <c r="O611">
        <f t="shared" si="49"/>
        <v>167</v>
      </c>
    </row>
    <row r="612" spans="1:15" x14ac:dyDescent="0.3">
      <c r="A612">
        <v>611</v>
      </c>
      <c r="B612">
        <v>25</v>
      </c>
      <c r="C612">
        <v>222</v>
      </c>
      <c r="D612">
        <v>1</v>
      </c>
      <c r="E612">
        <f t="shared" si="45"/>
        <v>222</v>
      </c>
      <c r="F612" s="30">
        <v>45245</v>
      </c>
      <c r="G612" t="s">
        <v>18</v>
      </c>
      <c r="H612">
        <v>364</v>
      </c>
      <c r="I612" t="str">
        <f>VLOOKUP(B612,товар!$A$1:$C$433,2,FALSE)</f>
        <v>Чипсы</v>
      </c>
      <c r="J612" s="23">
        <f t="shared" si="46"/>
        <v>273.72549019607845</v>
      </c>
      <c r="K612" s="24">
        <f t="shared" si="47"/>
        <v>-0.18896848137535827</v>
      </c>
      <c r="L612" t="str">
        <f>VLOOKUP(B612,товар!$A$1:$C$433,3,FALSE)</f>
        <v>Русская картошка</v>
      </c>
      <c r="M612">
        <f t="shared" si="48"/>
        <v>241.83333333333334</v>
      </c>
      <c r="N612" s="30">
        <f>VLOOKUP(H612,клиенты!$A$1:$G$435,5,FALSE)</f>
        <v>44883</v>
      </c>
      <c r="O612">
        <f t="shared" si="49"/>
        <v>362</v>
      </c>
    </row>
    <row r="613" spans="1:15" x14ac:dyDescent="0.3">
      <c r="A613">
        <v>612</v>
      </c>
      <c r="B613">
        <v>207</v>
      </c>
      <c r="C613">
        <v>152</v>
      </c>
      <c r="D613">
        <v>3</v>
      </c>
      <c r="E613">
        <f t="shared" si="45"/>
        <v>456</v>
      </c>
      <c r="F613" s="30">
        <v>45222</v>
      </c>
      <c r="G613" t="s">
        <v>18</v>
      </c>
      <c r="H613">
        <v>173</v>
      </c>
      <c r="I613" t="str">
        <f>VLOOKUP(B613,товар!$A$1:$C$433,2,FALSE)</f>
        <v>Сахар</v>
      </c>
      <c r="J613" s="23">
        <f t="shared" si="46"/>
        <v>252.76271186440678</v>
      </c>
      <c r="K613" s="24">
        <f t="shared" si="47"/>
        <v>-0.39864547710051634</v>
      </c>
      <c r="L613" t="str">
        <f>VLOOKUP(B613,товар!$A$1:$C$433,3,FALSE)</f>
        <v>Агросахар</v>
      </c>
      <c r="M613">
        <f t="shared" si="48"/>
        <v>215.85714285714286</v>
      </c>
      <c r="N613" s="30">
        <f>VLOOKUP(H613,клиенты!$A$1:$G$435,5,FALSE)</f>
        <v>44673</v>
      </c>
      <c r="O613">
        <f t="shared" si="49"/>
        <v>549</v>
      </c>
    </row>
    <row r="614" spans="1:15" x14ac:dyDescent="0.3">
      <c r="A614">
        <v>613</v>
      </c>
      <c r="B614">
        <v>180</v>
      </c>
      <c r="C614">
        <v>284</v>
      </c>
      <c r="D614">
        <v>1</v>
      </c>
      <c r="E614">
        <f t="shared" si="45"/>
        <v>284</v>
      </c>
      <c r="F614" s="30">
        <v>45267</v>
      </c>
      <c r="G614" t="s">
        <v>16</v>
      </c>
      <c r="H614">
        <v>485</v>
      </c>
      <c r="I614" t="str">
        <f>VLOOKUP(B614,товар!$A$1:$C$433,2,FALSE)</f>
        <v>Чипсы</v>
      </c>
      <c r="J614" s="23">
        <f t="shared" si="46"/>
        <v>273.72549019607845</v>
      </c>
      <c r="K614" s="24">
        <f t="shared" si="47"/>
        <v>3.7535816618911033E-2</v>
      </c>
      <c r="L614" t="str">
        <f>VLOOKUP(B614,товар!$A$1:$C$433,3,FALSE)</f>
        <v>Русская картошка</v>
      </c>
      <c r="M614">
        <f t="shared" si="48"/>
        <v>241.83333333333334</v>
      </c>
      <c r="N614" s="30">
        <f>VLOOKUP(H614,клиенты!$A$1:$G$435,5,FALSE)</f>
        <v>44723</v>
      </c>
      <c r="O614">
        <f t="shared" si="49"/>
        <v>544</v>
      </c>
    </row>
    <row r="615" spans="1:15" x14ac:dyDescent="0.3">
      <c r="A615">
        <v>614</v>
      </c>
      <c r="B615">
        <v>117</v>
      </c>
      <c r="C615">
        <v>208</v>
      </c>
      <c r="D615">
        <v>3</v>
      </c>
      <c r="E615">
        <f t="shared" si="45"/>
        <v>624</v>
      </c>
      <c r="F615" s="30">
        <v>45397</v>
      </c>
      <c r="G615" t="s">
        <v>15</v>
      </c>
      <c r="H615">
        <v>401</v>
      </c>
      <c r="I615" t="str">
        <f>VLOOKUP(B615,товар!$A$1:$C$433,2,FALSE)</f>
        <v>Макароны</v>
      </c>
      <c r="J615" s="23">
        <f t="shared" si="46"/>
        <v>265.47674418604652</v>
      </c>
      <c r="K615" s="24">
        <f t="shared" si="47"/>
        <v>-0.21650387630852785</v>
      </c>
      <c r="L615" t="str">
        <f>VLOOKUP(B615,товар!$A$1:$C$433,3,FALSE)</f>
        <v>Роллтон</v>
      </c>
      <c r="M615">
        <f t="shared" si="48"/>
        <v>235.55555555555554</v>
      </c>
      <c r="N615" s="30">
        <f>VLOOKUP(H615,клиенты!$A$1:$G$435,5,FALSE)</f>
        <v>44856</v>
      </c>
      <c r="O615">
        <f t="shared" si="49"/>
        <v>541</v>
      </c>
    </row>
    <row r="616" spans="1:15" x14ac:dyDescent="0.3">
      <c r="A616">
        <v>615</v>
      </c>
      <c r="B616">
        <v>211</v>
      </c>
      <c r="C616">
        <v>338</v>
      </c>
      <c r="D616">
        <v>4</v>
      </c>
      <c r="E616">
        <f t="shared" si="45"/>
        <v>1352</v>
      </c>
      <c r="F616" s="30">
        <v>45227</v>
      </c>
      <c r="G616" t="s">
        <v>18</v>
      </c>
      <c r="H616">
        <v>379</v>
      </c>
      <c r="I616" t="str">
        <f>VLOOKUP(B616,товар!$A$1:$C$433,2,FALSE)</f>
        <v>Овощи</v>
      </c>
      <c r="J616" s="23">
        <f t="shared" si="46"/>
        <v>250.48780487804879</v>
      </c>
      <c r="K616" s="24">
        <f t="shared" si="47"/>
        <v>0.3493670886075948</v>
      </c>
      <c r="L616" t="str">
        <f>VLOOKUP(B616,товар!$A$1:$C$433,3,FALSE)</f>
        <v>Овощной ряд</v>
      </c>
      <c r="M616">
        <f t="shared" si="48"/>
        <v>303.8235294117647</v>
      </c>
      <c r="N616" s="30">
        <f>VLOOKUP(H616,клиенты!$A$1:$G$435,5,FALSE)</f>
        <v>44581</v>
      </c>
      <c r="O616">
        <f t="shared" si="49"/>
        <v>646</v>
      </c>
    </row>
    <row r="617" spans="1:15" x14ac:dyDescent="0.3">
      <c r="A617">
        <v>616</v>
      </c>
      <c r="B617">
        <v>26</v>
      </c>
      <c r="C617">
        <v>143</v>
      </c>
      <c r="D617">
        <v>2</v>
      </c>
      <c r="E617">
        <f t="shared" si="45"/>
        <v>286</v>
      </c>
      <c r="F617" s="30">
        <v>45397</v>
      </c>
      <c r="G617" t="s">
        <v>29</v>
      </c>
      <c r="H617">
        <v>183</v>
      </c>
      <c r="I617" t="str">
        <f>VLOOKUP(B617,товар!$A$1:$C$433,2,FALSE)</f>
        <v>Мясо</v>
      </c>
      <c r="J617" s="23">
        <f t="shared" si="46"/>
        <v>271.74545454545455</v>
      </c>
      <c r="K617" s="24">
        <f t="shared" si="47"/>
        <v>-0.47377224675498464</v>
      </c>
      <c r="L617" t="str">
        <f>VLOOKUP(B617,товар!$A$1:$C$433,3,FALSE)</f>
        <v>Сава</v>
      </c>
      <c r="M617">
        <f t="shared" si="48"/>
        <v>212.8125</v>
      </c>
      <c r="N617" s="30">
        <f>VLOOKUP(H617,клиенты!$A$1:$G$435,5,FALSE)</f>
        <v>44900</v>
      </c>
      <c r="O617">
        <f t="shared" si="49"/>
        <v>497</v>
      </c>
    </row>
    <row r="618" spans="1:15" x14ac:dyDescent="0.3">
      <c r="A618">
        <v>617</v>
      </c>
      <c r="B618">
        <v>22</v>
      </c>
      <c r="C618">
        <v>217</v>
      </c>
      <c r="D618">
        <v>3</v>
      </c>
      <c r="E618">
        <f t="shared" si="45"/>
        <v>651</v>
      </c>
      <c r="F618" s="30">
        <v>45094</v>
      </c>
      <c r="G618" t="s">
        <v>27</v>
      </c>
      <c r="H618">
        <v>37</v>
      </c>
      <c r="I618" t="str">
        <f>VLOOKUP(B618,товар!$A$1:$C$433,2,FALSE)</f>
        <v>Конфеты</v>
      </c>
      <c r="J618" s="23">
        <f t="shared" si="46"/>
        <v>267.85483870967744</v>
      </c>
      <c r="K618" s="24">
        <f t="shared" si="47"/>
        <v>-0.18985969771782985</v>
      </c>
      <c r="L618" t="str">
        <f>VLOOKUP(B618,товар!$A$1:$C$433,3,FALSE)</f>
        <v>Бабаевский</v>
      </c>
      <c r="M618">
        <f t="shared" si="48"/>
        <v>250.25925925925927</v>
      </c>
      <c r="N618" s="30">
        <f>VLOOKUP(H618,клиенты!$A$1:$G$435,5,FALSE)</f>
        <v>44728</v>
      </c>
      <c r="O618">
        <f t="shared" si="49"/>
        <v>366</v>
      </c>
    </row>
    <row r="619" spans="1:15" x14ac:dyDescent="0.3">
      <c r="A619">
        <v>618</v>
      </c>
      <c r="B619">
        <v>150</v>
      </c>
      <c r="C619">
        <v>347</v>
      </c>
      <c r="D619">
        <v>3</v>
      </c>
      <c r="E619">
        <f t="shared" si="45"/>
        <v>1041</v>
      </c>
      <c r="F619" s="30">
        <v>44979</v>
      </c>
      <c r="G619" t="s">
        <v>17</v>
      </c>
      <c r="H619">
        <v>201</v>
      </c>
      <c r="I619" t="str">
        <f>VLOOKUP(B619,товар!$A$1:$C$433,2,FALSE)</f>
        <v>Рыба</v>
      </c>
      <c r="J619" s="23">
        <f t="shared" si="46"/>
        <v>258.5128205128205</v>
      </c>
      <c r="K619" s="24">
        <f t="shared" si="47"/>
        <v>0.34229319579448525</v>
      </c>
      <c r="L619" t="str">
        <f>VLOOKUP(B619,товар!$A$1:$C$433,3,FALSE)</f>
        <v>Меридиан</v>
      </c>
      <c r="M619">
        <f t="shared" si="48"/>
        <v>260.64705882352939</v>
      </c>
      <c r="N619" s="30">
        <f>VLOOKUP(H619,клиенты!$A$1:$G$435,5,FALSE)</f>
        <v>44843</v>
      </c>
      <c r="O619">
        <f t="shared" si="49"/>
        <v>136</v>
      </c>
    </row>
    <row r="620" spans="1:15" x14ac:dyDescent="0.3">
      <c r="A620">
        <v>619</v>
      </c>
      <c r="B620">
        <v>268</v>
      </c>
      <c r="C620">
        <v>55</v>
      </c>
      <c r="D620">
        <v>2</v>
      </c>
      <c r="E620">
        <f t="shared" si="45"/>
        <v>110</v>
      </c>
      <c r="F620" s="30">
        <v>45213</v>
      </c>
      <c r="G620" t="s">
        <v>26</v>
      </c>
      <c r="H620">
        <v>424</v>
      </c>
      <c r="I620" t="str">
        <f>VLOOKUP(B620,товар!$A$1:$C$433,2,FALSE)</f>
        <v>Рис</v>
      </c>
      <c r="J620" s="23">
        <f t="shared" si="46"/>
        <v>258.375</v>
      </c>
      <c r="K620" s="24">
        <f t="shared" si="47"/>
        <v>-0.78713110788582485</v>
      </c>
      <c r="L620" t="str">
        <f>VLOOKUP(B620,товар!$A$1:$C$433,3,FALSE)</f>
        <v>Мистраль</v>
      </c>
      <c r="M620">
        <f t="shared" si="48"/>
        <v>181.57142857142858</v>
      </c>
      <c r="N620" s="30">
        <f>VLOOKUP(H620,клиенты!$A$1:$G$435,5,FALSE)</f>
        <v>44585</v>
      </c>
      <c r="O620">
        <f t="shared" si="49"/>
        <v>628</v>
      </c>
    </row>
    <row r="621" spans="1:15" x14ac:dyDescent="0.3">
      <c r="A621">
        <v>620</v>
      </c>
      <c r="B621">
        <v>67</v>
      </c>
      <c r="C621">
        <v>142</v>
      </c>
      <c r="D621">
        <v>4</v>
      </c>
      <c r="E621">
        <f t="shared" si="45"/>
        <v>568</v>
      </c>
      <c r="F621" s="30">
        <v>45256</v>
      </c>
      <c r="G621" t="s">
        <v>15</v>
      </c>
      <c r="H621">
        <v>69</v>
      </c>
      <c r="I621" t="str">
        <f>VLOOKUP(B621,товар!$A$1:$C$433,2,FALSE)</f>
        <v>Йогурт</v>
      </c>
      <c r="J621" s="23">
        <f t="shared" si="46"/>
        <v>263.25423728813558</v>
      </c>
      <c r="K621" s="24">
        <f t="shared" si="47"/>
        <v>-0.46059747617821267</v>
      </c>
      <c r="L621" t="str">
        <f>VLOOKUP(B621,товар!$A$1:$C$433,3,FALSE)</f>
        <v>Чудо</v>
      </c>
      <c r="M621">
        <f t="shared" si="48"/>
        <v>287.10000000000002</v>
      </c>
      <c r="N621" s="30">
        <f>VLOOKUP(H621,клиенты!$A$1:$G$435,5,FALSE)</f>
        <v>44587</v>
      </c>
      <c r="O621">
        <f t="shared" si="49"/>
        <v>669</v>
      </c>
    </row>
    <row r="622" spans="1:15" x14ac:dyDescent="0.3">
      <c r="A622">
        <v>621</v>
      </c>
      <c r="B622">
        <v>453</v>
      </c>
      <c r="C622">
        <v>459</v>
      </c>
      <c r="D622">
        <v>1</v>
      </c>
      <c r="E622">
        <f t="shared" si="45"/>
        <v>459</v>
      </c>
      <c r="F622" s="30">
        <v>45136</v>
      </c>
      <c r="G622" t="s">
        <v>22</v>
      </c>
      <c r="H622">
        <v>498</v>
      </c>
      <c r="I622" t="str">
        <f>VLOOKUP(B622,товар!$A$1:$C$433,2,FALSE)</f>
        <v>Макароны</v>
      </c>
      <c r="J622" s="23">
        <f t="shared" si="46"/>
        <v>265.47674418604652</v>
      </c>
      <c r="K622" s="24">
        <f t="shared" si="47"/>
        <v>0.72896500372300821</v>
      </c>
      <c r="L622" t="str">
        <f>VLOOKUP(B622,товар!$A$1:$C$433,3,FALSE)</f>
        <v>Макфа</v>
      </c>
      <c r="M622">
        <f t="shared" si="48"/>
        <v>329.27272727272725</v>
      </c>
      <c r="N622" s="30">
        <f>VLOOKUP(H622,клиенты!$A$1:$G$435,5,FALSE)</f>
        <v>44721</v>
      </c>
      <c r="O622">
        <f t="shared" si="49"/>
        <v>415</v>
      </c>
    </row>
    <row r="623" spans="1:15" x14ac:dyDescent="0.3">
      <c r="A623">
        <v>622</v>
      </c>
      <c r="B623">
        <v>191</v>
      </c>
      <c r="C623">
        <v>58</v>
      </c>
      <c r="D623">
        <v>1</v>
      </c>
      <c r="E623">
        <f t="shared" si="45"/>
        <v>58</v>
      </c>
      <c r="F623" s="30">
        <v>44981</v>
      </c>
      <c r="G623" t="s">
        <v>26</v>
      </c>
      <c r="H623">
        <v>237</v>
      </c>
      <c r="I623" t="str">
        <f>VLOOKUP(B623,товар!$A$1:$C$433,2,FALSE)</f>
        <v>Колбаса</v>
      </c>
      <c r="J623" s="23">
        <f t="shared" si="46"/>
        <v>286.92307692307691</v>
      </c>
      <c r="K623" s="24">
        <f t="shared" si="47"/>
        <v>-0.79785522788203755</v>
      </c>
      <c r="L623" t="str">
        <f>VLOOKUP(B623,товар!$A$1:$C$433,3,FALSE)</f>
        <v>Окраина</v>
      </c>
      <c r="M623">
        <f t="shared" si="48"/>
        <v>273.58333333333331</v>
      </c>
      <c r="N623" s="30">
        <f>VLOOKUP(H623,клиенты!$A$1:$G$435,5,FALSE)</f>
        <v>44886</v>
      </c>
      <c r="O623">
        <f t="shared" si="49"/>
        <v>95</v>
      </c>
    </row>
    <row r="624" spans="1:15" x14ac:dyDescent="0.3">
      <c r="A624">
        <v>623</v>
      </c>
      <c r="B624">
        <v>49</v>
      </c>
      <c r="C624">
        <v>465</v>
      </c>
      <c r="D624">
        <v>2</v>
      </c>
      <c r="E624">
        <f t="shared" si="45"/>
        <v>930</v>
      </c>
      <c r="F624" s="30">
        <v>45150</v>
      </c>
      <c r="G624" t="s">
        <v>17</v>
      </c>
      <c r="H624">
        <v>365</v>
      </c>
      <c r="I624" t="str">
        <f>VLOOKUP(B624,товар!$A$1:$C$433,2,FALSE)</f>
        <v>Рис</v>
      </c>
      <c r="J624" s="23">
        <f t="shared" si="46"/>
        <v>258.375</v>
      </c>
      <c r="K624" s="24">
        <f t="shared" si="47"/>
        <v>0.79970972423802622</v>
      </c>
      <c r="L624" t="str">
        <f>VLOOKUP(B624,товар!$A$1:$C$433,3,FALSE)</f>
        <v>Агро-Альянс</v>
      </c>
      <c r="M624">
        <f t="shared" si="48"/>
        <v>317.85714285714283</v>
      </c>
      <c r="N624" s="30">
        <f>VLOOKUP(H624,клиенты!$A$1:$G$435,5,FALSE)</f>
        <v>44841</v>
      </c>
      <c r="O624">
        <f t="shared" si="49"/>
        <v>309</v>
      </c>
    </row>
    <row r="625" spans="1:15" x14ac:dyDescent="0.3">
      <c r="A625">
        <v>624</v>
      </c>
      <c r="B625">
        <v>313</v>
      </c>
      <c r="C625">
        <v>152</v>
      </c>
      <c r="D625">
        <v>1</v>
      </c>
      <c r="E625">
        <f t="shared" si="45"/>
        <v>152</v>
      </c>
      <c r="F625" s="30">
        <v>45014</v>
      </c>
      <c r="G625" t="s">
        <v>23</v>
      </c>
      <c r="H625">
        <v>127</v>
      </c>
      <c r="I625" t="str">
        <f>VLOOKUP(B625,товар!$A$1:$C$433,2,FALSE)</f>
        <v>Конфеты</v>
      </c>
      <c r="J625" s="23">
        <f t="shared" si="46"/>
        <v>267.85483870967744</v>
      </c>
      <c r="K625" s="24">
        <f t="shared" si="47"/>
        <v>-0.43252845185765043</v>
      </c>
      <c r="L625" t="str">
        <f>VLOOKUP(B625,товар!$A$1:$C$433,3,FALSE)</f>
        <v>Бабаевский</v>
      </c>
      <c r="M625">
        <f t="shared" si="48"/>
        <v>250.25925925925927</v>
      </c>
      <c r="N625" s="30">
        <f>VLOOKUP(H625,клиенты!$A$1:$G$435,5,FALSE)</f>
        <v>44914</v>
      </c>
      <c r="O625">
        <f t="shared" si="49"/>
        <v>100</v>
      </c>
    </row>
    <row r="626" spans="1:15" x14ac:dyDescent="0.3">
      <c r="A626">
        <v>625</v>
      </c>
      <c r="B626">
        <v>245</v>
      </c>
      <c r="C626">
        <v>144</v>
      </c>
      <c r="D626">
        <v>4</v>
      </c>
      <c r="E626">
        <f t="shared" si="45"/>
        <v>576</v>
      </c>
      <c r="F626" s="30">
        <v>45206</v>
      </c>
      <c r="G626" t="s">
        <v>30</v>
      </c>
      <c r="H626">
        <v>314</v>
      </c>
      <c r="I626" t="str">
        <f>VLOOKUP(B626,товар!$A$1:$C$433,2,FALSE)</f>
        <v>Сахар</v>
      </c>
      <c r="J626" s="23">
        <f t="shared" si="46"/>
        <v>252.76271186440678</v>
      </c>
      <c r="K626" s="24">
        <f t="shared" si="47"/>
        <v>-0.43029571514785758</v>
      </c>
      <c r="L626" t="str">
        <f>VLOOKUP(B626,товар!$A$1:$C$433,3,FALSE)</f>
        <v>Продимекс</v>
      </c>
      <c r="M626">
        <f t="shared" si="48"/>
        <v>240.5</v>
      </c>
      <c r="N626" s="30">
        <f>VLOOKUP(H626,клиенты!$A$1:$G$435,5,FALSE)</f>
        <v>44899</v>
      </c>
      <c r="O626">
        <f t="shared" si="49"/>
        <v>307</v>
      </c>
    </row>
    <row r="627" spans="1:15" x14ac:dyDescent="0.3">
      <c r="A627">
        <v>626</v>
      </c>
      <c r="B627">
        <v>194</v>
      </c>
      <c r="C627">
        <v>478</v>
      </c>
      <c r="D627">
        <v>3</v>
      </c>
      <c r="E627">
        <f t="shared" si="45"/>
        <v>1434</v>
      </c>
      <c r="F627" s="30">
        <v>44960</v>
      </c>
      <c r="G627" t="s">
        <v>23</v>
      </c>
      <c r="H627">
        <v>403</v>
      </c>
      <c r="I627" t="str">
        <f>VLOOKUP(B627,товар!$A$1:$C$433,2,FALSE)</f>
        <v>Соль</v>
      </c>
      <c r="J627" s="23">
        <f t="shared" si="46"/>
        <v>264.8679245283019</v>
      </c>
      <c r="K627" s="24">
        <f t="shared" si="47"/>
        <v>0.80467303034620308</v>
      </c>
      <c r="L627" t="str">
        <f>VLOOKUP(B627,товар!$A$1:$C$433,3,FALSE)</f>
        <v>Салта</v>
      </c>
      <c r="M627">
        <f t="shared" si="48"/>
        <v>273.7</v>
      </c>
      <c r="N627" s="30">
        <f>VLOOKUP(H627,клиенты!$A$1:$G$435,5,FALSE)</f>
        <v>44594</v>
      </c>
      <c r="O627">
        <f t="shared" si="49"/>
        <v>366</v>
      </c>
    </row>
    <row r="628" spans="1:15" x14ac:dyDescent="0.3">
      <c r="A628">
        <v>627</v>
      </c>
      <c r="B628">
        <v>154</v>
      </c>
      <c r="C628">
        <v>75</v>
      </c>
      <c r="D628">
        <v>1</v>
      </c>
      <c r="E628">
        <f t="shared" si="45"/>
        <v>75</v>
      </c>
      <c r="F628" s="30">
        <v>45378</v>
      </c>
      <c r="G628" t="s">
        <v>21</v>
      </c>
      <c r="H628">
        <v>255</v>
      </c>
      <c r="I628" t="str">
        <f>VLOOKUP(B628,товар!$A$1:$C$433,2,FALSE)</f>
        <v>Овощи</v>
      </c>
      <c r="J628" s="23">
        <f t="shared" si="46"/>
        <v>250.48780487804879</v>
      </c>
      <c r="K628" s="24">
        <f t="shared" si="47"/>
        <v>-0.70058422590068159</v>
      </c>
      <c r="L628" t="str">
        <f>VLOOKUP(B628,товар!$A$1:$C$433,3,FALSE)</f>
        <v>Зеленая грядка</v>
      </c>
      <c r="M628">
        <f t="shared" si="48"/>
        <v>159.19999999999999</v>
      </c>
      <c r="N628" s="30">
        <f>VLOOKUP(H628,клиенты!$A$1:$G$435,5,FALSE)</f>
        <v>44793</v>
      </c>
      <c r="O628">
        <f t="shared" si="49"/>
        <v>585</v>
      </c>
    </row>
    <row r="629" spans="1:15" x14ac:dyDescent="0.3">
      <c r="A629">
        <v>628</v>
      </c>
      <c r="B629">
        <v>462</v>
      </c>
      <c r="C629">
        <v>147</v>
      </c>
      <c r="D629">
        <v>5</v>
      </c>
      <c r="E629">
        <f t="shared" si="45"/>
        <v>735</v>
      </c>
      <c r="F629" s="30">
        <v>45113</v>
      </c>
      <c r="G629" t="s">
        <v>30</v>
      </c>
      <c r="H629">
        <v>229</v>
      </c>
      <c r="I629" t="str">
        <f>VLOOKUP(B629,товар!$A$1:$C$433,2,FALSE)</f>
        <v>Рис</v>
      </c>
      <c r="J629" s="23">
        <f t="shared" si="46"/>
        <v>258.375</v>
      </c>
      <c r="K629" s="24">
        <f t="shared" si="47"/>
        <v>-0.43105950653120462</v>
      </c>
      <c r="L629" t="str">
        <f>VLOOKUP(B629,товар!$A$1:$C$433,3,FALSE)</f>
        <v>Белый Злат</v>
      </c>
      <c r="M629">
        <f t="shared" si="48"/>
        <v>269.70588235294116</v>
      </c>
      <c r="N629" s="30">
        <f>VLOOKUP(H629,клиенты!$A$1:$G$435,5,FALSE)</f>
        <v>44766</v>
      </c>
      <c r="O629">
        <f t="shared" si="49"/>
        <v>347</v>
      </c>
    </row>
    <row r="630" spans="1:15" x14ac:dyDescent="0.3">
      <c r="A630">
        <v>629</v>
      </c>
      <c r="B630">
        <v>310</v>
      </c>
      <c r="C630">
        <v>404</v>
      </c>
      <c r="D630">
        <v>4</v>
      </c>
      <c r="E630">
        <f t="shared" si="45"/>
        <v>1616</v>
      </c>
      <c r="F630" s="30">
        <v>45031</v>
      </c>
      <c r="G630" t="s">
        <v>18</v>
      </c>
      <c r="H630">
        <v>179</v>
      </c>
      <c r="I630" t="str">
        <f>VLOOKUP(B630,товар!$A$1:$C$433,2,FALSE)</f>
        <v>Макароны</v>
      </c>
      <c r="J630" s="23">
        <f t="shared" si="46"/>
        <v>265.47674418604652</v>
      </c>
      <c r="K630" s="24">
        <f t="shared" si="47"/>
        <v>0.52179054793920554</v>
      </c>
      <c r="L630" t="str">
        <f>VLOOKUP(B630,товар!$A$1:$C$433,3,FALSE)</f>
        <v>Паста Зара</v>
      </c>
      <c r="M630">
        <f t="shared" si="48"/>
        <v>276.67567567567568</v>
      </c>
      <c r="N630" s="30">
        <f>VLOOKUP(H630,клиенты!$A$1:$G$435,5,FALSE)</f>
        <v>44833</v>
      </c>
      <c r="O630">
        <f t="shared" si="49"/>
        <v>198</v>
      </c>
    </row>
    <row r="631" spans="1:15" x14ac:dyDescent="0.3">
      <c r="A631">
        <v>630</v>
      </c>
      <c r="B631">
        <v>422</v>
      </c>
      <c r="C631">
        <v>361</v>
      </c>
      <c r="D631">
        <v>1</v>
      </c>
      <c r="E631">
        <f t="shared" si="45"/>
        <v>361</v>
      </c>
      <c r="F631" s="30">
        <v>45361</v>
      </c>
      <c r="G631" t="s">
        <v>22</v>
      </c>
      <c r="H631">
        <v>277</v>
      </c>
      <c r="I631" t="str">
        <f>VLOOKUP(B631,товар!$A$1:$C$433,2,FALSE)</f>
        <v>Кофе</v>
      </c>
      <c r="J631" s="23">
        <f t="shared" si="46"/>
        <v>249.02380952380952</v>
      </c>
      <c r="K631" s="24">
        <f t="shared" si="47"/>
        <v>0.4496605794052968</v>
      </c>
      <c r="L631" t="str">
        <f>VLOOKUP(B631,товар!$A$1:$C$433,3,FALSE)</f>
        <v>Nescafe</v>
      </c>
      <c r="M631">
        <f t="shared" si="48"/>
        <v>256.89999999999998</v>
      </c>
      <c r="N631" s="30">
        <f>VLOOKUP(H631,клиенты!$A$1:$G$435,5,FALSE)</f>
        <v>44750</v>
      </c>
      <c r="O631">
        <f t="shared" si="49"/>
        <v>611</v>
      </c>
    </row>
    <row r="632" spans="1:15" x14ac:dyDescent="0.3">
      <c r="A632">
        <v>631</v>
      </c>
      <c r="B632">
        <v>453</v>
      </c>
      <c r="C632">
        <v>404</v>
      </c>
      <c r="D632">
        <v>5</v>
      </c>
      <c r="E632">
        <f t="shared" si="45"/>
        <v>2020</v>
      </c>
      <c r="F632" s="30">
        <v>45108</v>
      </c>
      <c r="G632" t="s">
        <v>15</v>
      </c>
      <c r="H632">
        <v>460</v>
      </c>
      <c r="I632" t="str">
        <f>VLOOKUP(B632,товар!$A$1:$C$433,2,FALSE)</f>
        <v>Макароны</v>
      </c>
      <c r="J632" s="23">
        <f t="shared" si="46"/>
        <v>265.47674418604652</v>
      </c>
      <c r="K632" s="24">
        <f t="shared" si="47"/>
        <v>0.52179054793920554</v>
      </c>
      <c r="L632" t="str">
        <f>VLOOKUP(B632,товар!$A$1:$C$433,3,FALSE)</f>
        <v>Макфа</v>
      </c>
      <c r="M632">
        <f t="shared" si="48"/>
        <v>329.27272727272725</v>
      </c>
      <c r="N632" s="30">
        <f>VLOOKUP(H632,клиенты!$A$1:$G$435,5,FALSE)</f>
        <v>44821</v>
      </c>
      <c r="O632">
        <f t="shared" si="49"/>
        <v>287</v>
      </c>
    </row>
    <row r="633" spans="1:15" x14ac:dyDescent="0.3">
      <c r="A633">
        <v>632</v>
      </c>
      <c r="B633">
        <v>337</v>
      </c>
      <c r="C633">
        <v>132</v>
      </c>
      <c r="D633">
        <v>3</v>
      </c>
      <c r="E633">
        <f t="shared" si="45"/>
        <v>396</v>
      </c>
      <c r="F633" s="30">
        <v>45003</v>
      </c>
      <c r="G633" t="s">
        <v>33</v>
      </c>
      <c r="H633">
        <v>434</v>
      </c>
      <c r="I633" t="str">
        <f>VLOOKUP(B633,товар!$A$1:$C$433,2,FALSE)</f>
        <v>Макароны</v>
      </c>
      <c r="J633" s="23">
        <f t="shared" si="46"/>
        <v>265.47674418604652</v>
      </c>
      <c r="K633" s="24">
        <f t="shared" si="47"/>
        <v>-0.50278130611887351</v>
      </c>
      <c r="L633" t="str">
        <f>VLOOKUP(B633,товар!$A$1:$C$433,3,FALSE)</f>
        <v>Паста Зара</v>
      </c>
      <c r="M633">
        <f t="shared" si="48"/>
        <v>276.67567567567568</v>
      </c>
      <c r="N633" s="30">
        <f>VLOOKUP(H633,клиенты!$A$1:$G$435,5,FALSE)</f>
        <v>44730</v>
      </c>
      <c r="O633">
        <f t="shared" si="49"/>
        <v>273</v>
      </c>
    </row>
    <row r="634" spans="1:15" x14ac:dyDescent="0.3">
      <c r="A634">
        <v>633</v>
      </c>
      <c r="B634">
        <v>258</v>
      </c>
      <c r="C634">
        <v>333</v>
      </c>
      <c r="D634">
        <v>4</v>
      </c>
      <c r="E634">
        <f t="shared" si="45"/>
        <v>1332</v>
      </c>
      <c r="F634" s="30">
        <v>45018</v>
      </c>
      <c r="G634" t="s">
        <v>18</v>
      </c>
      <c r="H634">
        <v>62</v>
      </c>
      <c r="I634" t="str">
        <f>VLOOKUP(B634,товар!$A$1:$C$433,2,FALSE)</f>
        <v>Рыба</v>
      </c>
      <c r="J634" s="23">
        <f t="shared" si="46"/>
        <v>258.5128205128205</v>
      </c>
      <c r="K634" s="24">
        <f t="shared" si="47"/>
        <v>0.28813727435032743</v>
      </c>
      <c r="L634" t="str">
        <f>VLOOKUP(B634,товар!$A$1:$C$433,3,FALSE)</f>
        <v>Санта Бремор</v>
      </c>
      <c r="M634">
        <f t="shared" si="48"/>
        <v>216.4</v>
      </c>
      <c r="N634" s="30">
        <f>VLOOKUP(H634,клиенты!$A$1:$G$435,5,FALSE)</f>
        <v>44671</v>
      </c>
      <c r="O634">
        <f t="shared" si="49"/>
        <v>347</v>
      </c>
    </row>
    <row r="635" spans="1:15" x14ac:dyDescent="0.3">
      <c r="A635">
        <v>634</v>
      </c>
      <c r="B635">
        <v>111</v>
      </c>
      <c r="C635">
        <v>420</v>
      </c>
      <c r="D635">
        <v>1</v>
      </c>
      <c r="E635">
        <f t="shared" si="45"/>
        <v>420</v>
      </c>
      <c r="F635" s="30">
        <v>45295</v>
      </c>
      <c r="G635" t="s">
        <v>16</v>
      </c>
      <c r="H635">
        <v>13</v>
      </c>
      <c r="I635" t="str">
        <f>VLOOKUP(B635,товар!$A$1:$C$433,2,FALSE)</f>
        <v>Сахар</v>
      </c>
      <c r="J635" s="23">
        <f t="shared" si="46"/>
        <v>252.76271186440678</v>
      </c>
      <c r="K635" s="24">
        <f t="shared" si="47"/>
        <v>0.66163749748541534</v>
      </c>
      <c r="L635" t="str">
        <f>VLOOKUP(B635,товар!$A$1:$C$433,3,FALSE)</f>
        <v>Сладов</v>
      </c>
      <c r="M635">
        <f t="shared" si="48"/>
        <v>240.26666666666668</v>
      </c>
      <c r="N635" s="30">
        <f>VLOOKUP(H635,клиенты!$A$1:$G$435,5,FALSE)</f>
        <v>44724</v>
      </c>
      <c r="O635">
        <f t="shared" si="49"/>
        <v>571</v>
      </c>
    </row>
    <row r="636" spans="1:15" x14ac:dyDescent="0.3">
      <c r="A636">
        <v>635</v>
      </c>
      <c r="B636">
        <v>4</v>
      </c>
      <c r="C636">
        <v>151</v>
      </c>
      <c r="D636">
        <v>4</v>
      </c>
      <c r="E636">
        <f t="shared" si="45"/>
        <v>604</v>
      </c>
      <c r="F636" s="30">
        <v>45286</v>
      </c>
      <c r="G636" t="s">
        <v>25</v>
      </c>
      <c r="H636">
        <v>116</v>
      </c>
      <c r="I636" t="str">
        <f>VLOOKUP(B636,товар!$A$1:$C$433,2,FALSE)</f>
        <v>Рис</v>
      </c>
      <c r="J636" s="23">
        <f t="shared" si="46"/>
        <v>258.375</v>
      </c>
      <c r="K636" s="24">
        <f t="shared" si="47"/>
        <v>-0.41557813255926468</v>
      </c>
      <c r="L636" t="str">
        <f>VLOOKUP(B636,товар!$A$1:$C$433,3,FALSE)</f>
        <v>Белый Злат</v>
      </c>
      <c r="M636">
        <f t="shared" si="48"/>
        <v>269.70588235294116</v>
      </c>
      <c r="N636" s="30">
        <f>VLOOKUP(H636,клиенты!$A$1:$G$435,5,FALSE)</f>
        <v>44643</v>
      </c>
      <c r="O636">
        <f t="shared" si="49"/>
        <v>643</v>
      </c>
    </row>
    <row r="637" spans="1:15" x14ac:dyDescent="0.3">
      <c r="A637">
        <v>636</v>
      </c>
      <c r="B637">
        <v>266</v>
      </c>
      <c r="C637">
        <v>141</v>
      </c>
      <c r="D637">
        <v>5</v>
      </c>
      <c r="E637">
        <f t="shared" si="45"/>
        <v>705</v>
      </c>
      <c r="F637" s="30">
        <v>45174</v>
      </c>
      <c r="G637" t="s">
        <v>18</v>
      </c>
      <c r="H637">
        <v>50</v>
      </c>
      <c r="I637" t="str">
        <f>VLOOKUP(B637,товар!$A$1:$C$433,2,FALSE)</f>
        <v>Рыба</v>
      </c>
      <c r="J637" s="23">
        <f t="shared" si="46"/>
        <v>258.5128205128205</v>
      </c>
      <c r="K637" s="24">
        <f t="shared" si="47"/>
        <v>-0.45457250545526673</v>
      </c>
      <c r="L637" t="str">
        <f>VLOOKUP(B637,товар!$A$1:$C$433,3,FALSE)</f>
        <v>Меридиан</v>
      </c>
      <c r="M637">
        <f t="shared" si="48"/>
        <v>260.64705882352939</v>
      </c>
      <c r="N637" s="30">
        <f>VLOOKUP(H637,клиенты!$A$1:$G$435,5,FALSE)</f>
        <v>44576</v>
      </c>
      <c r="O637">
        <f t="shared" si="49"/>
        <v>598</v>
      </c>
    </row>
    <row r="638" spans="1:15" x14ac:dyDescent="0.3">
      <c r="A638">
        <v>637</v>
      </c>
      <c r="B638">
        <v>143</v>
      </c>
      <c r="C638">
        <v>339</v>
      </c>
      <c r="D638">
        <v>1</v>
      </c>
      <c r="E638">
        <f t="shared" si="45"/>
        <v>339</v>
      </c>
      <c r="F638" s="30">
        <v>45013</v>
      </c>
      <c r="G638" t="s">
        <v>18</v>
      </c>
      <c r="H638">
        <v>197</v>
      </c>
      <c r="I638" t="str">
        <f>VLOOKUP(B638,товар!$A$1:$C$433,2,FALSE)</f>
        <v>Сахар</v>
      </c>
      <c r="J638" s="23">
        <f t="shared" si="46"/>
        <v>252.76271186440678</v>
      </c>
      <c r="K638" s="24">
        <f t="shared" si="47"/>
        <v>0.34117883725608533</v>
      </c>
      <c r="L638" t="str">
        <f>VLOOKUP(B638,товар!$A$1:$C$433,3,FALSE)</f>
        <v>Агросахар</v>
      </c>
      <c r="M638">
        <f t="shared" si="48"/>
        <v>215.85714285714286</v>
      </c>
      <c r="N638" s="30">
        <f>VLOOKUP(H638,клиенты!$A$1:$G$435,5,FALSE)</f>
        <v>44785</v>
      </c>
      <c r="O638">
        <f t="shared" si="49"/>
        <v>228</v>
      </c>
    </row>
    <row r="639" spans="1:15" x14ac:dyDescent="0.3">
      <c r="A639">
        <v>638</v>
      </c>
      <c r="B639">
        <v>475</v>
      </c>
      <c r="C639">
        <v>206</v>
      </c>
      <c r="D639">
        <v>3</v>
      </c>
      <c r="E639">
        <f t="shared" si="45"/>
        <v>618</v>
      </c>
      <c r="F639" s="30">
        <v>45424</v>
      </c>
      <c r="G639" t="s">
        <v>26</v>
      </c>
      <c r="H639">
        <v>243</v>
      </c>
      <c r="I639" t="str">
        <f>VLOOKUP(B639,товар!$A$1:$C$433,2,FALSE)</f>
        <v>Хлеб</v>
      </c>
      <c r="J639" s="23">
        <f t="shared" si="46"/>
        <v>300.31818181818181</v>
      </c>
      <c r="K639" s="24">
        <f t="shared" si="47"/>
        <v>-0.31406084455880123</v>
      </c>
      <c r="L639" t="str">
        <f>VLOOKUP(B639,товар!$A$1:$C$433,3,FALSE)</f>
        <v>Русский Хлеб</v>
      </c>
      <c r="M639">
        <f t="shared" si="48"/>
        <v>316.60000000000002</v>
      </c>
      <c r="N639" s="30">
        <f>VLOOKUP(H639,клиенты!$A$1:$G$435,5,FALSE)</f>
        <v>44681</v>
      </c>
      <c r="O639">
        <f t="shared" si="49"/>
        <v>743</v>
      </c>
    </row>
    <row r="640" spans="1:15" x14ac:dyDescent="0.3">
      <c r="A640">
        <v>639</v>
      </c>
      <c r="B640">
        <v>52</v>
      </c>
      <c r="C640">
        <v>105</v>
      </c>
      <c r="D640">
        <v>2</v>
      </c>
      <c r="E640">
        <f t="shared" si="45"/>
        <v>210</v>
      </c>
      <c r="F640" s="30">
        <v>45232</v>
      </c>
      <c r="G640" t="s">
        <v>15</v>
      </c>
      <c r="H640">
        <v>275</v>
      </c>
      <c r="I640" t="str">
        <f>VLOOKUP(B640,товар!$A$1:$C$433,2,FALSE)</f>
        <v>Соль</v>
      </c>
      <c r="J640" s="23">
        <f t="shared" si="46"/>
        <v>264.8679245283019</v>
      </c>
      <c r="K640" s="24">
        <f t="shared" si="47"/>
        <v>-0.60357600797834454</v>
      </c>
      <c r="L640" t="str">
        <f>VLOOKUP(B640,товар!$A$1:$C$433,3,FALSE)</f>
        <v>Илецкая</v>
      </c>
      <c r="M640">
        <f t="shared" si="48"/>
        <v>238.16666666666666</v>
      </c>
      <c r="N640" s="30">
        <f>VLOOKUP(H640,клиенты!$A$1:$G$435,5,FALSE)</f>
        <v>44651</v>
      </c>
      <c r="O640">
        <f t="shared" si="49"/>
        <v>581</v>
      </c>
    </row>
    <row r="641" spans="1:15" x14ac:dyDescent="0.3">
      <c r="A641">
        <v>640</v>
      </c>
      <c r="B641">
        <v>47</v>
      </c>
      <c r="C641">
        <v>356</v>
      </c>
      <c r="D641">
        <v>3</v>
      </c>
      <c r="E641">
        <f t="shared" si="45"/>
        <v>1068</v>
      </c>
      <c r="F641" s="30">
        <v>45288</v>
      </c>
      <c r="G641" t="s">
        <v>22</v>
      </c>
      <c r="H641">
        <v>45</v>
      </c>
      <c r="I641" t="str">
        <f>VLOOKUP(B641,товар!$A$1:$C$433,2,FALSE)</f>
        <v>Мясо</v>
      </c>
      <c r="J641" s="23">
        <f t="shared" si="46"/>
        <v>271.74545454545455</v>
      </c>
      <c r="K641" s="24">
        <f t="shared" si="47"/>
        <v>0.31004951157500327</v>
      </c>
      <c r="L641" t="str">
        <f>VLOOKUP(B641,товар!$A$1:$C$433,3,FALSE)</f>
        <v>Снежана</v>
      </c>
      <c r="M641">
        <f t="shared" si="48"/>
        <v>272.35294117647061</v>
      </c>
      <c r="N641" s="30">
        <f>VLOOKUP(H641,клиенты!$A$1:$G$435,5,FALSE)</f>
        <v>44662</v>
      </c>
      <c r="O641">
        <f t="shared" si="49"/>
        <v>626</v>
      </c>
    </row>
    <row r="642" spans="1:15" x14ac:dyDescent="0.3">
      <c r="A642">
        <v>641</v>
      </c>
      <c r="B642">
        <v>122</v>
      </c>
      <c r="C642">
        <v>240</v>
      </c>
      <c r="D642">
        <v>1</v>
      </c>
      <c r="E642">
        <f t="shared" ref="E642:E705" si="50">C642*D642</f>
        <v>240</v>
      </c>
      <c r="F642" s="30">
        <v>44961</v>
      </c>
      <c r="G642" t="s">
        <v>16</v>
      </c>
      <c r="H642">
        <v>419</v>
      </c>
      <c r="I642" t="str">
        <f>VLOOKUP(B642,товар!$A$1:$C$433,2,FALSE)</f>
        <v>Фрукты</v>
      </c>
      <c r="J642" s="23">
        <f t="shared" ref="J642:J705" si="51">AVERAGEIF($I$2:$I$1001,I642,$C$2:$C$1001)</f>
        <v>274.16279069767444</v>
      </c>
      <c r="K642" s="24">
        <f t="shared" ref="K642:K705" si="52">C642/J642-1</f>
        <v>-0.12460768513020615</v>
      </c>
      <c r="L642" t="str">
        <f>VLOOKUP(B642,товар!$A$1:$C$433,3,FALSE)</f>
        <v>Фрукты-Ягоды</v>
      </c>
      <c r="M642">
        <f t="shared" ref="M642:M705" si="53">AVERAGEIFS($C$2:$C$1001,$I$2:$I$1001,I642,$L$2:$L$1001,L642)</f>
        <v>280.66666666666669</v>
      </c>
      <c r="N642" s="30">
        <f>VLOOKUP(H642,клиенты!$A$1:$G$435,5,FALSE)</f>
        <v>44869</v>
      </c>
      <c r="O642">
        <f t="shared" ref="O642:O705" si="54">F642-N642</f>
        <v>92</v>
      </c>
    </row>
    <row r="643" spans="1:15" x14ac:dyDescent="0.3">
      <c r="A643">
        <v>642</v>
      </c>
      <c r="B643">
        <v>422</v>
      </c>
      <c r="C643">
        <v>290</v>
      </c>
      <c r="D643">
        <v>5</v>
      </c>
      <c r="E643">
        <f t="shared" si="50"/>
        <v>1450</v>
      </c>
      <c r="F643" s="30">
        <v>45292</v>
      </c>
      <c r="G643" t="s">
        <v>19</v>
      </c>
      <c r="H643">
        <v>125</v>
      </c>
      <c r="I643" t="str">
        <f>VLOOKUP(B643,товар!$A$1:$C$433,2,FALSE)</f>
        <v>Кофе</v>
      </c>
      <c r="J643" s="23">
        <f t="shared" si="51"/>
        <v>249.02380952380952</v>
      </c>
      <c r="K643" s="24">
        <f t="shared" si="52"/>
        <v>0.16454727985467055</v>
      </c>
      <c r="L643" t="str">
        <f>VLOOKUP(B643,товар!$A$1:$C$433,3,FALSE)</f>
        <v>Nescafe</v>
      </c>
      <c r="M643">
        <f t="shared" si="53"/>
        <v>256.89999999999998</v>
      </c>
      <c r="N643" s="30">
        <f>VLOOKUP(H643,клиенты!$A$1:$G$435,5,FALSE)</f>
        <v>44701</v>
      </c>
      <c r="O643">
        <f t="shared" si="54"/>
        <v>591</v>
      </c>
    </row>
    <row r="644" spans="1:15" x14ac:dyDescent="0.3">
      <c r="A644">
        <v>643</v>
      </c>
      <c r="B644">
        <v>479</v>
      </c>
      <c r="C644">
        <v>405</v>
      </c>
      <c r="D644">
        <v>4</v>
      </c>
      <c r="E644">
        <f t="shared" si="50"/>
        <v>1620</v>
      </c>
      <c r="F644" s="30">
        <v>45302</v>
      </c>
      <c r="G644" t="s">
        <v>26</v>
      </c>
      <c r="H644">
        <v>242</v>
      </c>
      <c r="I644" t="str">
        <f>VLOOKUP(B644,товар!$A$1:$C$433,2,FALSE)</f>
        <v>Овощи</v>
      </c>
      <c r="J644" s="23">
        <f t="shared" si="51"/>
        <v>250.48780487804879</v>
      </c>
      <c r="K644" s="24">
        <f t="shared" si="52"/>
        <v>0.61684518013631928</v>
      </c>
      <c r="L644" t="str">
        <f>VLOOKUP(B644,товар!$A$1:$C$433,3,FALSE)</f>
        <v>Гавриш</v>
      </c>
      <c r="M644">
        <f t="shared" si="53"/>
        <v>247.66666666666666</v>
      </c>
      <c r="N644" s="30">
        <f>VLOOKUP(H644,клиенты!$A$1:$G$435,5,FALSE)</f>
        <v>44747</v>
      </c>
      <c r="O644">
        <f t="shared" si="54"/>
        <v>555</v>
      </c>
    </row>
    <row r="645" spans="1:15" x14ac:dyDescent="0.3">
      <c r="A645">
        <v>644</v>
      </c>
      <c r="B645">
        <v>99</v>
      </c>
      <c r="C645">
        <v>281</v>
      </c>
      <c r="D645">
        <v>5</v>
      </c>
      <c r="E645">
        <f t="shared" si="50"/>
        <v>1405</v>
      </c>
      <c r="F645" s="30">
        <v>45139</v>
      </c>
      <c r="G645" t="s">
        <v>22</v>
      </c>
      <c r="H645">
        <v>329</v>
      </c>
      <c r="I645" t="str">
        <f>VLOOKUP(B645,товар!$A$1:$C$433,2,FALSE)</f>
        <v>Овощи</v>
      </c>
      <c r="J645" s="23">
        <f t="shared" si="51"/>
        <v>250.48780487804879</v>
      </c>
      <c r="K645" s="24">
        <f t="shared" si="52"/>
        <v>0.12181110029211295</v>
      </c>
      <c r="L645" t="str">
        <f>VLOOKUP(B645,товар!$A$1:$C$433,3,FALSE)</f>
        <v>Семко</v>
      </c>
      <c r="M645">
        <f t="shared" si="53"/>
        <v>208</v>
      </c>
      <c r="N645" s="30">
        <f>VLOOKUP(H645,клиенты!$A$1:$G$435,5,FALSE)</f>
        <v>44653</v>
      </c>
      <c r="O645">
        <f t="shared" si="54"/>
        <v>486</v>
      </c>
    </row>
    <row r="646" spans="1:15" x14ac:dyDescent="0.3">
      <c r="A646">
        <v>645</v>
      </c>
      <c r="B646">
        <v>272</v>
      </c>
      <c r="C646">
        <v>207</v>
      </c>
      <c r="D646">
        <v>5</v>
      </c>
      <c r="E646">
        <f t="shared" si="50"/>
        <v>1035</v>
      </c>
      <c r="F646" s="30">
        <v>45074</v>
      </c>
      <c r="G646" t="s">
        <v>34</v>
      </c>
      <c r="H646">
        <v>42</v>
      </c>
      <c r="I646" t="str">
        <f>VLOOKUP(B646,товар!$A$1:$C$433,2,FALSE)</f>
        <v>Крупа</v>
      </c>
      <c r="J646" s="23">
        <f t="shared" si="51"/>
        <v>255.11627906976744</v>
      </c>
      <c r="K646" s="24">
        <f t="shared" si="52"/>
        <v>-0.18860528714676394</v>
      </c>
      <c r="L646" t="str">
        <f>VLOOKUP(B646,товар!$A$1:$C$433,3,FALSE)</f>
        <v>Ярмарка</v>
      </c>
      <c r="M646">
        <f t="shared" si="53"/>
        <v>252.09090909090909</v>
      </c>
      <c r="N646" s="30">
        <f>VLOOKUP(H646,клиенты!$A$1:$G$435,5,FALSE)</f>
        <v>44783</v>
      </c>
      <c r="O646">
        <f t="shared" si="54"/>
        <v>291</v>
      </c>
    </row>
    <row r="647" spans="1:15" x14ac:dyDescent="0.3">
      <c r="A647">
        <v>646</v>
      </c>
      <c r="B647">
        <v>493</v>
      </c>
      <c r="C647">
        <v>378</v>
      </c>
      <c r="D647">
        <v>2</v>
      </c>
      <c r="E647">
        <f t="shared" si="50"/>
        <v>756</v>
      </c>
      <c r="F647" s="30">
        <v>45324</v>
      </c>
      <c r="G647" t="s">
        <v>29</v>
      </c>
      <c r="H647">
        <v>229</v>
      </c>
      <c r="I647" t="str">
        <f>VLOOKUP(B647,товар!$A$1:$C$433,2,FALSE)</f>
        <v>Овощи</v>
      </c>
      <c r="J647" s="23">
        <f t="shared" si="51"/>
        <v>250.48780487804879</v>
      </c>
      <c r="K647" s="24">
        <f t="shared" si="52"/>
        <v>0.50905550146056466</v>
      </c>
      <c r="L647" t="str">
        <f>VLOOKUP(B647,товар!$A$1:$C$433,3,FALSE)</f>
        <v>Овощной ряд</v>
      </c>
      <c r="M647">
        <f t="shared" si="53"/>
        <v>303.8235294117647</v>
      </c>
      <c r="N647" s="30">
        <f>VLOOKUP(H647,клиенты!$A$1:$G$435,5,FALSE)</f>
        <v>44766</v>
      </c>
      <c r="O647">
        <f t="shared" si="54"/>
        <v>558</v>
      </c>
    </row>
    <row r="648" spans="1:15" x14ac:dyDescent="0.3">
      <c r="A648">
        <v>647</v>
      </c>
      <c r="B648">
        <v>360</v>
      </c>
      <c r="C648">
        <v>120</v>
      </c>
      <c r="D648">
        <v>2</v>
      </c>
      <c r="E648">
        <f t="shared" si="50"/>
        <v>240</v>
      </c>
      <c r="F648" s="30">
        <v>44960</v>
      </c>
      <c r="G648" t="s">
        <v>34</v>
      </c>
      <c r="H648">
        <v>306</v>
      </c>
      <c r="I648" t="str">
        <f>VLOOKUP(B648,товар!$A$1:$C$433,2,FALSE)</f>
        <v>Соль</v>
      </c>
      <c r="J648" s="23">
        <f t="shared" si="51"/>
        <v>264.8679245283019</v>
      </c>
      <c r="K648" s="24">
        <f t="shared" si="52"/>
        <v>-0.54694400911810803</v>
      </c>
      <c r="L648" t="str">
        <f>VLOOKUP(B648,товар!$A$1:$C$433,3,FALSE)</f>
        <v>Славянская</v>
      </c>
      <c r="M648">
        <f t="shared" si="53"/>
        <v>236.91666666666666</v>
      </c>
      <c r="N648" s="30">
        <f>VLOOKUP(H648,клиенты!$A$1:$G$435,5,FALSE)</f>
        <v>44872</v>
      </c>
      <c r="O648">
        <f t="shared" si="54"/>
        <v>88</v>
      </c>
    </row>
    <row r="649" spans="1:15" x14ac:dyDescent="0.3">
      <c r="A649">
        <v>648</v>
      </c>
      <c r="B649">
        <v>215</v>
      </c>
      <c r="C649">
        <v>440</v>
      </c>
      <c r="D649">
        <v>2</v>
      </c>
      <c r="E649">
        <f t="shared" si="50"/>
        <v>880</v>
      </c>
      <c r="F649" s="30">
        <v>45381</v>
      </c>
      <c r="G649" t="s">
        <v>25</v>
      </c>
      <c r="H649">
        <v>292</v>
      </c>
      <c r="I649" t="str">
        <f>VLOOKUP(B649,товар!$A$1:$C$433,2,FALSE)</f>
        <v>Сок</v>
      </c>
      <c r="J649" s="23">
        <f t="shared" si="51"/>
        <v>268.60344827586209</v>
      </c>
      <c r="K649" s="24">
        <f t="shared" si="52"/>
        <v>0.63810257397779058</v>
      </c>
      <c r="L649" t="str">
        <f>VLOOKUP(B649,товар!$A$1:$C$433,3,FALSE)</f>
        <v>Фруктовый сад</v>
      </c>
      <c r="M649">
        <f t="shared" si="53"/>
        <v>281.96875</v>
      </c>
      <c r="N649" s="30">
        <f>VLOOKUP(H649,клиенты!$A$1:$G$435,5,FALSE)</f>
        <v>44608</v>
      </c>
      <c r="O649">
        <f t="shared" si="54"/>
        <v>773</v>
      </c>
    </row>
    <row r="650" spans="1:15" x14ac:dyDescent="0.3">
      <c r="A650">
        <v>649</v>
      </c>
      <c r="B650">
        <v>292</v>
      </c>
      <c r="C650">
        <v>327</v>
      </c>
      <c r="D650">
        <v>5</v>
      </c>
      <c r="E650">
        <f t="shared" si="50"/>
        <v>1635</v>
      </c>
      <c r="F650" s="30">
        <v>45038</v>
      </c>
      <c r="G650" t="s">
        <v>27</v>
      </c>
      <c r="H650">
        <v>275</v>
      </c>
      <c r="I650" t="str">
        <f>VLOOKUP(B650,товар!$A$1:$C$433,2,FALSE)</f>
        <v>Колбаса</v>
      </c>
      <c r="J650" s="23">
        <f t="shared" si="51"/>
        <v>286.92307692307691</v>
      </c>
      <c r="K650" s="24">
        <f t="shared" si="52"/>
        <v>0.13967828418230566</v>
      </c>
      <c r="L650" t="str">
        <f>VLOOKUP(B650,товар!$A$1:$C$433,3,FALSE)</f>
        <v>Дымов</v>
      </c>
      <c r="M650">
        <f t="shared" si="53"/>
        <v>312.66666666666669</v>
      </c>
      <c r="N650" s="30">
        <f>VLOOKUP(H650,клиенты!$A$1:$G$435,5,FALSE)</f>
        <v>44651</v>
      </c>
      <c r="O650">
        <f t="shared" si="54"/>
        <v>387</v>
      </c>
    </row>
    <row r="651" spans="1:15" x14ac:dyDescent="0.3">
      <c r="A651">
        <v>650</v>
      </c>
      <c r="B651">
        <v>307</v>
      </c>
      <c r="C651">
        <v>407</v>
      </c>
      <c r="D651">
        <v>1</v>
      </c>
      <c r="E651">
        <f t="shared" si="50"/>
        <v>407</v>
      </c>
      <c r="F651" s="30">
        <v>44950</v>
      </c>
      <c r="G651" t="s">
        <v>27</v>
      </c>
      <c r="H651">
        <v>103</v>
      </c>
      <c r="I651" t="str">
        <f>VLOOKUP(B651,товар!$A$1:$C$433,2,FALSE)</f>
        <v>Сыр</v>
      </c>
      <c r="J651" s="23">
        <f t="shared" si="51"/>
        <v>262.63492063492066</v>
      </c>
      <c r="K651" s="24">
        <f t="shared" si="52"/>
        <v>0.54967968088964092</v>
      </c>
      <c r="L651" t="str">
        <f>VLOOKUP(B651,товар!$A$1:$C$433,3,FALSE)</f>
        <v>Карат</v>
      </c>
      <c r="M651">
        <f t="shared" si="53"/>
        <v>311.33333333333331</v>
      </c>
      <c r="N651" s="30">
        <f>VLOOKUP(H651,клиенты!$A$1:$G$435,5,FALSE)</f>
        <v>44787</v>
      </c>
      <c r="O651">
        <f t="shared" si="54"/>
        <v>163</v>
      </c>
    </row>
    <row r="652" spans="1:15" x14ac:dyDescent="0.3">
      <c r="A652">
        <v>651</v>
      </c>
      <c r="B652">
        <v>473</v>
      </c>
      <c r="C652">
        <v>343</v>
      </c>
      <c r="D652">
        <v>5</v>
      </c>
      <c r="E652">
        <f t="shared" si="50"/>
        <v>1715</v>
      </c>
      <c r="F652" s="30">
        <v>45086</v>
      </c>
      <c r="G652" t="s">
        <v>18</v>
      </c>
      <c r="H652">
        <v>460</v>
      </c>
      <c r="I652" t="str">
        <f>VLOOKUP(B652,товар!$A$1:$C$433,2,FALSE)</f>
        <v>Хлеб</v>
      </c>
      <c r="J652" s="23">
        <f t="shared" si="51"/>
        <v>300.31818181818181</v>
      </c>
      <c r="K652" s="24">
        <f t="shared" si="52"/>
        <v>0.14212199182685037</v>
      </c>
      <c r="L652" t="str">
        <f>VLOOKUP(B652,товар!$A$1:$C$433,3,FALSE)</f>
        <v>Хлебный Дом</v>
      </c>
      <c r="M652">
        <f t="shared" si="53"/>
        <v>281.73333333333335</v>
      </c>
      <c r="N652" s="30">
        <f>VLOOKUP(H652,клиенты!$A$1:$G$435,5,FALSE)</f>
        <v>44821</v>
      </c>
      <c r="O652">
        <f t="shared" si="54"/>
        <v>265</v>
      </c>
    </row>
    <row r="653" spans="1:15" x14ac:dyDescent="0.3">
      <c r="A653">
        <v>652</v>
      </c>
      <c r="B653">
        <v>112</v>
      </c>
      <c r="C653">
        <v>237</v>
      </c>
      <c r="D653">
        <v>3</v>
      </c>
      <c r="E653">
        <f t="shared" si="50"/>
        <v>711</v>
      </c>
      <c r="F653" s="30">
        <v>45079</v>
      </c>
      <c r="G653" t="s">
        <v>32</v>
      </c>
      <c r="H653">
        <v>342</v>
      </c>
      <c r="I653" t="str">
        <f>VLOOKUP(B653,товар!$A$1:$C$433,2,FALSE)</f>
        <v>Молоко</v>
      </c>
      <c r="J653" s="23">
        <f t="shared" si="51"/>
        <v>294.95238095238096</v>
      </c>
      <c r="K653" s="24">
        <f t="shared" si="52"/>
        <v>-0.19648046496609628</v>
      </c>
      <c r="L653" t="str">
        <f>VLOOKUP(B653,товар!$A$1:$C$433,3,FALSE)</f>
        <v>Беллакт</v>
      </c>
      <c r="M653">
        <f t="shared" si="53"/>
        <v>322.54545454545456</v>
      </c>
      <c r="N653" s="30">
        <f>VLOOKUP(H653,клиенты!$A$1:$G$435,5,FALSE)</f>
        <v>44570</v>
      </c>
      <c r="O653">
        <f t="shared" si="54"/>
        <v>509</v>
      </c>
    </row>
    <row r="654" spans="1:15" x14ac:dyDescent="0.3">
      <c r="A654">
        <v>653</v>
      </c>
      <c r="B654">
        <v>131</v>
      </c>
      <c r="C654">
        <v>116</v>
      </c>
      <c r="D654">
        <v>5</v>
      </c>
      <c r="E654">
        <f t="shared" si="50"/>
        <v>580</v>
      </c>
      <c r="F654" s="30">
        <v>45184</v>
      </c>
      <c r="G654" t="s">
        <v>16</v>
      </c>
      <c r="H654">
        <v>246</v>
      </c>
      <c r="I654" t="str">
        <f>VLOOKUP(B654,товар!$A$1:$C$433,2,FALSE)</f>
        <v>Сок</v>
      </c>
      <c r="J654" s="23">
        <f t="shared" si="51"/>
        <v>268.60344827586209</v>
      </c>
      <c r="K654" s="24">
        <f t="shared" si="52"/>
        <v>-0.568136594133128</v>
      </c>
      <c r="L654" t="str">
        <f>VLOOKUP(B654,товар!$A$1:$C$433,3,FALSE)</f>
        <v>Сады Придонья</v>
      </c>
      <c r="M654">
        <f t="shared" si="53"/>
        <v>254.18181818181819</v>
      </c>
      <c r="N654" s="30">
        <f>VLOOKUP(H654,клиенты!$A$1:$G$435,5,FALSE)</f>
        <v>44805</v>
      </c>
      <c r="O654">
        <f t="shared" si="54"/>
        <v>379</v>
      </c>
    </row>
    <row r="655" spans="1:15" x14ac:dyDescent="0.3">
      <c r="A655">
        <v>654</v>
      </c>
      <c r="B655">
        <v>230</v>
      </c>
      <c r="C655">
        <v>453</v>
      </c>
      <c r="D655">
        <v>3</v>
      </c>
      <c r="E655">
        <f t="shared" si="50"/>
        <v>1359</v>
      </c>
      <c r="F655" s="30">
        <v>45324</v>
      </c>
      <c r="G655" t="s">
        <v>34</v>
      </c>
      <c r="H655">
        <v>175</v>
      </c>
      <c r="I655" t="str">
        <f>VLOOKUP(B655,товар!$A$1:$C$433,2,FALSE)</f>
        <v>Сок</v>
      </c>
      <c r="J655" s="23">
        <f t="shared" si="51"/>
        <v>268.60344827586209</v>
      </c>
      <c r="K655" s="24">
        <f t="shared" si="52"/>
        <v>0.68650105911804338</v>
      </c>
      <c r="L655" t="str">
        <f>VLOOKUP(B655,товар!$A$1:$C$433,3,FALSE)</f>
        <v>Фруктовый сад</v>
      </c>
      <c r="M655">
        <f t="shared" si="53"/>
        <v>281.96875</v>
      </c>
      <c r="N655" s="30">
        <f>VLOOKUP(H655,клиенты!$A$1:$G$435,5,FALSE)</f>
        <v>44565</v>
      </c>
      <c r="O655">
        <f t="shared" si="54"/>
        <v>759</v>
      </c>
    </row>
    <row r="656" spans="1:15" x14ac:dyDescent="0.3">
      <c r="A656">
        <v>655</v>
      </c>
      <c r="B656">
        <v>39</v>
      </c>
      <c r="C656">
        <v>375</v>
      </c>
      <c r="D656">
        <v>2</v>
      </c>
      <c r="E656">
        <f t="shared" si="50"/>
        <v>750</v>
      </c>
      <c r="F656" s="30">
        <v>45289</v>
      </c>
      <c r="G656" t="s">
        <v>29</v>
      </c>
      <c r="H656">
        <v>366</v>
      </c>
      <c r="I656" t="str">
        <f>VLOOKUP(B656,товар!$A$1:$C$433,2,FALSE)</f>
        <v>Сыр</v>
      </c>
      <c r="J656" s="23">
        <f t="shared" si="51"/>
        <v>262.63492063492066</v>
      </c>
      <c r="K656" s="24">
        <f t="shared" si="52"/>
        <v>0.4278375438172366</v>
      </c>
      <c r="L656" t="str">
        <f>VLOOKUP(B656,товар!$A$1:$C$433,3,FALSE)</f>
        <v>Сырная долина</v>
      </c>
      <c r="M656">
        <f t="shared" si="53"/>
        <v>271</v>
      </c>
      <c r="N656" s="30">
        <f>VLOOKUP(H656,клиенты!$A$1:$G$435,5,FALSE)</f>
        <v>44827</v>
      </c>
      <c r="O656">
        <f t="shared" si="54"/>
        <v>462</v>
      </c>
    </row>
    <row r="657" spans="1:15" x14ac:dyDescent="0.3">
      <c r="A657">
        <v>656</v>
      </c>
      <c r="B657">
        <v>481</v>
      </c>
      <c r="C657">
        <v>374</v>
      </c>
      <c r="D657">
        <v>5</v>
      </c>
      <c r="E657">
        <f t="shared" si="50"/>
        <v>1870</v>
      </c>
      <c r="F657" s="30">
        <v>45099</v>
      </c>
      <c r="G657" t="s">
        <v>29</v>
      </c>
      <c r="H657">
        <v>254</v>
      </c>
      <c r="I657" t="str">
        <f>VLOOKUP(B657,товар!$A$1:$C$433,2,FALSE)</f>
        <v>Чипсы</v>
      </c>
      <c r="J657" s="23">
        <f t="shared" si="51"/>
        <v>273.72549019607845</v>
      </c>
      <c r="K657" s="24">
        <f t="shared" si="52"/>
        <v>0.36633237822349551</v>
      </c>
      <c r="L657" t="str">
        <f>VLOOKUP(B657,товар!$A$1:$C$433,3,FALSE)</f>
        <v>Pringles</v>
      </c>
      <c r="M657">
        <f t="shared" si="53"/>
        <v>280.23809523809524</v>
      </c>
      <c r="N657" s="30">
        <f>VLOOKUP(H657,клиенты!$A$1:$G$435,5,FALSE)</f>
        <v>44862</v>
      </c>
      <c r="O657">
        <f t="shared" si="54"/>
        <v>237</v>
      </c>
    </row>
    <row r="658" spans="1:15" x14ac:dyDescent="0.3">
      <c r="A658">
        <v>657</v>
      </c>
      <c r="B658">
        <v>438</v>
      </c>
      <c r="C658">
        <v>81</v>
      </c>
      <c r="D658">
        <v>4</v>
      </c>
      <c r="E658">
        <f t="shared" si="50"/>
        <v>324</v>
      </c>
      <c r="F658" s="30">
        <v>45272</v>
      </c>
      <c r="G658" t="s">
        <v>31</v>
      </c>
      <c r="H658">
        <v>79</v>
      </c>
      <c r="I658" t="str">
        <f>VLOOKUP(B658,товар!$A$1:$C$433,2,FALSE)</f>
        <v>Кофе</v>
      </c>
      <c r="J658" s="23">
        <f t="shared" si="51"/>
        <v>249.02380952380952</v>
      </c>
      <c r="K658" s="24">
        <f t="shared" si="52"/>
        <v>-0.67472989769576441</v>
      </c>
      <c r="L658" t="str">
        <f>VLOOKUP(B658,товар!$A$1:$C$433,3,FALSE)</f>
        <v>Nescafe</v>
      </c>
      <c r="M658">
        <f t="shared" si="53"/>
        <v>256.89999999999998</v>
      </c>
      <c r="N658" s="30">
        <f>VLOOKUP(H658,клиенты!$A$1:$G$435,5,FALSE)</f>
        <v>44716</v>
      </c>
      <c r="O658">
        <f t="shared" si="54"/>
        <v>556</v>
      </c>
    </row>
    <row r="659" spans="1:15" x14ac:dyDescent="0.3">
      <c r="A659">
        <v>658</v>
      </c>
      <c r="B659">
        <v>316</v>
      </c>
      <c r="C659">
        <v>428</v>
      </c>
      <c r="D659">
        <v>3</v>
      </c>
      <c r="E659">
        <f t="shared" si="50"/>
        <v>1284</v>
      </c>
      <c r="F659" s="30">
        <v>45387</v>
      </c>
      <c r="G659" t="s">
        <v>19</v>
      </c>
      <c r="H659">
        <v>70</v>
      </c>
      <c r="I659" t="str">
        <f>VLOOKUP(B659,товар!$A$1:$C$433,2,FALSE)</f>
        <v>Макароны</v>
      </c>
      <c r="J659" s="23">
        <f t="shared" si="51"/>
        <v>265.47674418604652</v>
      </c>
      <c r="K659" s="24">
        <f t="shared" si="52"/>
        <v>0.61219394682668304</v>
      </c>
      <c r="L659" t="str">
        <f>VLOOKUP(B659,товар!$A$1:$C$433,3,FALSE)</f>
        <v>Борилла</v>
      </c>
      <c r="M659">
        <f t="shared" si="53"/>
        <v>236.27586206896552</v>
      </c>
      <c r="N659" s="30">
        <f>VLOOKUP(H659,клиенты!$A$1:$G$435,5,FALSE)</f>
        <v>44591</v>
      </c>
      <c r="O659">
        <f t="shared" si="54"/>
        <v>796</v>
      </c>
    </row>
    <row r="660" spans="1:15" x14ac:dyDescent="0.3">
      <c r="A660">
        <v>659</v>
      </c>
      <c r="B660">
        <v>174</v>
      </c>
      <c r="C660">
        <v>456</v>
      </c>
      <c r="D660">
        <v>3</v>
      </c>
      <c r="E660">
        <f t="shared" si="50"/>
        <v>1368</v>
      </c>
      <c r="F660" s="30">
        <v>45282</v>
      </c>
      <c r="G660" t="s">
        <v>30</v>
      </c>
      <c r="H660">
        <v>76</v>
      </c>
      <c r="I660" t="str">
        <f>VLOOKUP(B660,товар!$A$1:$C$433,2,FALSE)</f>
        <v>Чай</v>
      </c>
      <c r="J660" s="23">
        <f t="shared" si="51"/>
        <v>271.18181818181819</v>
      </c>
      <c r="K660" s="24">
        <f t="shared" si="52"/>
        <v>0.68152866242038224</v>
      </c>
      <c r="L660" t="str">
        <f>VLOOKUP(B660,товар!$A$1:$C$433,3,FALSE)</f>
        <v>Ахмад</v>
      </c>
      <c r="M660">
        <f t="shared" si="53"/>
        <v>243.3</v>
      </c>
      <c r="N660" s="30">
        <f>VLOOKUP(H660,клиенты!$A$1:$G$435,5,FALSE)</f>
        <v>44575</v>
      </c>
      <c r="O660">
        <f t="shared" si="54"/>
        <v>707</v>
      </c>
    </row>
    <row r="661" spans="1:15" x14ac:dyDescent="0.3">
      <c r="A661">
        <v>660</v>
      </c>
      <c r="B661">
        <v>228</v>
      </c>
      <c r="C661">
        <v>247</v>
      </c>
      <c r="D661">
        <v>4</v>
      </c>
      <c r="E661">
        <f t="shared" si="50"/>
        <v>988</v>
      </c>
      <c r="F661" s="30">
        <v>45415</v>
      </c>
      <c r="G661" t="s">
        <v>26</v>
      </c>
      <c r="H661">
        <v>147</v>
      </c>
      <c r="I661" t="str">
        <f>VLOOKUP(B661,товар!$A$1:$C$433,2,FALSE)</f>
        <v>Рис</v>
      </c>
      <c r="J661" s="23">
        <f t="shared" si="51"/>
        <v>258.375</v>
      </c>
      <c r="K661" s="24">
        <f t="shared" si="52"/>
        <v>-4.4025157232704393E-2</v>
      </c>
      <c r="L661" t="str">
        <f>VLOOKUP(B661,товар!$A$1:$C$433,3,FALSE)</f>
        <v>Мистраль</v>
      </c>
      <c r="M661">
        <f t="shared" si="53"/>
        <v>181.57142857142858</v>
      </c>
      <c r="N661" s="30">
        <f>VLOOKUP(H661,клиенты!$A$1:$G$435,5,FALSE)</f>
        <v>44827</v>
      </c>
      <c r="O661">
        <f t="shared" si="54"/>
        <v>588</v>
      </c>
    </row>
    <row r="662" spans="1:15" x14ac:dyDescent="0.3">
      <c r="A662">
        <v>661</v>
      </c>
      <c r="B662">
        <v>269</v>
      </c>
      <c r="C662">
        <v>455</v>
      </c>
      <c r="D662">
        <v>5</v>
      </c>
      <c r="E662">
        <f t="shared" si="50"/>
        <v>2275</v>
      </c>
      <c r="F662" s="30">
        <v>45104</v>
      </c>
      <c r="G662" t="s">
        <v>18</v>
      </c>
      <c r="H662">
        <v>345</v>
      </c>
      <c r="I662" t="str">
        <f>VLOOKUP(B662,товар!$A$1:$C$433,2,FALSE)</f>
        <v>Сахар</v>
      </c>
      <c r="J662" s="23">
        <f t="shared" si="51"/>
        <v>252.76271186440678</v>
      </c>
      <c r="K662" s="24">
        <f t="shared" si="52"/>
        <v>0.80010728894253336</v>
      </c>
      <c r="L662" t="str">
        <f>VLOOKUP(B662,товар!$A$1:$C$433,3,FALSE)</f>
        <v>Русский сахар</v>
      </c>
      <c r="M662">
        <f t="shared" si="53"/>
        <v>293.41176470588238</v>
      </c>
      <c r="N662" s="30">
        <f>VLOOKUP(H662,клиенты!$A$1:$G$435,5,FALSE)</f>
        <v>44705</v>
      </c>
      <c r="O662">
        <f t="shared" si="54"/>
        <v>399</v>
      </c>
    </row>
    <row r="663" spans="1:15" x14ac:dyDescent="0.3">
      <c r="A663">
        <v>662</v>
      </c>
      <c r="B663">
        <v>461</v>
      </c>
      <c r="C663">
        <v>388</v>
      </c>
      <c r="D663">
        <v>4</v>
      </c>
      <c r="E663">
        <f t="shared" si="50"/>
        <v>1552</v>
      </c>
      <c r="F663" s="30">
        <v>45293</v>
      </c>
      <c r="G663" t="s">
        <v>28</v>
      </c>
      <c r="H663">
        <v>303</v>
      </c>
      <c r="I663" t="str">
        <f>VLOOKUP(B663,товар!$A$1:$C$433,2,FALSE)</f>
        <v>Фрукты</v>
      </c>
      <c r="J663" s="23">
        <f t="shared" si="51"/>
        <v>274.16279069767444</v>
      </c>
      <c r="K663" s="24">
        <f t="shared" si="52"/>
        <v>0.41521757570616669</v>
      </c>
      <c r="L663" t="str">
        <f>VLOOKUP(B663,товар!$A$1:$C$433,3,FALSE)</f>
        <v>Green Garden</v>
      </c>
      <c r="M663">
        <f t="shared" si="53"/>
        <v>369.2</v>
      </c>
      <c r="N663" s="30">
        <f>VLOOKUP(H663,клиенты!$A$1:$G$435,5,FALSE)</f>
        <v>44689</v>
      </c>
      <c r="O663">
        <f t="shared" si="54"/>
        <v>604</v>
      </c>
    </row>
    <row r="664" spans="1:15" x14ac:dyDescent="0.3">
      <c r="A664">
        <v>663</v>
      </c>
      <c r="B664">
        <v>151</v>
      </c>
      <c r="C664">
        <v>496</v>
      </c>
      <c r="D664">
        <v>3</v>
      </c>
      <c r="E664">
        <f t="shared" si="50"/>
        <v>1488</v>
      </c>
      <c r="F664" s="30">
        <v>45181</v>
      </c>
      <c r="G664" t="s">
        <v>29</v>
      </c>
      <c r="H664">
        <v>436</v>
      </c>
      <c r="I664" t="str">
        <f>VLOOKUP(B664,товар!$A$1:$C$433,2,FALSE)</f>
        <v>Молоко</v>
      </c>
      <c r="J664" s="23">
        <f t="shared" si="51"/>
        <v>294.95238095238096</v>
      </c>
      <c r="K664" s="24">
        <f t="shared" si="52"/>
        <v>0.68162738133677747</v>
      </c>
      <c r="L664" t="str">
        <f>VLOOKUP(B664,товар!$A$1:$C$433,3,FALSE)</f>
        <v>Беллакт</v>
      </c>
      <c r="M664">
        <f t="shared" si="53"/>
        <v>322.54545454545456</v>
      </c>
      <c r="N664" s="30">
        <f>VLOOKUP(H664,клиенты!$A$1:$G$435,5,FALSE)</f>
        <v>44683</v>
      </c>
      <c r="O664">
        <f t="shared" si="54"/>
        <v>498</v>
      </c>
    </row>
    <row r="665" spans="1:15" x14ac:dyDescent="0.3">
      <c r="A665">
        <v>664</v>
      </c>
      <c r="B665">
        <v>386</v>
      </c>
      <c r="C665">
        <v>295</v>
      </c>
      <c r="D665">
        <v>3</v>
      </c>
      <c r="E665">
        <f t="shared" si="50"/>
        <v>885</v>
      </c>
      <c r="F665" s="30">
        <v>45194</v>
      </c>
      <c r="G665" t="s">
        <v>26</v>
      </c>
      <c r="H665">
        <v>25</v>
      </c>
      <c r="I665" t="str">
        <f>VLOOKUP(B665,товар!$A$1:$C$433,2,FALSE)</f>
        <v>Крупа</v>
      </c>
      <c r="J665" s="23">
        <f t="shared" si="51"/>
        <v>255.11627906976744</v>
      </c>
      <c r="K665" s="24">
        <f t="shared" si="52"/>
        <v>0.15633546034639934</v>
      </c>
      <c r="L665" t="str">
        <f>VLOOKUP(B665,товар!$A$1:$C$433,3,FALSE)</f>
        <v>Увелка</v>
      </c>
      <c r="M665">
        <f t="shared" si="53"/>
        <v>251.91666666666666</v>
      </c>
      <c r="N665" s="30">
        <f>VLOOKUP(H665,клиенты!$A$1:$G$435,5,FALSE)</f>
        <v>44582</v>
      </c>
      <c r="O665">
        <f t="shared" si="54"/>
        <v>612</v>
      </c>
    </row>
    <row r="666" spans="1:15" x14ac:dyDescent="0.3">
      <c r="A666">
        <v>665</v>
      </c>
      <c r="B666">
        <v>452</v>
      </c>
      <c r="C666">
        <v>226</v>
      </c>
      <c r="D666">
        <v>4</v>
      </c>
      <c r="E666">
        <f t="shared" si="50"/>
        <v>904</v>
      </c>
      <c r="F666" s="30">
        <v>45153</v>
      </c>
      <c r="G666" t="s">
        <v>34</v>
      </c>
      <c r="H666">
        <v>33</v>
      </c>
      <c r="I666" t="str">
        <f>VLOOKUP(B666,товар!$A$1:$C$433,2,FALSE)</f>
        <v>Фрукты</v>
      </c>
      <c r="J666" s="23">
        <f t="shared" si="51"/>
        <v>274.16279069767444</v>
      </c>
      <c r="K666" s="24">
        <f t="shared" si="52"/>
        <v>-0.17567223683094413</v>
      </c>
      <c r="L666" t="str">
        <f>VLOOKUP(B666,товар!$A$1:$C$433,3,FALSE)</f>
        <v>Экзотик</v>
      </c>
      <c r="M666">
        <f t="shared" si="53"/>
        <v>253.6875</v>
      </c>
      <c r="N666" s="30">
        <f>VLOOKUP(H666,клиенты!$A$1:$G$435,5,FALSE)</f>
        <v>44730</v>
      </c>
      <c r="O666">
        <f t="shared" si="54"/>
        <v>423</v>
      </c>
    </row>
    <row r="667" spans="1:15" x14ac:dyDescent="0.3">
      <c r="A667">
        <v>666</v>
      </c>
      <c r="B667">
        <v>37</v>
      </c>
      <c r="C667">
        <v>411</v>
      </c>
      <c r="D667">
        <v>5</v>
      </c>
      <c r="E667">
        <f t="shared" si="50"/>
        <v>2055</v>
      </c>
      <c r="F667" s="30">
        <v>45140</v>
      </c>
      <c r="G667" t="s">
        <v>28</v>
      </c>
      <c r="H667">
        <v>7</v>
      </c>
      <c r="I667" t="str">
        <f>VLOOKUP(B667,товар!$A$1:$C$433,2,FALSE)</f>
        <v>Соль</v>
      </c>
      <c r="J667" s="23">
        <f t="shared" si="51"/>
        <v>264.8679245283019</v>
      </c>
      <c r="K667" s="24">
        <f t="shared" si="52"/>
        <v>0.55171676877048004</v>
      </c>
      <c r="L667" t="str">
        <f>VLOOKUP(B667,товар!$A$1:$C$433,3,FALSE)</f>
        <v>Илецкая</v>
      </c>
      <c r="M667">
        <f t="shared" si="53"/>
        <v>238.16666666666666</v>
      </c>
      <c r="N667" s="30">
        <f>VLOOKUP(H667,клиенты!$A$1:$G$435,5,FALSE)</f>
        <v>44893</v>
      </c>
      <c r="O667">
        <f t="shared" si="54"/>
        <v>247</v>
      </c>
    </row>
    <row r="668" spans="1:15" x14ac:dyDescent="0.3">
      <c r="A668">
        <v>667</v>
      </c>
      <c r="B668">
        <v>27</v>
      </c>
      <c r="C668">
        <v>301</v>
      </c>
      <c r="D668">
        <v>1</v>
      </c>
      <c r="E668">
        <f t="shared" si="50"/>
        <v>301</v>
      </c>
      <c r="F668" s="30">
        <v>44931</v>
      </c>
      <c r="G668" t="s">
        <v>29</v>
      </c>
      <c r="H668">
        <v>494</v>
      </c>
      <c r="I668" t="str">
        <f>VLOOKUP(B668,товар!$A$1:$C$433,2,FALSE)</f>
        <v>Макароны</v>
      </c>
      <c r="J668" s="23">
        <f t="shared" si="51"/>
        <v>265.47674418604652</v>
      </c>
      <c r="K668" s="24">
        <f t="shared" si="52"/>
        <v>0.13380929438044764</v>
      </c>
      <c r="L668" t="str">
        <f>VLOOKUP(B668,товар!$A$1:$C$433,3,FALSE)</f>
        <v>Паста Зара</v>
      </c>
      <c r="M668">
        <f t="shared" si="53"/>
        <v>276.67567567567568</v>
      </c>
      <c r="N668" s="30">
        <f>VLOOKUP(H668,клиенты!$A$1:$G$435,5,FALSE)</f>
        <v>44738</v>
      </c>
      <c r="O668">
        <f t="shared" si="54"/>
        <v>193</v>
      </c>
    </row>
    <row r="669" spans="1:15" x14ac:dyDescent="0.3">
      <c r="A669">
        <v>668</v>
      </c>
      <c r="B669">
        <v>435</v>
      </c>
      <c r="C669">
        <v>452</v>
      </c>
      <c r="D669">
        <v>4</v>
      </c>
      <c r="E669">
        <f t="shared" si="50"/>
        <v>1808</v>
      </c>
      <c r="F669" s="30">
        <v>44927</v>
      </c>
      <c r="G669" t="s">
        <v>20</v>
      </c>
      <c r="H669">
        <v>420</v>
      </c>
      <c r="I669" t="str">
        <f>VLOOKUP(B669,товар!$A$1:$C$433,2,FALSE)</f>
        <v>Мясо</v>
      </c>
      <c r="J669" s="23">
        <f t="shared" si="51"/>
        <v>271.74545454545455</v>
      </c>
      <c r="K669" s="24">
        <f t="shared" si="52"/>
        <v>0.66332128997725137</v>
      </c>
      <c r="L669" t="str">
        <f>VLOOKUP(B669,товар!$A$1:$C$433,3,FALSE)</f>
        <v>Снежана</v>
      </c>
      <c r="M669">
        <f t="shared" si="53"/>
        <v>272.35294117647061</v>
      </c>
      <c r="N669" s="30">
        <f>VLOOKUP(H669,клиенты!$A$1:$G$435,5,FALSE)</f>
        <v>44698</v>
      </c>
      <c r="O669">
        <f t="shared" si="54"/>
        <v>229</v>
      </c>
    </row>
    <row r="670" spans="1:15" x14ac:dyDescent="0.3">
      <c r="A670">
        <v>669</v>
      </c>
      <c r="B670">
        <v>101</v>
      </c>
      <c r="C670">
        <v>293</v>
      </c>
      <c r="D670">
        <v>1</v>
      </c>
      <c r="E670">
        <f t="shared" si="50"/>
        <v>293</v>
      </c>
      <c r="F670" s="30">
        <v>45165</v>
      </c>
      <c r="G670" t="s">
        <v>29</v>
      </c>
      <c r="H670">
        <v>75</v>
      </c>
      <c r="I670" t="str">
        <f>VLOOKUP(B670,товар!$A$1:$C$433,2,FALSE)</f>
        <v>Чай</v>
      </c>
      <c r="J670" s="23">
        <f t="shared" si="51"/>
        <v>271.18181818181819</v>
      </c>
      <c r="K670" s="24">
        <f t="shared" si="52"/>
        <v>8.0455916862219201E-2</v>
      </c>
      <c r="L670" t="str">
        <f>VLOOKUP(B670,товар!$A$1:$C$433,3,FALSE)</f>
        <v>Ахмад</v>
      </c>
      <c r="M670">
        <f t="shared" si="53"/>
        <v>243.3</v>
      </c>
      <c r="N670" s="30">
        <f>VLOOKUP(H670,клиенты!$A$1:$G$435,5,FALSE)</f>
        <v>44796</v>
      </c>
      <c r="O670">
        <f t="shared" si="54"/>
        <v>369</v>
      </c>
    </row>
    <row r="671" spans="1:15" x14ac:dyDescent="0.3">
      <c r="A671">
        <v>670</v>
      </c>
      <c r="B671">
        <v>423</v>
      </c>
      <c r="C671">
        <v>382</v>
      </c>
      <c r="D671">
        <v>2</v>
      </c>
      <c r="E671">
        <f t="shared" si="50"/>
        <v>764</v>
      </c>
      <c r="F671" s="30">
        <v>45283</v>
      </c>
      <c r="G671" t="s">
        <v>23</v>
      </c>
      <c r="H671">
        <v>83</v>
      </c>
      <c r="I671" t="str">
        <f>VLOOKUP(B671,товар!$A$1:$C$433,2,FALSE)</f>
        <v>Чипсы</v>
      </c>
      <c r="J671" s="23">
        <f t="shared" si="51"/>
        <v>273.72549019607845</v>
      </c>
      <c r="K671" s="24">
        <f t="shared" si="52"/>
        <v>0.39555873925501417</v>
      </c>
      <c r="L671" t="str">
        <f>VLOOKUP(B671,товар!$A$1:$C$433,3,FALSE)</f>
        <v>Pringles</v>
      </c>
      <c r="M671">
        <f t="shared" si="53"/>
        <v>280.23809523809524</v>
      </c>
      <c r="N671" s="30">
        <f>VLOOKUP(H671,клиенты!$A$1:$G$435,5,FALSE)</f>
        <v>44739</v>
      </c>
      <c r="O671">
        <f t="shared" si="54"/>
        <v>544</v>
      </c>
    </row>
    <row r="672" spans="1:15" x14ac:dyDescent="0.3">
      <c r="A672">
        <v>671</v>
      </c>
      <c r="B672">
        <v>411</v>
      </c>
      <c r="C672">
        <v>158</v>
      </c>
      <c r="D672">
        <v>3</v>
      </c>
      <c r="E672">
        <f t="shared" si="50"/>
        <v>474</v>
      </c>
      <c r="F672" s="30">
        <v>45070</v>
      </c>
      <c r="G672" t="s">
        <v>23</v>
      </c>
      <c r="H672">
        <v>109</v>
      </c>
      <c r="I672" t="str">
        <f>VLOOKUP(B672,товар!$A$1:$C$433,2,FALSE)</f>
        <v>Хлеб</v>
      </c>
      <c r="J672" s="23">
        <f t="shared" si="51"/>
        <v>300.31818181818181</v>
      </c>
      <c r="K672" s="24">
        <f t="shared" si="52"/>
        <v>-0.47389132738005146</v>
      </c>
      <c r="L672" t="str">
        <f>VLOOKUP(B672,товар!$A$1:$C$433,3,FALSE)</f>
        <v>Хлебный Дом</v>
      </c>
      <c r="M672">
        <f t="shared" si="53"/>
        <v>281.73333333333335</v>
      </c>
      <c r="N672" s="30">
        <f>VLOOKUP(H672,клиенты!$A$1:$G$435,5,FALSE)</f>
        <v>44732</v>
      </c>
      <c r="O672">
        <f t="shared" si="54"/>
        <v>338</v>
      </c>
    </row>
    <row r="673" spans="1:15" x14ac:dyDescent="0.3">
      <c r="A673">
        <v>672</v>
      </c>
      <c r="B673">
        <v>381</v>
      </c>
      <c r="C673">
        <v>296</v>
      </c>
      <c r="D673">
        <v>4</v>
      </c>
      <c r="E673">
        <f t="shared" si="50"/>
        <v>1184</v>
      </c>
      <c r="F673" s="30">
        <v>45106</v>
      </c>
      <c r="G673" t="s">
        <v>27</v>
      </c>
      <c r="H673">
        <v>465</v>
      </c>
      <c r="I673" t="str">
        <f>VLOOKUP(B673,товар!$A$1:$C$433,2,FALSE)</f>
        <v>Рыба</v>
      </c>
      <c r="J673" s="23">
        <f t="shared" si="51"/>
        <v>258.5128205128205</v>
      </c>
      <c r="K673" s="24">
        <f t="shared" si="52"/>
        <v>0.14501091053362436</v>
      </c>
      <c r="L673" t="str">
        <f>VLOOKUP(B673,товар!$A$1:$C$433,3,FALSE)</f>
        <v>Русское море</v>
      </c>
      <c r="M673">
        <f t="shared" si="53"/>
        <v>292.66666666666669</v>
      </c>
      <c r="N673" s="30">
        <f>VLOOKUP(H673,клиенты!$A$1:$G$435,5,FALSE)</f>
        <v>44671</v>
      </c>
      <c r="O673">
        <f t="shared" si="54"/>
        <v>435</v>
      </c>
    </row>
    <row r="674" spans="1:15" x14ac:dyDescent="0.3">
      <c r="A674">
        <v>673</v>
      </c>
      <c r="B674">
        <v>400</v>
      </c>
      <c r="C674">
        <v>345</v>
      </c>
      <c r="D674">
        <v>2</v>
      </c>
      <c r="E674">
        <f t="shared" si="50"/>
        <v>690</v>
      </c>
      <c r="F674" s="30">
        <v>45143</v>
      </c>
      <c r="G674" t="s">
        <v>29</v>
      </c>
      <c r="H674">
        <v>18</v>
      </c>
      <c r="I674" t="str">
        <f>VLOOKUP(B674,товар!$A$1:$C$433,2,FALSE)</f>
        <v>Молоко</v>
      </c>
      <c r="J674" s="23">
        <f t="shared" si="51"/>
        <v>294.95238095238096</v>
      </c>
      <c r="K674" s="24">
        <f t="shared" si="52"/>
        <v>0.16968033580884723</v>
      </c>
      <c r="L674" t="str">
        <f>VLOOKUP(B674,товар!$A$1:$C$433,3,FALSE)</f>
        <v>Беллакт</v>
      </c>
      <c r="M674">
        <f t="shared" si="53"/>
        <v>322.54545454545456</v>
      </c>
      <c r="N674" s="30">
        <f>VLOOKUP(H674,клиенты!$A$1:$G$435,5,FALSE)</f>
        <v>44578</v>
      </c>
      <c r="O674">
        <f t="shared" si="54"/>
        <v>565</v>
      </c>
    </row>
    <row r="675" spans="1:15" x14ac:dyDescent="0.3">
      <c r="A675">
        <v>674</v>
      </c>
      <c r="B675">
        <v>389</v>
      </c>
      <c r="C675">
        <v>155</v>
      </c>
      <c r="D675">
        <v>4</v>
      </c>
      <c r="E675">
        <f t="shared" si="50"/>
        <v>620</v>
      </c>
      <c r="F675" s="30">
        <v>45412</v>
      </c>
      <c r="G675" t="s">
        <v>34</v>
      </c>
      <c r="H675">
        <v>376</v>
      </c>
      <c r="I675" t="str">
        <f>VLOOKUP(B675,товар!$A$1:$C$433,2,FALSE)</f>
        <v>Чай</v>
      </c>
      <c r="J675" s="23">
        <f t="shared" si="51"/>
        <v>271.18181818181819</v>
      </c>
      <c r="K675" s="24">
        <f t="shared" si="52"/>
        <v>-0.42842775729131743</v>
      </c>
      <c r="L675" t="str">
        <f>VLOOKUP(B675,товар!$A$1:$C$433,3,FALSE)</f>
        <v>Ахмад</v>
      </c>
      <c r="M675">
        <f t="shared" si="53"/>
        <v>243.3</v>
      </c>
      <c r="N675" s="30">
        <f>VLOOKUP(H675,клиенты!$A$1:$G$435,5,FALSE)</f>
        <v>44730</v>
      </c>
      <c r="O675">
        <f t="shared" si="54"/>
        <v>682</v>
      </c>
    </row>
    <row r="676" spans="1:15" x14ac:dyDescent="0.3">
      <c r="A676">
        <v>675</v>
      </c>
      <c r="B676">
        <v>227</v>
      </c>
      <c r="C676">
        <v>300</v>
      </c>
      <c r="D676">
        <v>4</v>
      </c>
      <c r="E676">
        <f t="shared" si="50"/>
        <v>1200</v>
      </c>
      <c r="F676" s="30">
        <v>44991</v>
      </c>
      <c r="G676" t="s">
        <v>23</v>
      </c>
      <c r="H676">
        <v>88</v>
      </c>
      <c r="I676" t="str">
        <f>VLOOKUP(B676,товар!$A$1:$C$433,2,FALSE)</f>
        <v>Макароны</v>
      </c>
      <c r="J676" s="23">
        <f t="shared" si="51"/>
        <v>265.47674418604652</v>
      </c>
      <c r="K676" s="24">
        <f t="shared" si="52"/>
        <v>0.13004248609346947</v>
      </c>
      <c r="L676" t="str">
        <f>VLOOKUP(B676,товар!$A$1:$C$433,3,FALSE)</f>
        <v>Макфа</v>
      </c>
      <c r="M676">
        <f t="shared" si="53"/>
        <v>329.27272727272725</v>
      </c>
      <c r="N676" s="30">
        <f>VLOOKUP(H676,клиенты!$A$1:$G$435,5,FALSE)</f>
        <v>44630</v>
      </c>
      <c r="O676">
        <f t="shared" si="54"/>
        <v>361</v>
      </c>
    </row>
    <row r="677" spans="1:15" x14ac:dyDescent="0.3">
      <c r="A677">
        <v>676</v>
      </c>
      <c r="B677">
        <v>243</v>
      </c>
      <c r="C677">
        <v>371</v>
      </c>
      <c r="D677">
        <v>3</v>
      </c>
      <c r="E677">
        <f t="shared" si="50"/>
        <v>1113</v>
      </c>
      <c r="F677" s="30">
        <v>45081</v>
      </c>
      <c r="G677" t="s">
        <v>16</v>
      </c>
      <c r="H677">
        <v>352</v>
      </c>
      <c r="I677" t="str">
        <f>VLOOKUP(B677,товар!$A$1:$C$433,2,FALSE)</f>
        <v>Рис</v>
      </c>
      <c r="J677" s="23">
        <f t="shared" si="51"/>
        <v>258.375</v>
      </c>
      <c r="K677" s="24">
        <f t="shared" si="52"/>
        <v>0.4358974358974359</v>
      </c>
      <c r="L677" t="str">
        <f>VLOOKUP(B677,товар!$A$1:$C$433,3,FALSE)</f>
        <v>Белый Злат</v>
      </c>
      <c r="M677">
        <f t="shared" si="53"/>
        <v>269.70588235294116</v>
      </c>
      <c r="N677" s="30">
        <f>VLOOKUP(H677,клиенты!$A$1:$G$435,5,FALSE)</f>
        <v>44573</v>
      </c>
      <c r="O677">
        <f t="shared" si="54"/>
        <v>508</v>
      </c>
    </row>
    <row r="678" spans="1:15" x14ac:dyDescent="0.3">
      <c r="A678">
        <v>677</v>
      </c>
      <c r="B678">
        <v>187</v>
      </c>
      <c r="C678">
        <v>273</v>
      </c>
      <c r="D678">
        <v>3</v>
      </c>
      <c r="E678">
        <f t="shared" si="50"/>
        <v>819</v>
      </c>
      <c r="F678" s="30">
        <v>44980</v>
      </c>
      <c r="G678" t="s">
        <v>31</v>
      </c>
      <c r="H678">
        <v>452</v>
      </c>
      <c r="I678" t="str">
        <f>VLOOKUP(B678,товар!$A$1:$C$433,2,FALSE)</f>
        <v>Макароны</v>
      </c>
      <c r="J678" s="23">
        <f t="shared" si="51"/>
        <v>265.47674418604652</v>
      </c>
      <c r="K678" s="24">
        <f t="shared" si="52"/>
        <v>2.8338662345057219E-2</v>
      </c>
      <c r="L678" t="str">
        <f>VLOOKUP(B678,товар!$A$1:$C$433,3,FALSE)</f>
        <v>Паста Зара</v>
      </c>
      <c r="M678">
        <f t="shared" si="53"/>
        <v>276.67567567567568</v>
      </c>
      <c r="N678" s="30">
        <f>VLOOKUP(H678,клиенты!$A$1:$G$435,5,FALSE)</f>
        <v>44769</v>
      </c>
      <c r="O678">
        <f t="shared" si="54"/>
        <v>211</v>
      </c>
    </row>
    <row r="679" spans="1:15" x14ac:dyDescent="0.3">
      <c r="A679">
        <v>678</v>
      </c>
      <c r="B679">
        <v>441</v>
      </c>
      <c r="C679">
        <v>147</v>
      </c>
      <c r="D679">
        <v>3</v>
      </c>
      <c r="E679">
        <f t="shared" si="50"/>
        <v>441</v>
      </c>
      <c r="F679" s="30">
        <v>45117</v>
      </c>
      <c r="G679" t="s">
        <v>24</v>
      </c>
      <c r="H679">
        <v>449</v>
      </c>
      <c r="I679" t="str">
        <f>VLOOKUP(B679,товар!$A$1:$C$433,2,FALSE)</f>
        <v>Чай</v>
      </c>
      <c r="J679" s="23">
        <f t="shared" si="51"/>
        <v>271.18181818181819</v>
      </c>
      <c r="K679" s="24">
        <f t="shared" si="52"/>
        <v>-0.4579282601407979</v>
      </c>
      <c r="L679" t="str">
        <f>VLOOKUP(B679,товар!$A$1:$C$433,3,FALSE)</f>
        <v>Lipton</v>
      </c>
      <c r="M679">
        <f t="shared" si="53"/>
        <v>260.15789473684208</v>
      </c>
      <c r="N679" s="30">
        <f>VLOOKUP(H679,клиенты!$A$1:$G$435,5,FALSE)</f>
        <v>44645</v>
      </c>
      <c r="O679">
        <f t="shared" si="54"/>
        <v>472</v>
      </c>
    </row>
    <row r="680" spans="1:15" x14ac:dyDescent="0.3">
      <c r="A680">
        <v>679</v>
      </c>
      <c r="B680">
        <v>446</v>
      </c>
      <c r="C680">
        <v>440</v>
      </c>
      <c r="D680">
        <v>5</v>
      </c>
      <c r="E680">
        <f t="shared" si="50"/>
        <v>2200</v>
      </c>
      <c r="F680" s="30">
        <v>45394</v>
      </c>
      <c r="G680" t="s">
        <v>31</v>
      </c>
      <c r="H680">
        <v>197</v>
      </c>
      <c r="I680" t="str">
        <f>VLOOKUP(B680,товар!$A$1:$C$433,2,FALSE)</f>
        <v>Чипсы</v>
      </c>
      <c r="J680" s="23">
        <f t="shared" si="51"/>
        <v>273.72549019607845</v>
      </c>
      <c r="K680" s="24">
        <f t="shared" si="52"/>
        <v>0.60744985673352425</v>
      </c>
      <c r="L680" t="str">
        <f>VLOOKUP(B680,товар!$A$1:$C$433,3,FALSE)</f>
        <v>Lay's</v>
      </c>
      <c r="M680">
        <f t="shared" si="53"/>
        <v>320.57142857142856</v>
      </c>
      <c r="N680" s="30">
        <f>VLOOKUP(H680,клиенты!$A$1:$G$435,5,FALSE)</f>
        <v>44785</v>
      </c>
      <c r="O680">
        <f t="shared" si="54"/>
        <v>609</v>
      </c>
    </row>
    <row r="681" spans="1:15" x14ac:dyDescent="0.3">
      <c r="A681">
        <v>680</v>
      </c>
      <c r="B681">
        <v>55</v>
      </c>
      <c r="C681">
        <v>227</v>
      </c>
      <c r="D681">
        <v>4</v>
      </c>
      <c r="E681">
        <f t="shared" si="50"/>
        <v>908</v>
      </c>
      <c r="F681" s="30">
        <v>45338</v>
      </c>
      <c r="G681" t="s">
        <v>15</v>
      </c>
      <c r="H681">
        <v>70</v>
      </c>
      <c r="I681" t="str">
        <f>VLOOKUP(B681,товар!$A$1:$C$433,2,FALSE)</f>
        <v>Крупа</v>
      </c>
      <c r="J681" s="23">
        <f t="shared" si="51"/>
        <v>255.11627906976744</v>
      </c>
      <c r="K681" s="24">
        <f t="shared" si="52"/>
        <v>-0.11020966271649957</v>
      </c>
      <c r="L681" t="str">
        <f>VLOOKUP(B681,товар!$A$1:$C$433,3,FALSE)</f>
        <v>Националь</v>
      </c>
      <c r="M681">
        <f t="shared" si="53"/>
        <v>274.28571428571428</v>
      </c>
      <c r="N681" s="30">
        <f>VLOOKUP(H681,клиенты!$A$1:$G$435,5,FALSE)</f>
        <v>44591</v>
      </c>
      <c r="O681">
        <f t="shared" si="54"/>
        <v>747</v>
      </c>
    </row>
    <row r="682" spans="1:15" x14ac:dyDescent="0.3">
      <c r="A682">
        <v>681</v>
      </c>
      <c r="B682">
        <v>27</v>
      </c>
      <c r="C682">
        <v>415</v>
      </c>
      <c r="D682">
        <v>4</v>
      </c>
      <c r="E682">
        <f t="shared" si="50"/>
        <v>1660</v>
      </c>
      <c r="F682" s="30">
        <v>45229</v>
      </c>
      <c r="G682" t="s">
        <v>32</v>
      </c>
      <c r="H682">
        <v>345</v>
      </c>
      <c r="I682" t="str">
        <f>VLOOKUP(B682,товар!$A$1:$C$433,2,FALSE)</f>
        <v>Макароны</v>
      </c>
      <c r="J682" s="23">
        <f t="shared" si="51"/>
        <v>265.47674418604652</v>
      </c>
      <c r="K682" s="24">
        <f t="shared" si="52"/>
        <v>0.5632254390959659</v>
      </c>
      <c r="L682" t="str">
        <f>VLOOKUP(B682,товар!$A$1:$C$433,3,FALSE)</f>
        <v>Паста Зара</v>
      </c>
      <c r="M682">
        <f t="shared" si="53"/>
        <v>276.67567567567568</v>
      </c>
      <c r="N682" s="30">
        <f>VLOOKUP(H682,клиенты!$A$1:$G$435,5,FALSE)</f>
        <v>44705</v>
      </c>
      <c r="O682">
        <f t="shared" si="54"/>
        <v>524</v>
      </c>
    </row>
    <row r="683" spans="1:15" x14ac:dyDescent="0.3">
      <c r="A683">
        <v>682</v>
      </c>
      <c r="B683">
        <v>110</v>
      </c>
      <c r="C683">
        <v>84</v>
      </c>
      <c r="D683">
        <v>5</v>
      </c>
      <c r="E683">
        <f t="shared" si="50"/>
        <v>420</v>
      </c>
      <c r="F683" s="30">
        <v>45029</v>
      </c>
      <c r="G683" t="s">
        <v>20</v>
      </c>
      <c r="H683">
        <v>225</v>
      </c>
      <c r="I683" t="str">
        <f>VLOOKUP(B683,товар!$A$1:$C$433,2,FALSE)</f>
        <v>Макароны</v>
      </c>
      <c r="J683" s="23">
        <f t="shared" si="51"/>
        <v>265.47674418604652</v>
      </c>
      <c r="K683" s="24">
        <f t="shared" si="52"/>
        <v>-0.68358810389382851</v>
      </c>
      <c r="L683" t="str">
        <f>VLOOKUP(B683,товар!$A$1:$C$433,3,FALSE)</f>
        <v>Паста Зара</v>
      </c>
      <c r="M683">
        <f t="shared" si="53"/>
        <v>276.67567567567568</v>
      </c>
      <c r="N683" s="30">
        <f>VLOOKUP(H683,клиенты!$A$1:$G$435,5,FALSE)</f>
        <v>44827</v>
      </c>
      <c r="O683">
        <f t="shared" si="54"/>
        <v>202</v>
      </c>
    </row>
    <row r="684" spans="1:15" x14ac:dyDescent="0.3">
      <c r="A684">
        <v>683</v>
      </c>
      <c r="B684">
        <v>196</v>
      </c>
      <c r="C684">
        <v>196</v>
      </c>
      <c r="D684">
        <v>4</v>
      </c>
      <c r="E684">
        <f t="shared" si="50"/>
        <v>784</v>
      </c>
      <c r="F684" s="30">
        <v>44944</v>
      </c>
      <c r="G684" t="s">
        <v>28</v>
      </c>
      <c r="H684">
        <v>8</v>
      </c>
      <c r="I684" t="str">
        <f>VLOOKUP(B684,товар!$A$1:$C$433,2,FALSE)</f>
        <v>Конфеты</v>
      </c>
      <c r="J684" s="23">
        <f t="shared" si="51"/>
        <v>267.85483870967744</v>
      </c>
      <c r="K684" s="24">
        <f t="shared" si="52"/>
        <v>-0.26826037213223342</v>
      </c>
      <c r="L684" t="str">
        <f>VLOOKUP(B684,товар!$A$1:$C$433,3,FALSE)</f>
        <v>Рот Фронт</v>
      </c>
      <c r="M684">
        <f t="shared" si="53"/>
        <v>288.23809523809524</v>
      </c>
      <c r="N684" s="30">
        <f>VLOOKUP(H684,клиенты!$A$1:$G$435,5,FALSE)</f>
        <v>44883</v>
      </c>
      <c r="O684">
        <f t="shared" si="54"/>
        <v>61</v>
      </c>
    </row>
    <row r="685" spans="1:15" x14ac:dyDescent="0.3">
      <c r="A685">
        <v>684</v>
      </c>
      <c r="B685">
        <v>271</v>
      </c>
      <c r="C685">
        <v>123</v>
      </c>
      <c r="D685">
        <v>2</v>
      </c>
      <c r="E685">
        <f t="shared" si="50"/>
        <v>246</v>
      </c>
      <c r="F685" s="30">
        <v>45350</v>
      </c>
      <c r="G685" t="s">
        <v>18</v>
      </c>
      <c r="H685">
        <v>11</v>
      </c>
      <c r="I685" t="str">
        <f>VLOOKUP(B685,товар!$A$1:$C$433,2,FALSE)</f>
        <v>Сыр</v>
      </c>
      <c r="J685" s="23">
        <f t="shared" si="51"/>
        <v>262.63492063492066</v>
      </c>
      <c r="K685" s="24">
        <f t="shared" si="52"/>
        <v>-0.53166928562794635</v>
      </c>
      <c r="L685" t="str">
        <f>VLOOKUP(B685,товар!$A$1:$C$433,3,FALSE)</f>
        <v>Сырная долина</v>
      </c>
      <c r="M685">
        <f t="shared" si="53"/>
        <v>271</v>
      </c>
      <c r="N685" s="30">
        <f>VLOOKUP(H685,клиенты!$A$1:$G$435,5,FALSE)</f>
        <v>44690</v>
      </c>
      <c r="O685">
        <f t="shared" si="54"/>
        <v>660</v>
      </c>
    </row>
    <row r="686" spans="1:15" x14ac:dyDescent="0.3">
      <c r="A686">
        <v>685</v>
      </c>
      <c r="B686">
        <v>189</v>
      </c>
      <c r="C686">
        <v>356</v>
      </c>
      <c r="D686">
        <v>1</v>
      </c>
      <c r="E686">
        <f t="shared" si="50"/>
        <v>356</v>
      </c>
      <c r="F686" s="30">
        <v>45051</v>
      </c>
      <c r="G686" t="s">
        <v>31</v>
      </c>
      <c r="H686">
        <v>388</v>
      </c>
      <c r="I686" t="str">
        <f>VLOOKUP(B686,товар!$A$1:$C$433,2,FALSE)</f>
        <v>Хлеб</v>
      </c>
      <c r="J686" s="23">
        <f t="shared" si="51"/>
        <v>300.31818181818181</v>
      </c>
      <c r="K686" s="24">
        <f t="shared" si="52"/>
        <v>0.18540941425760549</v>
      </c>
      <c r="L686" t="str">
        <f>VLOOKUP(B686,товар!$A$1:$C$433,3,FALSE)</f>
        <v>Дарница</v>
      </c>
      <c r="M686">
        <f t="shared" si="53"/>
        <v>264</v>
      </c>
      <c r="N686" s="30">
        <f>VLOOKUP(H686,клиенты!$A$1:$G$435,5,FALSE)</f>
        <v>44581</v>
      </c>
      <c r="O686">
        <f t="shared" si="54"/>
        <v>470</v>
      </c>
    </row>
    <row r="687" spans="1:15" x14ac:dyDescent="0.3">
      <c r="A687">
        <v>686</v>
      </c>
      <c r="B687">
        <v>372</v>
      </c>
      <c r="C687">
        <v>166</v>
      </c>
      <c r="D687">
        <v>5</v>
      </c>
      <c r="E687">
        <f t="shared" si="50"/>
        <v>830</v>
      </c>
      <c r="F687" s="30">
        <v>45431</v>
      </c>
      <c r="G687" t="s">
        <v>30</v>
      </c>
      <c r="H687">
        <v>40</v>
      </c>
      <c r="I687" t="str">
        <f>VLOOKUP(B687,товар!$A$1:$C$433,2,FALSE)</f>
        <v>Кофе</v>
      </c>
      <c r="J687" s="23">
        <f t="shared" si="51"/>
        <v>249.02380952380952</v>
      </c>
      <c r="K687" s="24">
        <f t="shared" si="52"/>
        <v>-0.33339707429008503</v>
      </c>
      <c r="L687" t="str">
        <f>VLOOKUP(B687,товар!$A$1:$C$433,3,FALSE)</f>
        <v>Черная Карта</v>
      </c>
      <c r="M687">
        <f t="shared" si="53"/>
        <v>222.2</v>
      </c>
      <c r="N687" s="30">
        <f>VLOOKUP(H687,клиенты!$A$1:$G$435,5,FALSE)</f>
        <v>44855</v>
      </c>
      <c r="O687">
        <f t="shared" si="54"/>
        <v>576</v>
      </c>
    </row>
    <row r="688" spans="1:15" x14ac:dyDescent="0.3">
      <c r="A688">
        <v>687</v>
      </c>
      <c r="B688">
        <v>205</v>
      </c>
      <c r="C688">
        <v>156</v>
      </c>
      <c r="D688">
        <v>4</v>
      </c>
      <c r="E688">
        <f t="shared" si="50"/>
        <v>624</v>
      </c>
      <c r="F688" s="30">
        <v>45429</v>
      </c>
      <c r="G688" t="s">
        <v>19</v>
      </c>
      <c r="H688">
        <v>286</v>
      </c>
      <c r="I688" t="str">
        <f>VLOOKUP(B688,товар!$A$1:$C$433,2,FALSE)</f>
        <v>Макароны</v>
      </c>
      <c r="J688" s="23">
        <f t="shared" si="51"/>
        <v>265.47674418604652</v>
      </c>
      <c r="K688" s="24">
        <f t="shared" si="52"/>
        <v>-0.41237790723139589</v>
      </c>
      <c r="L688" t="str">
        <f>VLOOKUP(B688,товар!$A$1:$C$433,3,FALSE)</f>
        <v>Борилла</v>
      </c>
      <c r="M688">
        <f t="shared" si="53"/>
        <v>236.27586206896552</v>
      </c>
      <c r="N688" s="30">
        <f>VLOOKUP(H688,клиенты!$A$1:$G$435,5,FALSE)</f>
        <v>44563</v>
      </c>
      <c r="O688">
        <f t="shared" si="54"/>
        <v>866</v>
      </c>
    </row>
    <row r="689" spans="1:15" x14ac:dyDescent="0.3">
      <c r="A689">
        <v>688</v>
      </c>
      <c r="B689">
        <v>187</v>
      </c>
      <c r="C689">
        <v>496</v>
      </c>
      <c r="D689">
        <v>4</v>
      </c>
      <c r="E689">
        <f t="shared" si="50"/>
        <v>1984</v>
      </c>
      <c r="F689" s="30">
        <v>45315</v>
      </c>
      <c r="G689" t="s">
        <v>17</v>
      </c>
      <c r="H689">
        <v>448</v>
      </c>
      <c r="I689" t="str">
        <f>VLOOKUP(B689,товар!$A$1:$C$433,2,FALSE)</f>
        <v>Макароны</v>
      </c>
      <c r="J689" s="23">
        <f t="shared" si="51"/>
        <v>265.47674418604652</v>
      </c>
      <c r="K689" s="24">
        <f t="shared" si="52"/>
        <v>0.86833691034120264</v>
      </c>
      <c r="L689" t="str">
        <f>VLOOKUP(B689,товар!$A$1:$C$433,3,FALSE)</f>
        <v>Паста Зара</v>
      </c>
      <c r="M689">
        <f t="shared" si="53"/>
        <v>276.67567567567568</v>
      </c>
      <c r="N689" s="30">
        <f>VLOOKUP(H689,клиенты!$A$1:$G$435,5,FALSE)</f>
        <v>44770</v>
      </c>
      <c r="O689">
        <f t="shared" si="54"/>
        <v>545</v>
      </c>
    </row>
    <row r="690" spans="1:15" x14ac:dyDescent="0.3">
      <c r="A690">
        <v>689</v>
      </c>
      <c r="B690">
        <v>194</v>
      </c>
      <c r="C690">
        <v>257</v>
      </c>
      <c r="D690">
        <v>5</v>
      </c>
      <c r="E690">
        <f t="shared" si="50"/>
        <v>1285</v>
      </c>
      <c r="F690" s="30">
        <v>45122</v>
      </c>
      <c r="G690" t="s">
        <v>16</v>
      </c>
      <c r="H690">
        <v>291</v>
      </c>
      <c r="I690" t="str">
        <f>VLOOKUP(B690,товар!$A$1:$C$433,2,FALSE)</f>
        <v>Соль</v>
      </c>
      <c r="J690" s="23">
        <f t="shared" si="51"/>
        <v>264.8679245283019</v>
      </c>
      <c r="K690" s="24">
        <f t="shared" si="52"/>
        <v>-2.9705086194614649E-2</v>
      </c>
      <c r="L690" t="str">
        <f>VLOOKUP(B690,товар!$A$1:$C$433,3,FALSE)</f>
        <v>Салта</v>
      </c>
      <c r="M690">
        <f t="shared" si="53"/>
        <v>273.7</v>
      </c>
      <c r="N690" s="30">
        <f>VLOOKUP(H690,клиенты!$A$1:$G$435,5,FALSE)</f>
        <v>44710</v>
      </c>
      <c r="O690">
        <f t="shared" si="54"/>
        <v>412</v>
      </c>
    </row>
    <row r="691" spans="1:15" x14ac:dyDescent="0.3">
      <c r="A691">
        <v>690</v>
      </c>
      <c r="B691">
        <v>51</v>
      </c>
      <c r="C691">
        <v>476</v>
      </c>
      <c r="D691">
        <v>2</v>
      </c>
      <c r="E691">
        <f t="shared" si="50"/>
        <v>952</v>
      </c>
      <c r="F691" s="30">
        <v>45020</v>
      </c>
      <c r="G691" t="s">
        <v>33</v>
      </c>
      <c r="H691">
        <v>480</v>
      </c>
      <c r="I691" t="str">
        <f>VLOOKUP(B691,товар!$A$1:$C$433,2,FALSE)</f>
        <v>Колбаса</v>
      </c>
      <c r="J691" s="23">
        <f t="shared" si="51"/>
        <v>286.92307692307691</v>
      </c>
      <c r="K691" s="24">
        <f t="shared" si="52"/>
        <v>0.65898123324396796</v>
      </c>
      <c r="L691" t="str">
        <f>VLOOKUP(B691,товар!$A$1:$C$433,3,FALSE)</f>
        <v>Дымов</v>
      </c>
      <c r="M691">
        <f t="shared" si="53"/>
        <v>312.66666666666669</v>
      </c>
      <c r="N691" s="30">
        <f>VLOOKUP(H691,клиенты!$A$1:$G$435,5,FALSE)</f>
        <v>44568</v>
      </c>
      <c r="O691">
        <f t="shared" si="54"/>
        <v>452</v>
      </c>
    </row>
    <row r="692" spans="1:15" x14ac:dyDescent="0.3">
      <c r="A692">
        <v>691</v>
      </c>
      <c r="B692">
        <v>80</v>
      </c>
      <c r="C692">
        <v>232</v>
      </c>
      <c r="D692">
        <v>2</v>
      </c>
      <c r="E692">
        <f t="shared" si="50"/>
        <v>464</v>
      </c>
      <c r="F692" s="30">
        <v>45116</v>
      </c>
      <c r="G692" t="s">
        <v>23</v>
      </c>
      <c r="H692">
        <v>418</v>
      </c>
      <c r="I692" t="str">
        <f>VLOOKUP(B692,товар!$A$1:$C$433,2,FALSE)</f>
        <v>Конфеты</v>
      </c>
      <c r="J692" s="23">
        <f t="shared" si="51"/>
        <v>267.85483870967744</v>
      </c>
      <c r="K692" s="24">
        <f t="shared" si="52"/>
        <v>-0.1338592159932559</v>
      </c>
      <c r="L692" t="str">
        <f>VLOOKUP(B692,товар!$A$1:$C$433,3,FALSE)</f>
        <v>Красный Октябрь</v>
      </c>
      <c r="M692">
        <f t="shared" si="53"/>
        <v>273.625</v>
      </c>
      <c r="N692" s="30">
        <f>VLOOKUP(H692,клиенты!$A$1:$G$435,5,FALSE)</f>
        <v>44700</v>
      </c>
      <c r="O692">
        <f t="shared" si="54"/>
        <v>416</v>
      </c>
    </row>
    <row r="693" spans="1:15" x14ac:dyDescent="0.3">
      <c r="A693">
        <v>692</v>
      </c>
      <c r="B693">
        <v>474</v>
      </c>
      <c r="C693">
        <v>252</v>
      </c>
      <c r="D693">
        <v>3</v>
      </c>
      <c r="E693">
        <f t="shared" si="50"/>
        <v>756</v>
      </c>
      <c r="F693" s="30">
        <v>45425</v>
      </c>
      <c r="G693" t="s">
        <v>20</v>
      </c>
      <c r="H693">
        <v>470</v>
      </c>
      <c r="I693" t="str">
        <f>VLOOKUP(B693,товар!$A$1:$C$433,2,FALSE)</f>
        <v>Молоко</v>
      </c>
      <c r="J693" s="23">
        <f t="shared" si="51"/>
        <v>294.95238095238096</v>
      </c>
      <c r="K693" s="24">
        <f t="shared" si="52"/>
        <v>-0.14562479819179852</v>
      </c>
      <c r="L693" t="str">
        <f>VLOOKUP(B693,товар!$A$1:$C$433,3,FALSE)</f>
        <v>Простоквашино</v>
      </c>
      <c r="M693">
        <f t="shared" si="53"/>
        <v>318.81818181818181</v>
      </c>
      <c r="N693" s="30">
        <f>VLOOKUP(H693,клиенты!$A$1:$G$435,5,FALSE)</f>
        <v>44690</v>
      </c>
      <c r="O693">
        <f t="shared" si="54"/>
        <v>735</v>
      </c>
    </row>
    <row r="694" spans="1:15" x14ac:dyDescent="0.3">
      <c r="A694">
        <v>693</v>
      </c>
      <c r="B694">
        <v>215</v>
      </c>
      <c r="C694">
        <v>485</v>
      </c>
      <c r="D694">
        <v>4</v>
      </c>
      <c r="E694">
        <f t="shared" si="50"/>
        <v>1940</v>
      </c>
      <c r="F694" s="30">
        <v>44959</v>
      </c>
      <c r="G694" t="s">
        <v>16</v>
      </c>
      <c r="H694">
        <v>318</v>
      </c>
      <c r="I694" t="str">
        <f>VLOOKUP(B694,товар!$A$1:$C$433,2,FALSE)</f>
        <v>Сок</v>
      </c>
      <c r="J694" s="23">
        <f t="shared" si="51"/>
        <v>268.60344827586209</v>
      </c>
      <c r="K694" s="24">
        <f t="shared" si="52"/>
        <v>0.80563579177097355</v>
      </c>
      <c r="L694" t="str">
        <f>VLOOKUP(B694,товар!$A$1:$C$433,3,FALSE)</f>
        <v>Фруктовый сад</v>
      </c>
      <c r="M694">
        <f t="shared" si="53"/>
        <v>281.96875</v>
      </c>
      <c r="N694" s="30">
        <f>VLOOKUP(H694,клиенты!$A$1:$G$435,5,FALSE)</f>
        <v>44892</v>
      </c>
      <c r="O694">
        <f t="shared" si="54"/>
        <v>67</v>
      </c>
    </row>
    <row r="695" spans="1:15" x14ac:dyDescent="0.3">
      <c r="A695">
        <v>694</v>
      </c>
      <c r="B695">
        <v>36</v>
      </c>
      <c r="C695">
        <v>150</v>
      </c>
      <c r="D695">
        <v>2</v>
      </c>
      <c r="E695">
        <f t="shared" si="50"/>
        <v>300</v>
      </c>
      <c r="F695" s="30">
        <v>45157</v>
      </c>
      <c r="G695" t="s">
        <v>27</v>
      </c>
      <c r="H695">
        <v>283</v>
      </c>
      <c r="I695" t="str">
        <f>VLOOKUP(B695,товар!$A$1:$C$433,2,FALSE)</f>
        <v>Макароны</v>
      </c>
      <c r="J695" s="23">
        <f t="shared" si="51"/>
        <v>265.47674418604652</v>
      </c>
      <c r="K695" s="24">
        <f t="shared" si="52"/>
        <v>-0.43497875695326527</v>
      </c>
      <c r="L695" t="str">
        <f>VLOOKUP(B695,товар!$A$1:$C$433,3,FALSE)</f>
        <v>Роллтон</v>
      </c>
      <c r="M695">
        <f t="shared" si="53"/>
        <v>235.55555555555554</v>
      </c>
      <c r="N695" s="30">
        <f>VLOOKUP(H695,клиенты!$A$1:$G$435,5,FALSE)</f>
        <v>44889</v>
      </c>
      <c r="O695">
        <f t="shared" si="54"/>
        <v>268</v>
      </c>
    </row>
    <row r="696" spans="1:15" x14ac:dyDescent="0.3">
      <c r="A696">
        <v>695</v>
      </c>
      <c r="B696">
        <v>400</v>
      </c>
      <c r="C696">
        <v>474</v>
      </c>
      <c r="D696">
        <v>4</v>
      </c>
      <c r="E696">
        <f t="shared" si="50"/>
        <v>1896</v>
      </c>
      <c r="F696" s="30">
        <v>44992</v>
      </c>
      <c r="G696" t="s">
        <v>24</v>
      </c>
      <c r="H696">
        <v>191</v>
      </c>
      <c r="I696" t="str">
        <f>VLOOKUP(B696,товар!$A$1:$C$433,2,FALSE)</f>
        <v>Молоко</v>
      </c>
      <c r="J696" s="23">
        <f t="shared" si="51"/>
        <v>294.95238095238096</v>
      </c>
      <c r="K696" s="24">
        <f t="shared" si="52"/>
        <v>0.60703907006780744</v>
      </c>
      <c r="L696" t="str">
        <f>VLOOKUP(B696,товар!$A$1:$C$433,3,FALSE)</f>
        <v>Беллакт</v>
      </c>
      <c r="M696">
        <f t="shared" si="53"/>
        <v>322.54545454545456</v>
      </c>
      <c r="N696" s="30">
        <f>VLOOKUP(H696,клиенты!$A$1:$G$435,5,FALSE)</f>
        <v>44866</v>
      </c>
      <c r="O696">
        <f t="shared" si="54"/>
        <v>126</v>
      </c>
    </row>
    <row r="697" spans="1:15" x14ac:dyDescent="0.3">
      <c r="A697">
        <v>696</v>
      </c>
      <c r="B697">
        <v>80</v>
      </c>
      <c r="C697">
        <v>135</v>
      </c>
      <c r="D697">
        <v>2</v>
      </c>
      <c r="E697">
        <f t="shared" si="50"/>
        <v>270</v>
      </c>
      <c r="F697" s="30">
        <v>45296</v>
      </c>
      <c r="G697" t="s">
        <v>24</v>
      </c>
      <c r="H697">
        <v>123</v>
      </c>
      <c r="I697" t="str">
        <f>VLOOKUP(B697,товар!$A$1:$C$433,2,FALSE)</f>
        <v>Конфеты</v>
      </c>
      <c r="J697" s="23">
        <f t="shared" si="51"/>
        <v>267.85483870967744</v>
      </c>
      <c r="K697" s="24">
        <f t="shared" si="52"/>
        <v>-0.49599566447883425</v>
      </c>
      <c r="L697" t="str">
        <f>VLOOKUP(B697,товар!$A$1:$C$433,3,FALSE)</f>
        <v>Красный Октябрь</v>
      </c>
      <c r="M697">
        <f t="shared" si="53"/>
        <v>273.625</v>
      </c>
      <c r="N697" s="30">
        <f>VLOOKUP(H697,клиенты!$A$1:$G$435,5,FALSE)</f>
        <v>44600</v>
      </c>
      <c r="O697">
        <f t="shared" si="54"/>
        <v>696</v>
      </c>
    </row>
    <row r="698" spans="1:15" x14ac:dyDescent="0.3">
      <c r="A698">
        <v>697</v>
      </c>
      <c r="B698">
        <v>413</v>
      </c>
      <c r="C698">
        <v>178</v>
      </c>
      <c r="D698">
        <v>5</v>
      </c>
      <c r="E698">
        <f t="shared" si="50"/>
        <v>890</v>
      </c>
      <c r="F698" s="30">
        <v>45095</v>
      </c>
      <c r="G698" t="s">
        <v>17</v>
      </c>
      <c r="H698">
        <v>380</v>
      </c>
      <c r="I698" t="str">
        <f>VLOOKUP(B698,товар!$A$1:$C$433,2,FALSE)</f>
        <v>Кофе</v>
      </c>
      <c r="J698" s="23">
        <f t="shared" si="51"/>
        <v>249.02380952380952</v>
      </c>
      <c r="K698" s="24">
        <f t="shared" si="52"/>
        <v>-0.28520891098575385</v>
      </c>
      <c r="L698" t="str">
        <f>VLOOKUP(B698,товар!$A$1:$C$433,3,FALSE)</f>
        <v>Jacobs</v>
      </c>
      <c r="M698">
        <f t="shared" si="53"/>
        <v>276.21052631578948</v>
      </c>
      <c r="N698" s="30">
        <f>VLOOKUP(H698,клиенты!$A$1:$G$435,5,FALSE)</f>
        <v>44563</v>
      </c>
      <c r="O698">
        <f t="shared" si="54"/>
        <v>532</v>
      </c>
    </row>
    <row r="699" spans="1:15" x14ac:dyDescent="0.3">
      <c r="A699">
        <v>698</v>
      </c>
      <c r="B699">
        <v>10</v>
      </c>
      <c r="C699">
        <v>112</v>
      </c>
      <c r="D699">
        <v>3</v>
      </c>
      <c r="E699">
        <f t="shared" si="50"/>
        <v>336</v>
      </c>
      <c r="F699" s="30">
        <v>45350</v>
      </c>
      <c r="G699" t="s">
        <v>17</v>
      </c>
      <c r="H699">
        <v>442</v>
      </c>
      <c r="I699" t="str">
        <f>VLOOKUP(B699,товар!$A$1:$C$433,2,FALSE)</f>
        <v>Сок</v>
      </c>
      <c r="J699" s="23">
        <f t="shared" si="51"/>
        <v>268.60344827586209</v>
      </c>
      <c r="K699" s="24">
        <f t="shared" si="52"/>
        <v>-0.58302843571474416</v>
      </c>
      <c r="L699" t="str">
        <f>VLOOKUP(B699,товар!$A$1:$C$433,3,FALSE)</f>
        <v>Фруктовый сад</v>
      </c>
      <c r="M699">
        <f t="shared" si="53"/>
        <v>281.96875</v>
      </c>
      <c r="N699" s="30">
        <f>VLOOKUP(H699,клиенты!$A$1:$G$435,5,FALSE)</f>
        <v>44746</v>
      </c>
      <c r="O699">
        <f t="shared" si="54"/>
        <v>604</v>
      </c>
    </row>
    <row r="700" spans="1:15" x14ac:dyDescent="0.3">
      <c r="A700">
        <v>699</v>
      </c>
      <c r="B700">
        <v>14</v>
      </c>
      <c r="C700">
        <v>338</v>
      </c>
      <c r="D700">
        <v>4</v>
      </c>
      <c r="E700">
        <f t="shared" si="50"/>
        <v>1352</v>
      </c>
      <c r="F700" s="30">
        <v>44964</v>
      </c>
      <c r="G700" t="s">
        <v>20</v>
      </c>
      <c r="H700">
        <v>218</v>
      </c>
      <c r="I700" t="str">
        <f>VLOOKUP(B700,товар!$A$1:$C$433,2,FALSE)</f>
        <v>Сок</v>
      </c>
      <c r="J700" s="23">
        <f t="shared" si="51"/>
        <v>268.60344827586209</v>
      </c>
      <c r="K700" s="24">
        <f t="shared" si="52"/>
        <v>0.25836061364657548</v>
      </c>
      <c r="L700" t="str">
        <f>VLOOKUP(B700,товар!$A$1:$C$433,3,FALSE)</f>
        <v>Rich</v>
      </c>
      <c r="M700">
        <f t="shared" si="53"/>
        <v>272.25</v>
      </c>
      <c r="N700" s="30">
        <f>VLOOKUP(H700,клиенты!$A$1:$G$435,5,FALSE)</f>
        <v>44721</v>
      </c>
      <c r="O700">
        <f t="shared" si="54"/>
        <v>243</v>
      </c>
    </row>
    <row r="701" spans="1:15" x14ac:dyDescent="0.3">
      <c r="A701">
        <v>700</v>
      </c>
      <c r="B701">
        <v>423</v>
      </c>
      <c r="C701">
        <v>277</v>
      </c>
      <c r="D701">
        <v>5</v>
      </c>
      <c r="E701">
        <f t="shared" si="50"/>
        <v>1385</v>
      </c>
      <c r="F701" s="30">
        <v>45143</v>
      </c>
      <c r="G701" t="s">
        <v>19</v>
      </c>
      <c r="H701">
        <v>331</v>
      </c>
      <c r="I701" t="str">
        <f>VLOOKUP(B701,товар!$A$1:$C$433,2,FALSE)</f>
        <v>Чипсы</v>
      </c>
      <c r="J701" s="23">
        <f t="shared" si="51"/>
        <v>273.72549019607845</v>
      </c>
      <c r="K701" s="24">
        <f t="shared" si="52"/>
        <v>1.1962750716332238E-2</v>
      </c>
      <c r="L701" t="str">
        <f>VLOOKUP(B701,товар!$A$1:$C$433,3,FALSE)</f>
        <v>Pringles</v>
      </c>
      <c r="M701">
        <f t="shared" si="53"/>
        <v>280.23809523809524</v>
      </c>
      <c r="N701" s="30">
        <f>VLOOKUP(H701,клиенты!$A$1:$G$435,5,FALSE)</f>
        <v>44813</v>
      </c>
      <c r="O701">
        <f t="shared" si="54"/>
        <v>330</v>
      </c>
    </row>
    <row r="702" spans="1:15" x14ac:dyDescent="0.3">
      <c r="A702">
        <v>701</v>
      </c>
      <c r="B702">
        <v>138</v>
      </c>
      <c r="C702">
        <v>427</v>
      </c>
      <c r="D702">
        <v>5</v>
      </c>
      <c r="E702">
        <f t="shared" si="50"/>
        <v>2135</v>
      </c>
      <c r="F702" s="30">
        <v>45145</v>
      </c>
      <c r="G702" t="s">
        <v>19</v>
      </c>
      <c r="H702">
        <v>196</v>
      </c>
      <c r="I702" t="str">
        <f>VLOOKUP(B702,товар!$A$1:$C$433,2,FALSE)</f>
        <v>Сыр</v>
      </c>
      <c r="J702" s="23">
        <f t="shared" si="51"/>
        <v>262.63492063492066</v>
      </c>
      <c r="K702" s="24">
        <f t="shared" si="52"/>
        <v>0.62583101655989348</v>
      </c>
      <c r="L702" t="str">
        <f>VLOOKUP(B702,товар!$A$1:$C$433,3,FALSE)</f>
        <v>Сырная долина</v>
      </c>
      <c r="M702">
        <f t="shared" si="53"/>
        <v>271</v>
      </c>
      <c r="N702" s="30">
        <f>VLOOKUP(H702,клиенты!$A$1:$G$435,5,FALSE)</f>
        <v>44835</v>
      </c>
      <c r="O702">
        <f t="shared" si="54"/>
        <v>310</v>
      </c>
    </row>
    <row r="703" spans="1:15" x14ac:dyDescent="0.3">
      <c r="A703">
        <v>702</v>
      </c>
      <c r="B703">
        <v>498</v>
      </c>
      <c r="C703">
        <v>169</v>
      </c>
      <c r="D703">
        <v>4</v>
      </c>
      <c r="E703">
        <f t="shared" si="50"/>
        <v>676</v>
      </c>
      <c r="F703" s="30">
        <v>45129</v>
      </c>
      <c r="G703" t="s">
        <v>32</v>
      </c>
      <c r="H703">
        <v>36</v>
      </c>
      <c r="I703" t="str">
        <f>VLOOKUP(B703,товар!$A$1:$C$433,2,FALSE)</f>
        <v>Молоко</v>
      </c>
      <c r="J703" s="23">
        <f t="shared" si="51"/>
        <v>294.95238095238096</v>
      </c>
      <c r="K703" s="24">
        <f t="shared" si="52"/>
        <v>-0.42702615434291247</v>
      </c>
      <c r="L703" t="str">
        <f>VLOOKUP(B703,товар!$A$1:$C$433,3,FALSE)</f>
        <v>Домик в деревне</v>
      </c>
      <c r="M703">
        <f t="shared" si="53"/>
        <v>274.77777777777777</v>
      </c>
      <c r="N703" s="30">
        <f>VLOOKUP(H703,клиенты!$A$1:$G$435,5,FALSE)</f>
        <v>44700</v>
      </c>
      <c r="O703">
        <f t="shared" si="54"/>
        <v>429</v>
      </c>
    </row>
    <row r="704" spans="1:15" x14ac:dyDescent="0.3">
      <c r="A704">
        <v>703</v>
      </c>
      <c r="B704">
        <v>46</v>
      </c>
      <c r="C704">
        <v>228</v>
      </c>
      <c r="D704">
        <v>5</v>
      </c>
      <c r="E704">
        <f t="shared" si="50"/>
        <v>1140</v>
      </c>
      <c r="F704" s="30">
        <v>45017</v>
      </c>
      <c r="G704" t="s">
        <v>18</v>
      </c>
      <c r="H704">
        <v>272</v>
      </c>
      <c r="I704" t="str">
        <f>VLOOKUP(B704,товар!$A$1:$C$433,2,FALSE)</f>
        <v>Йогурт</v>
      </c>
      <c r="J704" s="23">
        <f t="shared" si="51"/>
        <v>263.25423728813558</v>
      </c>
      <c r="K704" s="24">
        <f t="shared" si="52"/>
        <v>-0.13391707442698941</v>
      </c>
      <c r="L704" t="str">
        <f>VLOOKUP(B704,товар!$A$1:$C$433,3,FALSE)</f>
        <v>Активиа</v>
      </c>
      <c r="M704">
        <f t="shared" si="53"/>
        <v>293.66666666666669</v>
      </c>
      <c r="N704" s="30">
        <f>VLOOKUP(H704,клиенты!$A$1:$G$435,5,FALSE)</f>
        <v>44668</v>
      </c>
      <c r="O704">
        <f t="shared" si="54"/>
        <v>349</v>
      </c>
    </row>
    <row r="705" spans="1:15" x14ac:dyDescent="0.3">
      <c r="A705">
        <v>704</v>
      </c>
      <c r="B705">
        <v>1</v>
      </c>
      <c r="C705">
        <v>322</v>
      </c>
      <c r="D705">
        <v>2</v>
      </c>
      <c r="E705">
        <f t="shared" si="50"/>
        <v>644</v>
      </c>
      <c r="F705" s="30">
        <v>45422</v>
      </c>
      <c r="G705" t="s">
        <v>30</v>
      </c>
      <c r="H705">
        <v>22</v>
      </c>
      <c r="I705" t="str">
        <f>VLOOKUP(B705,товар!$A$1:$C$433,2,FALSE)</f>
        <v>Крупа</v>
      </c>
      <c r="J705" s="23">
        <f t="shared" si="51"/>
        <v>255.11627906976744</v>
      </c>
      <c r="K705" s="24">
        <f t="shared" si="52"/>
        <v>0.26216955332725611</v>
      </c>
      <c r="L705" t="str">
        <f>VLOOKUP(B705,товар!$A$1:$C$433,3,FALSE)</f>
        <v>Ярмарка</v>
      </c>
      <c r="M705">
        <f t="shared" si="53"/>
        <v>252.09090909090909</v>
      </c>
      <c r="N705" s="30">
        <f>VLOOKUP(H705,клиенты!$A$1:$G$435,5,FALSE)</f>
        <v>44870</v>
      </c>
      <c r="O705">
        <f t="shared" si="54"/>
        <v>552</v>
      </c>
    </row>
    <row r="706" spans="1:15" x14ac:dyDescent="0.3">
      <c r="A706">
        <v>705</v>
      </c>
      <c r="B706">
        <v>478</v>
      </c>
      <c r="C706">
        <v>342</v>
      </c>
      <c r="D706">
        <v>3</v>
      </c>
      <c r="E706">
        <f t="shared" ref="E706:E769" si="55">C706*D706</f>
        <v>1026</v>
      </c>
      <c r="F706" s="30">
        <v>45037</v>
      </c>
      <c r="G706" t="s">
        <v>21</v>
      </c>
      <c r="H706">
        <v>360</v>
      </c>
      <c r="I706" t="str">
        <f>VLOOKUP(B706,товар!$A$1:$C$433,2,FALSE)</f>
        <v>Конфеты</v>
      </c>
      <c r="J706" s="23">
        <f t="shared" ref="J706:J769" si="56">AVERAGEIF($I$2:$I$1001,I706,$C$2:$C$1001)</f>
        <v>267.85483870967744</v>
      </c>
      <c r="K706" s="24">
        <f t="shared" ref="K706:K769" si="57">C706/J706-1</f>
        <v>0.27681098332028653</v>
      </c>
      <c r="L706" t="str">
        <f>VLOOKUP(B706,товар!$A$1:$C$433,3,FALSE)</f>
        <v>Рот Фронт</v>
      </c>
      <c r="M706">
        <f t="shared" ref="M706:M769" si="58">AVERAGEIFS($C$2:$C$1001,$I$2:$I$1001,I706,$L$2:$L$1001,L706)</f>
        <v>288.23809523809524</v>
      </c>
      <c r="N706" s="30">
        <f>VLOOKUP(H706,клиенты!$A$1:$G$435,5,FALSE)</f>
        <v>44728</v>
      </c>
      <c r="O706">
        <f t="shared" ref="O706:O769" si="59">F706-N706</f>
        <v>309</v>
      </c>
    </row>
    <row r="707" spans="1:15" x14ac:dyDescent="0.3">
      <c r="A707">
        <v>706</v>
      </c>
      <c r="B707">
        <v>444</v>
      </c>
      <c r="C707">
        <v>315</v>
      </c>
      <c r="D707">
        <v>4</v>
      </c>
      <c r="E707">
        <f t="shared" si="55"/>
        <v>1260</v>
      </c>
      <c r="F707" s="30">
        <v>45041</v>
      </c>
      <c r="G707" t="s">
        <v>19</v>
      </c>
      <c r="H707">
        <v>414</v>
      </c>
      <c r="I707" t="str">
        <f>VLOOKUP(B707,товар!$A$1:$C$433,2,FALSE)</f>
        <v>Йогурт</v>
      </c>
      <c r="J707" s="23">
        <f t="shared" si="56"/>
        <v>263.25423728813558</v>
      </c>
      <c r="K707" s="24">
        <f t="shared" si="57"/>
        <v>0.19656193664692245</v>
      </c>
      <c r="L707" t="str">
        <f>VLOOKUP(B707,товар!$A$1:$C$433,3,FALSE)</f>
        <v>Эрманн</v>
      </c>
      <c r="M707">
        <f t="shared" si="58"/>
        <v>248.5</v>
      </c>
      <c r="N707" s="30">
        <f>VLOOKUP(H707,клиенты!$A$1:$G$435,5,FALSE)</f>
        <v>44794</v>
      </c>
      <c r="O707">
        <f t="shared" si="59"/>
        <v>247</v>
      </c>
    </row>
    <row r="708" spans="1:15" x14ac:dyDescent="0.3">
      <c r="A708">
        <v>707</v>
      </c>
      <c r="B708">
        <v>110</v>
      </c>
      <c r="C708">
        <v>473</v>
      </c>
      <c r="D708">
        <v>2</v>
      </c>
      <c r="E708">
        <f t="shared" si="55"/>
        <v>946</v>
      </c>
      <c r="F708" s="30">
        <v>45373</v>
      </c>
      <c r="G708" t="s">
        <v>32</v>
      </c>
      <c r="H708">
        <v>152</v>
      </c>
      <c r="I708" t="str">
        <f>VLOOKUP(B708,товар!$A$1:$C$433,2,FALSE)</f>
        <v>Макароны</v>
      </c>
      <c r="J708" s="23">
        <f t="shared" si="56"/>
        <v>265.47674418604652</v>
      </c>
      <c r="K708" s="24">
        <f t="shared" si="57"/>
        <v>0.78170031974070331</v>
      </c>
      <c r="L708" t="str">
        <f>VLOOKUP(B708,товар!$A$1:$C$433,3,FALSE)</f>
        <v>Паста Зара</v>
      </c>
      <c r="M708">
        <f t="shared" si="58"/>
        <v>276.67567567567568</v>
      </c>
      <c r="N708" s="30">
        <f>VLOOKUP(H708,клиенты!$A$1:$G$435,5,FALSE)</f>
        <v>44791</v>
      </c>
      <c r="O708">
        <f t="shared" si="59"/>
        <v>582</v>
      </c>
    </row>
    <row r="709" spans="1:15" x14ac:dyDescent="0.3">
      <c r="A709">
        <v>708</v>
      </c>
      <c r="B709">
        <v>191</v>
      </c>
      <c r="C709">
        <v>248</v>
      </c>
      <c r="D709">
        <v>2</v>
      </c>
      <c r="E709">
        <f t="shared" si="55"/>
        <v>496</v>
      </c>
      <c r="F709" s="30">
        <v>45148</v>
      </c>
      <c r="G709" t="s">
        <v>26</v>
      </c>
      <c r="H709">
        <v>177</v>
      </c>
      <c r="I709" t="str">
        <f>VLOOKUP(B709,товар!$A$1:$C$433,2,FALSE)</f>
        <v>Колбаса</v>
      </c>
      <c r="J709" s="23">
        <f t="shared" si="56"/>
        <v>286.92307692307691</v>
      </c>
      <c r="K709" s="24">
        <f t="shared" si="57"/>
        <v>-0.13565683646112592</v>
      </c>
      <c r="L709" t="str">
        <f>VLOOKUP(B709,товар!$A$1:$C$433,3,FALSE)</f>
        <v>Окраина</v>
      </c>
      <c r="M709">
        <f t="shared" si="58"/>
        <v>273.58333333333331</v>
      </c>
      <c r="N709" s="30">
        <f>VLOOKUP(H709,клиенты!$A$1:$G$435,5,FALSE)</f>
        <v>44857</v>
      </c>
      <c r="O709">
        <f t="shared" si="59"/>
        <v>291</v>
      </c>
    </row>
    <row r="710" spans="1:15" x14ac:dyDescent="0.3">
      <c r="A710">
        <v>709</v>
      </c>
      <c r="B710">
        <v>198</v>
      </c>
      <c r="C710">
        <v>335</v>
      </c>
      <c r="D710">
        <v>3</v>
      </c>
      <c r="E710">
        <f t="shared" si="55"/>
        <v>1005</v>
      </c>
      <c r="F710" s="30">
        <v>45164</v>
      </c>
      <c r="G710" t="s">
        <v>25</v>
      </c>
      <c r="H710">
        <v>111</v>
      </c>
      <c r="I710" t="str">
        <f>VLOOKUP(B710,товар!$A$1:$C$433,2,FALSE)</f>
        <v>Мясо</v>
      </c>
      <c r="J710" s="23">
        <f t="shared" si="56"/>
        <v>271.74545454545455</v>
      </c>
      <c r="K710" s="24">
        <f t="shared" si="57"/>
        <v>0.23277131004951146</v>
      </c>
      <c r="L710" t="str">
        <f>VLOOKUP(B710,товар!$A$1:$C$433,3,FALSE)</f>
        <v>Мираторг</v>
      </c>
      <c r="M710">
        <f t="shared" si="58"/>
        <v>316.58333333333331</v>
      </c>
      <c r="N710" s="30">
        <f>VLOOKUP(H710,клиенты!$A$1:$G$435,5,FALSE)</f>
        <v>44804</v>
      </c>
      <c r="O710">
        <f t="shared" si="59"/>
        <v>360</v>
      </c>
    </row>
    <row r="711" spans="1:15" x14ac:dyDescent="0.3">
      <c r="A711">
        <v>710</v>
      </c>
      <c r="B711">
        <v>93</v>
      </c>
      <c r="C711">
        <v>343</v>
      </c>
      <c r="D711">
        <v>3</v>
      </c>
      <c r="E711">
        <f t="shared" si="55"/>
        <v>1029</v>
      </c>
      <c r="F711" s="30">
        <v>44930</v>
      </c>
      <c r="G711" t="s">
        <v>33</v>
      </c>
      <c r="H711">
        <v>281</v>
      </c>
      <c r="I711" t="str">
        <f>VLOOKUP(B711,товар!$A$1:$C$433,2,FALSE)</f>
        <v>Чай</v>
      </c>
      <c r="J711" s="23">
        <f t="shared" si="56"/>
        <v>271.18181818181819</v>
      </c>
      <c r="K711" s="24">
        <f t="shared" si="57"/>
        <v>0.26483405967147156</v>
      </c>
      <c r="L711" t="str">
        <f>VLOOKUP(B711,товар!$A$1:$C$433,3,FALSE)</f>
        <v>Greenfield</v>
      </c>
      <c r="M711">
        <f t="shared" si="58"/>
        <v>291.45454545454544</v>
      </c>
      <c r="N711" s="30">
        <f>VLOOKUP(H711,клиенты!$A$1:$G$435,5,FALSE)</f>
        <v>44711</v>
      </c>
      <c r="O711">
        <f t="shared" si="59"/>
        <v>219</v>
      </c>
    </row>
    <row r="712" spans="1:15" x14ac:dyDescent="0.3">
      <c r="A712">
        <v>711</v>
      </c>
      <c r="B712">
        <v>385</v>
      </c>
      <c r="C712">
        <v>309</v>
      </c>
      <c r="D712">
        <v>1</v>
      </c>
      <c r="E712">
        <f t="shared" si="55"/>
        <v>309</v>
      </c>
      <c r="F712" s="30">
        <v>45100</v>
      </c>
      <c r="G712" t="s">
        <v>21</v>
      </c>
      <c r="H712">
        <v>177</v>
      </c>
      <c r="I712" t="str">
        <f>VLOOKUP(B712,товар!$A$1:$C$433,2,FALSE)</f>
        <v>Макароны</v>
      </c>
      <c r="J712" s="23">
        <f t="shared" si="56"/>
        <v>265.47674418604652</v>
      </c>
      <c r="K712" s="24">
        <f t="shared" si="57"/>
        <v>0.16394376067627348</v>
      </c>
      <c r="L712" t="str">
        <f>VLOOKUP(B712,товар!$A$1:$C$433,3,FALSE)</f>
        <v>Макфа</v>
      </c>
      <c r="M712">
        <f t="shared" si="58"/>
        <v>329.27272727272725</v>
      </c>
      <c r="N712" s="30">
        <f>VLOOKUP(H712,клиенты!$A$1:$G$435,5,FALSE)</f>
        <v>44857</v>
      </c>
      <c r="O712">
        <f t="shared" si="59"/>
        <v>243</v>
      </c>
    </row>
    <row r="713" spans="1:15" x14ac:dyDescent="0.3">
      <c r="A713">
        <v>712</v>
      </c>
      <c r="B713">
        <v>456</v>
      </c>
      <c r="C713">
        <v>196</v>
      </c>
      <c r="D713">
        <v>4</v>
      </c>
      <c r="E713">
        <f t="shared" si="55"/>
        <v>784</v>
      </c>
      <c r="F713" s="30">
        <v>45006</v>
      </c>
      <c r="G713" t="s">
        <v>19</v>
      </c>
      <c r="H713">
        <v>446</v>
      </c>
      <c r="I713" t="str">
        <f>VLOOKUP(B713,товар!$A$1:$C$433,2,FALSE)</f>
        <v>Колбаса</v>
      </c>
      <c r="J713" s="23">
        <f t="shared" si="56"/>
        <v>286.92307692307691</v>
      </c>
      <c r="K713" s="24">
        <f t="shared" si="57"/>
        <v>-0.31689008042895439</v>
      </c>
      <c r="L713" t="str">
        <f>VLOOKUP(B713,товар!$A$1:$C$433,3,FALSE)</f>
        <v>Окраина</v>
      </c>
      <c r="M713">
        <f t="shared" si="58"/>
        <v>273.58333333333331</v>
      </c>
      <c r="N713" s="30">
        <f>VLOOKUP(H713,клиенты!$A$1:$G$435,5,FALSE)</f>
        <v>44671</v>
      </c>
      <c r="O713">
        <f t="shared" si="59"/>
        <v>335</v>
      </c>
    </row>
    <row r="714" spans="1:15" x14ac:dyDescent="0.3">
      <c r="A714">
        <v>713</v>
      </c>
      <c r="B714">
        <v>147</v>
      </c>
      <c r="C714">
        <v>258</v>
      </c>
      <c r="D714">
        <v>5</v>
      </c>
      <c r="E714">
        <f t="shared" si="55"/>
        <v>1290</v>
      </c>
      <c r="F714" s="30">
        <v>45356</v>
      </c>
      <c r="G714" t="s">
        <v>18</v>
      </c>
      <c r="H714">
        <v>202</v>
      </c>
      <c r="I714" t="str">
        <f>VLOOKUP(B714,товар!$A$1:$C$433,2,FALSE)</f>
        <v>Конфеты</v>
      </c>
      <c r="J714" s="23">
        <f t="shared" si="56"/>
        <v>267.85483870967744</v>
      </c>
      <c r="K714" s="24">
        <f t="shared" si="57"/>
        <v>-3.6791714337327752E-2</v>
      </c>
      <c r="L714" t="str">
        <f>VLOOKUP(B714,товар!$A$1:$C$433,3,FALSE)</f>
        <v>Бабаевский</v>
      </c>
      <c r="M714">
        <f t="shared" si="58"/>
        <v>250.25925925925927</v>
      </c>
      <c r="N714" s="30">
        <f>VLOOKUP(H714,клиенты!$A$1:$G$435,5,FALSE)</f>
        <v>44766</v>
      </c>
      <c r="O714">
        <f t="shared" si="59"/>
        <v>590</v>
      </c>
    </row>
    <row r="715" spans="1:15" x14ac:dyDescent="0.3">
      <c r="A715">
        <v>714</v>
      </c>
      <c r="B715">
        <v>47</v>
      </c>
      <c r="C715">
        <v>496</v>
      </c>
      <c r="D715">
        <v>2</v>
      </c>
      <c r="E715">
        <f t="shared" si="55"/>
        <v>992</v>
      </c>
      <c r="F715" s="30">
        <v>45196</v>
      </c>
      <c r="G715" t="s">
        <v>17</v>
      </c>
      <c r="H715">
        <v>140</v>
      </c>
      <c r="I715" t="str">
        <f>VLOOKUP(B715,товар!$A$1:$C$433,2,FALSE)</f>
        <v>Мясо</v>
      </c>
      <c r="J715" s="23">
        <f t="shared" si="56"/>
        <v>271.74545454545455</v>
      </c>
      <c r="K715" s="24">
        <f t="shared" si="57"/>
        <v>0.82523752174494835</v>
      </c>
      <c r="L715" t="str">
        <f>VLOOKUP(B715,товар!$A$1:$C$433,3,FALSE)</f>
        <v>Снежана</v>
      </c>
      <c r="M715">
        <f t="shared" si="58"/>
        <v>272.35294117647061</v>
      </c>
      <c r="N715" s="30">
        <f>VLOOKUP(H715,клиенты!$A$1:$G$435,5,FALSE)</f>
        <v>44627</v>
      </c>
      <c r="O715">
        <f t="shared" si="59"/>
        <v>569</v>
      </c>
    </row>
    <row r="716" spans="1:15" x14ac:dyDescent="0.3">
      <c r="A716">
        <v>715</v>
      </c>
      <c r="B716">
        <v>369</v>
      </c>
      <c r="C716">
        <v>202</v>
      </c>
      <c r="D716">
        <v>5</v>
      </c>
      <c r="E716">
        <f t="shared" si="55"/>
        <v>1010</v>
      </c>
      <c r="F716" s="30">
        <v>45100</v>
      </c>
      <c r="G716" t="s">
        <v>28</v>
      </c>
      <c r="H716">
        <v>321</v>
      </c>
      <c r="I716" t="str">
        <f>VLOOKUP(B716,товар!$A$1:$C$433,2,FALSE)</f>
        <v>Молоко</v>
      </c>
      <c r="J716" s="23">
        <f t="shared" si="56"/>
        <v>294.95238095238096</v>
      </c>
      <c r="K716" s="24">
        <f t="shared" si="57"/>
        <v>-0.31514368743945753</v>
      </c>
      <c r="L716" t="str">
        <f>VLOOKUP(B716,товар!$A$1:$C$433,3,FALSE)</f>
        <v>Домик в деревне</v>
      </c>
      <c r="M716">
        <f t="shared" si="58"/>
        <v>274.77777777777777</v>
      </c>
      <c r="N716" s="30">
        <f>VLOOKUP(H716,клиенты!$A$1:$G$435,5,FALSE)</f>
        <v>44756</v>
      </c>
      <c r="O716">
        <f t="shared" si="59"/>
        <v>344</v>
      </c>
    </row>
    <row r="717" spans="1:15" x14ac:dyDescent="0.3">
      <c r="A717">
        <v>716</v>
      </c>
      <c r="B717">
        <v>296</v>
      </c>
      <c r="C717">
        <v>155</v>
      </c>
      <c r="D717">
        <v>1</v>
      </c>
      <c r="E717">
        <f t="shared" si="55"/>
        <v>155</v>
      </c>
      <c r="F717" s="30">
        <v>45349</v>
      </c>
      <c r="G717" t="s">
        <v>33</v>
      </c>
      <c r="H717">
        <v>188</v>
      </c>
      <c r="I717" t="str">
        <f>VLOOKUP(B717,товар!$A$1:$C$433,2,FALSE)</f>
        <v>Крупа</v>
      </c>
      <c r="J717" s="23">
        <f t="shared" si="56"/>
        <v>255.11627906976744</v>
      </c>
      <c r="K717" s="24">
        <f t="shared" si="57"/>
        <v>-0.39243391066545119</v>
      </c>
      <c r="L717" t="str">
        <f>VLOOKUP(B717,товар!$A$1:$C$433,3,FALSE)</f>
        <v>Мистраль</v>
      </c>
      <c r="M717">
        <f t="shared" si="58"/>
        <v>250.30769230769232</v>
      </c>
      <c r="N717" s="30">
        <f>VLOOKUP(H717,клиенты!$A$1:$G$435,5,FALSE)</f>
        <v>44801</v>
      </c>
      <c r="O717">
        <f t="shared" si="59"/>
        <v>548</v>
      </c>
    </row>
    <row r="718" spans="1:15" x14ac:dyDescent="0.3">
      <c r="A718">
        <v>717</v>
      </c>
      <c r="B718">
        <v>448</v>
      </c>
      <c r="C718">
        <v>72</v>
      </c>
      <c r="D718">
        <v>5</v>
      </c>
      <c r="E718">
        <f t="shared" si="55"/>
        <v>360</v>
      </c>
      <c r="F718" s="30">
        <v>45409</v>
      </c>
      <c r="G718" t="s">
        <v>25</v>
      </c>
      <c r="H718">
        <v>63</v>
      </c>
      <c r="I718" t="str">
        <f>VLOOKUP(B718,товар!$A$1:$C$433,2,FALSE)</f>
        <v>Йогурт</v>
      </c>
      <c r="J718" s="23">
        <f t="shared" si="56"/>
        <v>263.25423728813558</v>
      </c>
      <c r="K718" s="24">
        <f t="shared" si="57"/>
        <v>-0.72650012876641767</v>
      </c>
      <c r="L718" t="str">
        <f>VLOOKUP(B718,товар!$A$1:$C$433,3,FALSE)</f>
        <v>Ростагроэкспорт</v>
      </c>
      <c r="M718">
        <f t="shared" si="58"/>
        <v>257.78260869565219</v>
      </c>
      <c r="N718" s="30">
        <f>VLOOKUP(H718,клиенты!$A$1:$G$435,5,FALSE)</f>
        <v>44684</v>
      </c>
      <c r="O718">
        <f t="shared" si="59"/>
        <v>725</v>
      </c>
    </row>
    <row r="719" spans="1:15" x14ac:dyDescent="0.3">
      <c r="A719">
        <v>718</v>
      </c>
      <c r="B719">
        <v>38</v>
      </c>
      <c r="C719">
        <v>191</v>
      </c>
      <c r="D719">
        <v>5</v>
      </c>
      <c r="E719">
        <f t="shared" si="55"/>
        <v>955</v>
      </c>
      <c r="F719" s="30">
        <v>44992</v>
      </c>
      <c r="G719" t="s">
        <v>29</v>
      </c>
      <c r="H719">
        <v>25</v>
      </c>
      <c r="I719" t="str">
        <f>VLOOKUP(B719,товар!$A$1:$C$433,2,FALSE)</f>
        <v>Конфеты</v>
      </c>
      <c r="J719" s="23">
        <f t="shared" si="56"/>
        <v>267.85483870967744</v>
      </c>
      <c r="K719" s="24">
        <f t="shared" si="57"/>
        <v>-0.2869271993737581</v>
      </c>
      <c r="L719" t="str">
        <f>VLOOKUP(B719,товар!$A$1:$C$433,3,FALSE)</f>
        <v>Рот Фронт</v>
      </c>
      <c r="M719">
        <f t="shared" si="58"/>
        <v>288.23809523809524</v>
      </c>
      <c r="N719" s="30">
        <f>VLOOKUP(H719,клиенты!$A$1:$G$435,5,FALSE)</f>
        <v>44582</v>
      </c>
      <c r="O719">
        <f t="shared" si="59"/>
        <v>410</v>
      </c>
    </row>
    <row r="720" spans="1:15" x14ac:dyDescent="0.3">
      <c r="A720">
        <v>719</v>
      </c>
      <c r="B720">
        <v>272</v>
      </c>
      <c r="C720">
        <v>362</v>
      </c>
      <c r="D720">
        <v>2</v>
      </c>
      <c r="E720">
        <f t="shared" si="55"/>
        <v>724</v>
      </c>
      <c r="F720" s="30">
        <v>45025</v>
      </c>
      <c r="G720" t="s">
        <v>33</v>
      </c>
      <c r="H720">
        <v>409</v>
      </c>
      <c r="I720" t="str">
        <f>VLOOKUP(B720,товар!$A$1:$C$433,2,FALSE)</f>
        <v>Крупа</v>
      </c>
      <c r="J720" s="23">
        <f t="shared" si="56"/>
        <v>255.11627906976744</v>
      </c>
      <c r="K720" s="24">
        <f t="shared" si="57"/>
        <v>0.41896080218778486</v>
      </c>
      <c r="L720" t="str">
        <f>VLOOKUP(B720,товар!$A$1:$C$433,3,FALSE)</f>
        <v>Ярмарка</v>
      </c>
      <c r="M720">
        <f t="shared" si="58"/>
        <v>252.09090909090909</v>
      </c>
      <c r="N720" s="30">
        <f>VLOOKUP(H720,клиенты!$A$1:$G$435,5,FALSE)</f>
        <v>44869</v>
      </c>
      <c r="O720">
        <f t="shared" si="59"/>
        <v>156</v>
      </c>
    </row>
    <row r="721" spans="1:15" x14ac:dyDescent="0.3">
      <c r="A721">
        <v>720</v>
      </c>
      <c r="B721">
        <v>426</v>
      </c>
      <c r="C721">
        <v>394</v>
      </c>
      <c r="D721">
        <v>5</v>
      </c>
      <c r="E721">
        <f t="shared" si="55"/>
        <v>1970</v>
      </c>
      <c r="F721" s="30">
        <v>45349</v>
      </c>
      <c r="G721" t="s">
        <v>30</v>
      </c>
      <c r="H721">
        <v>386</v>
      </c>
      <c r="I721" t="str">
        <f>VLOOKUP(B721,товар!$A$1:$C$433,2,FALSE)</f>
        <v>Печенье</v>
      </c>
      <c r="J721" s="23">
        <f t="shared" si="56"/>
        <v>283.468085106383</v>
      </c>
      <c r="K721" s="24">
        <f t="shared" si="57"/>
        <v>0.38992719357502059</v>
      </c>
      <c r="L721" t="str">
        <f>VLOOKUP(B721,товар!$A$1:$C$433,3,FALSE)</f>
        <v>Посиделкино</v>
      </c>
      <c r="M721">
        <f t="shared" si="58"/>
        <v>321.63636363636363</v>
      </c>
      <c r="N721" s="30">
        <f>VLOOKUP(H721,клиенты!$A$1:$G$435,5,FALSE)</f>
        <v>44734</v>
      </c>
      <c r="O721">
        <f t="shared" si="59"/>
        <v>615</v>
      </c>
    </row>
    <row r="722" spans="1:15" x14ac:dyDescent="0.3">
      <c r="A722">
        <v>721</v>
      </c>
      <c r="B722">
        <v>378</v>
      </c>
      <c r="C722">
        <v>203</v>
      </c>
      <c r="D722">
        <v>4</v>
      </c>
      <c r="E722">
        <f t="shared" si="55"/>
        <v>812</v>
      </c>
      <c r="F722" s="30">
        <v>45244</v>
      </c>
      <c r="G722" t="s">
        <v>23</v>
      </c>
      <c r="H722">
        <v>238</v>
      </c>
      <c r="I722" t="str">
        <f>VLOOKUP(B722,товар!$A$1:$C$433,2,FALSE)</f>
        <v>Сок</v>
      </c>
      <c r="J722" s="23">
        <f t="shared" si="56"/>
        <v>268.60344827586209</v>
      </c>
      <c r="K722" s="24">
        <f t="shared" si="57"/>
        <v>-0.24423903973297389</v>
      </c>
      <c r="L722" t="str">
        <f>VLOOKUP(B722,товар!$A$1:$C$433,3,FALSE)</f>
        <v>Фруктовый сад</v>
      </c>
      <c r="M722">
        <f t="shared" si="58"/>
        <v>281.96875</v>
      </c>
      <c r="N722" s="30">
        <f>VLOOKUP(H722,клиенты!$A$1:$G$435,5,FALSE)</f>
        <v>44909</v>
      </c>
      <c r="O722">
        <f t="shared" si="59"/>
        <v>335</v>
      </c>
    </row>
    <row r="723" spans="1:15" x14ac:dyDescent="0.3">
      <c r="A723">
        <v>722</v>
      </c>
      <c r="B723">
        <v>134</v>
      </c>
      <c r="C723">
        <v>450</v>
      </c>
      <c r="D723">
        <v>5</v>
      </c>
      <c r="E723">
        <f t="shared" si="55"/>
        <v>2250</v>
      </c>
      <c r="F723" s="30">
        <v>45061</v>
      </c>
      <c r="G723" t="s">
        <v>15</v>
      </c>
      <c r="H723">
        <v>480</v>
      </c>
      <c r="I723" t="str">
        <f>VLOOKUP(B723,товар!$A$1:$C$433,2,FALSE)</f>
        <v>Рыба</v>
      </c>
      <c r="J723" s="23">
        <f t="shared" si="56"/>
        <v>258.5128205128205</v>
      </c>
      <c r="K723" s="24">
        <f t="shared" si="57"/>
        <v>0.74072604641936124</v>
      </c>
      <c r="L723" t="str">
        <f>VLOOKUP(B723,товар!$A$1:$C$433,3,FALSE)</f>
        <v>Меридиан</v>
      </c>
      <c r="M723">
        <f t="shared" si="58"/>
        <v>260.64705882352939</v>
      </c>
      <c r="N723" s="30">
        <f>VLOOKUP(H723,клиенты!$A$1:$G$435,5,FALSE)</f>
        <v>44568</v>
      </c>
      <c r="O723">
        <f t="shared" si="59"/>
        <v>493</v>
      </c>
    </row>
    <row r="724" spans="1:15" x14ac:dyDescent="0.3">
      <c r="A724">
        <v>723</v>
      </c>
      <c r="B724">
        <v>485</v>
      </c>
      <c r="C724">
        <v>323</v>
      </c>
      <c r="D724">
        <v>1</v>
      </c>
      <c r="E724">
        <f t="shared" si="55"/>
        <v>323</v>
      </c>
      <c r="F724" s="30">
        <v>45144</v>
      </c>
      <c r="G724" t="s">
        <v>32</v>
      </c>
      <c r="H724">
        <v>157</v>
      </c>
      <c r="I724" t="str">
        <f>VLOOKUP(B724,товар!$A$1:$C$433,2,FALSE)</f>
        <v>Макароны</v>
      </c>
      <c r="J724" s="23">
        <f t="shared" si="56"/>
        <v>265.47674418604652</v>
      </c>
      <c r="K724" s="24">
        <f t="shared" si="57"/>
        <v>0.2166790766939688</v>
      </c>
      <c r="L724" t="str">
        <f>VLOOKUP(B724,товар!$A$1:$C$433,3,FALSE)</f>
        <v>Борилла</v>
      </c>
      <c r="M724">
        <f t="shared" si="58"/>
        <v>236.27586206896552</v>
      </c>
      <c r="N724" s="30">
        <f>VLOOKUP(H724,клиенты!$A$1:$G$435,5,FALSE)</f>
        <v>44783</v>
      </c>
      <c r="O724">
        <f t="shared" si="59"/>
        <v>361</v>
      </c>
    </row>
    <row r="725" spans="1:15" x14ac:dyDescent="0.3">
      <c r="A725">
        <v>724</v>
      </c>
      <c r="B725">
        <v>400</v>
      </c>
      <c r="C725">
        <v>358</v>
      </c>
      <c r="D725">
        <v>4</v>
      </c>
      <c r="E725">
        <f t="shared" si="55"/>
        <v>1432</v>
      </c>
      <c r="F725" s="30">
        <v>45103</v>
      </c>
      <c r="G725" t="s">
        <v>17</v>
      </c>
      <c r="H725">
        <v>9</v>
      </c>
      <c r="I725" t="str">
        <f>VLOOKUP(B725,товар!$A$1:$C$433,2,FALSE)</f>
        <v>Молоко</v>
      </c>
      <c r="J725" s="23">
        <f t="shared" si="56"/>
        <v>294.95238095238096</v>
      </c>
      <c r="K725" s="24">
        <f t="shared" si="57"/>
        <v>0.21375524701323867</v>
      </c>
      <c r="L725" t="str">
        <f>VLOOKUP(B725,товар!$A$1:$C$433,3,FALSE)</f>
        <v>Беллакт</v>
      </c>
      <c r="M725">
        <f t="shared" si="58"/>
        <v>322.54545454545456</v>
      </c>
      <c r="N725" s="30">
        <f>VLOOKUP(H725,клиенты!$A$1:$G$435,5,FALSE)</f>
        <v>44900</v>
      </c>
      <c r="O725">
        <f t="shared" si="59"/>
        <v>203</v>
      </c>
    </row>
    <row r="726" spans="1:15" x14ac:dyDescent="0.3">
      <c r="A726">
        <v>725</v>
      </c>
      <c r="B726">
        <v>28</v>
      </c>
      <c r="C726">
        <v>459</v>
      </c>
      <c r="D726">
        <v>1</v>
      </c>
      <c r="E726">
        <f t="shared" si="55"/>
        <v>459</v>
      </c>
      <c r="F726" s="30">
        <v>45377</v>
      </c>
      <c r="G726" t="s">
        <v>15</v>
      </c>
      <c r="H726">
        <v>63</v>
      </c>
      <c r="I726" t="str">
        <f>VLOOKUP(B726,товар!$A$1:$C$433,2,FALSE)</f>
        <v>Крупа</v>
      </c>
      <c r="J726" s="23">
        <f t="shared" si="56"/>
        <v>255.11627906976744</v>
      </c>
      <c r="K726" s="24">
        <f t="shared" si="57"/>
        <v>0.79917958067456696</v>
      </c>
      <c r="L726" t="str">
        <f>VLOOKUP(B726,товар!$A$1:$C$433,3,FALSE)</f>
        <v>Националь</v>
      </c>
      <c r="M726">
        <f t="shared" si="58"/>
        <v>274.28571428571428</v>
      </c>
      <c r="N726" s="30">
        <f>VLOOKUP(H726,клиенты!$A$1:$G$435,5,FALSE)</f>
        <v>44684</v>
      </c>
      <c r="O726">
        <f t="shared" si="59"/>
        <v>693</v>
      </c>
    </row>
    <row r="727" spans="1:15" x14ac:dyDescent="0.3">
      <c r="A727">
        <v>726</v>
      </c>
      <c r="B727">
        <v>195</v>
      </c>
      <c r="C727">
        <v>497</v>
      </c>
      <c r="D727">
        <v>5</v>
      </c>
      <c r="E727">
        <f t="shared" si="55"/>
        <v>2485</v>
      </c>
      <c r="F727" s="30">
        <v>45136</v>
      </c>
      <c r="G727" t="s">
        <v>31</v>
      </c>
      <c r="H727">
        <v>105</v>
      </c>
      <c r="I727" t="str">
        <f>VLOOKUP(B727,товар!$A$1:$C$433,2,FALSE)</f>
        <v>Хлеб</v>
      </c>
      <c r="J727" s="23">
        <f t="shared" si="56"/>
        <v>300.31818181818181</v>
      </c>
      <c r="K727" s="24">
        <f t="shared" si="57"/>
        <v>0.65491145754502811</v>
      </c>
      <c r="L727" t="str">
        <f>VLOOKUP(B727,товар!$A$1:$C$433,3,FALSE)</f>
        <v>Каравай</v>
      </c>
      <c r="M727">
        <f t="shared" si="58"/>
        <v>331.16666666666669</v>
      </c>
      <c r="N727" s="30">
        <f>VLOOKUP(H727,клиенты!$A$1:$G$435,5,FALSE)</f>
        <v>44918</v>
      </c>
      <c r="O727">
        <f t="shared" si="59"/>
        <v>218</v>
      </c>
    </row>
    <row r="728" spans="1:15" x14ac:dyDescent="0.3">
      <c r="A728">
        <v>727</v>
      </c>
      <c r="B728">
        <v>398</v>
      </c>
      <c r="C728">
        <v>361</v>
      </c>
      <c r="D728">
        <v>1</v>
      </c>
      <c r="E728">
        <f t="shared" si="55"/>
        <v>361</v>
      </c>
      <c r="F728" s="30">
        <v>45336</v>
      </c>
      <c r="G728" t="s">
        <v>22</v>
      </c>
      <c r="H728">
        <v>40</v>
      </c>
      <c r="I728" t="str">
        <f>VLOOKUP(B728,товар!$A$1:$C$433,2,FALSE)</f>
        <v>Сок</v>
      </c>
      <c r="J728" s="23">
        <f t="shared" si="56"/>
        <v>268.60344827586209</v>
      </c>
      <c r="K728" s="24">
        <f t="shared" si="57"/>
        <v>0.34398870274086901</v>
      </c>
      <c r="L728" t="str">
        <f>VLOOKUP(B728,товар!$A$1:$C$433,3,FALSE)</f>
        <v>Фруктовый сад</v>
      </c>
      <c r="M728">
        <f t="shared" si="58"/>
        <v>281.96875</v>
      </c>
      <c r="N728" s="30">
        <f>VLOOKUP(H728,клиенты!$A$1:$G$435,5,FALSE)</f>
        <v>44855</v>
      </c>
      <c r="O728">
        <f t="shared" si="59"/>
        <v>481</v>
      </c>
    </row>
    <row r="729" spans="1:15" x14ac:dyDescent="0.3">
      <c r="A729">
        <v>728</v>
      </c>
      <c r="B729">
        <v>77</v>
      </c>
      <c r="C729">
        <v>160</v>
      </c>
      <c r="D729">
        <v>2</v>
      </c>
      <c r="E729">
        <f t="shared" si="55"/>
        <v>320</v>
      </c>
      <c r="F729" s="30">
        <v>45222</v>
      </c>
      <c r="G729" t="s">
        <v>26</v>
      </c>
      <c r="H729">
        <v>260</v>
      </c>
      <c r="I729" t="str">
        <f>VLOOKUP(B729,товар!$A$1:$C$433,2,FALSE)</f>
        <v>Макароны</v>
      </c>
      <c r="J729" s="23">
        <f t="shared" si="56"/>
        <v>265.47674418604652</v>
      </c>
      <c r="K729" s="24">
        <f t="shared" si="57"/>
        <v>-0.39731067408348297</v>
      </c>
      <c r="L729" t="str">
        <f>VLOOKUP(B729,товар!$A$1:$C$433,3,FALSE)</f>
        <v>Паста Зара</v>
      </c>
      <c r="M729">
        <f t="shared" si="58"/>
        <v>276.67567567567568</v>
      </c>
      <c r="N729" s="30">
        <f>VLOOKUP(H729,клиенты!$A$1:$G$435,5,FALSE)</f>
        <v>44729</v>
      </c>
      <c r="O729">
        <f t="shared" si="59"/>
        <v>493</v>
      </c>
    </row>
    <row r="730" spans="1:15" x14ac:dyDescent="0.3">
      <c r="A730">
        <v>729</v>
      </c>
      <c r="B730">
        <v>128</v>
      </c>
      <c r="C730">
        <v>419</v>
      </c>
      <c r="D730">
        <v>5</v>
      </c>
      <c r="E730">
        <f t="shared" si="55"/>
        <v>2095</v>
      </c>
      <c r="F730" s="30">
        <v>44943</v>
      </c>
      <c r="G730" t="s">
        <v>19</v>
      </c>
      <c r="H730">
        <v>220</v>
      </c>
      <c r="I730" t="str">
        <f>VLOOKUP(B730,товар!$A$1:$C$433,2,FALSE)</f>
        <v>Мясо</v>
      </c>
      <c r="J730" s="23">
        <f t="shared" si="56"/>
        <v>271.74545454545455</v>
      </c>
      <c r="K730" s="24">
        <f t="shared" si="57"/>
        <v>0.54188411615147869</v>
      </c>
      <c r="L730" t="str">
        <f>VLOOKUP(B730,товар!$A$1:$C$433,3,FALSE)</f>
        <v>Мираторг</v>
      </c>
      <c r="M730">
        <f t="shared" si="58"/>
        <v>316.58333333333331</v>
      </c>
      <c r="N730" s="30">
        <f>VLOOKUP(H730,клиенты!$A$1:$G$435,5,FALSE)</f>
        <v>44570</v>
      </c>
      <c r="O730">
        <f t="shared" si="59"/>
        <v>373</v>
      </c>
    </row>
    <row r="731" spans="1:15" x14ac:dyDescent="0.3">
      <c r="A731">
        <v>730</v>
      </c>
      <c r="B731">
        <v>328</v>
      </c>
      <c r="C731">
        <v>429</v>
      </c>
      <c r="D731">
        <v>4</v>
      </c>
      <c r="E731">
        <f t="shared" si="55"/>
        <v>1716</v>
      </c>
      <c r="F731" s="30">
        <v>45245</v>
      </c>
      <c r="G731" t="s">
        <v>22</v>
      </c>
      <c r="H731">
        <v>88</v>
      </c>
      <c r="I731" t="str">
        <f>VLOOKUP(B731,товар!$A$1:$C$433,2,FALSE)</f>
        <v>Чипсы</v>
      </c>
      <c r="J731" s="23">
        <f t="shared" si="56"/>
        <v>273.72549019607845</v>
      </c>
      <c r="K731" s="24">
        <f t="shared" si="57"/>
        <v>0.56726361031518602</v>
      </c>
      <c r="L731" t="str">
        <f>VLOOKUP(B731,товар!$A$1:$C$433,3,FALSE)</f>
        <v>Русская картошка</v>
      </c>
      <c r="M731">
        <f t="shared" si="58"/>
        <v>241.83333333333334</v>
      </c>
      <c r="N731" s="30">
        <f>VLOOKUP(H731,клиенты!$A$1:$G$435,5,FALSE)</f>
        <v>44630</v>
      </c>
      <c r="O731">
        <f t="shared" si="59"/>
        <v>615</v>
      </c>
    </row>
    <row r="732" spans="1:15" x14ac:dyDescent="0.3">
      <c r="A732">
        <v>731</v>
      </c>
      <c r="B732">
        <v>455</v>
      </c>
      <c r="C732">
        <v>72</v>
      </c>
      <c r="D732">
        <v>2</v>
      </c>
      <c r="E732">
        <f t="shared" si="55"/>
        <v>144</v>
      </c>
      <c r="F732" s="30">
        <v>45102</v>
      </c>
      <c r="G732" t="s">
        <v>20</v>
      </c>
      <c r="H732">
        <v>66</v>
      </c>
      <c r="I732" t="str">
        <f>VLOOKUP(B732,товар!$A$1:$C$433,2,FALSE)</f>
        <v>Соль</v>
      </c>
      <c r="J732" s="23">
        <f t="shared" si="56"/>
        <v>264.8679245283019</v>
      </c>
      <c r="K732" s="24">
        <f t="shared" si="57"/>
        <v>-0.72816640547086475</v>
      </c>
      <c r="L732" t="str">
        <f>VLOOKUP(B732,товар!$A$1:$C$433,3,FALSE)</f>
        <v>Славянская</v>
      </c>
      <c r="M732">
        <f t="shared" si="58"/>
        <v>236.91666666666666</v>
      </c>
      <c r="N732" s="30">
        <f>VLOOKUP(H732,клиенты!$A$1:$G$435,5,FALSE)</f>
        <v>44777</v>
      </c>
      <c r="O732">
        <f t="shared" si="59"/>
        <v>325</v>
      </c>
    </row>
    <row r="733" spans="1:15" x14ac:dyDescent="0.3">
      <c r="A733">
        <v>732</v>
      </c>
      <c r="B733">
        <v>371</v>
      </c>
      <c r="C733">
        <v>97</v>
      </c>
      <c r="D733">
        <v>3</v>
      </c>
      <c r="E733">
        <f t="shared" si="55"/>
        <v>291</v>
      </c>
      <c r="F733" s="30">
        <v>45134</v>
      </c>
      <c r="G733" t="s">
        <v>16</v>
      </c>
      <c r="H733">
        <v>15</v>
      </c>
      <c r="I733" t="str">
        <f>VLOOKUP(B733,товар!$A$1:$C$433,2,FALSE)</f>
        <v>Сахар</v>
      </c>
      <c r="J733" s="23">
        <f t="shared" si="56"/>
        <v>252.76271186440678</v>
      </c>
      <c r="K733" s="24">
        <f t="shared" si="57"/>
        <v>-0.6162408636759874</v>
      </c>
      <c r="L733" t="str">
        <f>VLOOKUP(B733,товар!$A$1:$C$433,3,FALSE)</f>
        <v>Русский сахар</v>
      </c>
      <c r="M733">
        <f t="shared" si="58"/>
        <v>293.41176470588238</v>
      </c>
      <c r="N733" s="30">
        <f>VLOOKUP(H733,клиенты!$A$1:$G$435,5,FALSE)</f>
        <v>44711</v>
      </c>
      <c r="O733">
        <f t="shared" si="59"/>
        <v>423</v>
      </c>
    </row>
    <row r="734" spans="1:15" x14ac:dyDescent="0.3">
      <c r="A734">
        <v>733</v>
      </c>
      <c r="B734">
        <v>486</v>
      </c>
      <c r="C734">
        <v>57</v>
      </c>
      <c r="D734">
        <v>2</v>
      </c>
      <c r="E734">
        <f t="shared" si="55"/>
        <v>114</v>
      </c>
      <c r="F734" s="30">
        <v>45198</v>
      </c>
      <c r="G734" t="s">
        <v>15</v>
      </c>
      <c r="H734">
        <v>485</v>
      </c>
      <c r="I734" t="str">
        <f>VLOOKUP(B734,товар!$A$1:$C$433,2,FALSE)</f>
        <v>Соль</v>
      </c>
      <c r="J734" s="23">
        <f t="shared" si="56"/>
        <v>264.8679245283019</v>
      </c>
      <c r="K734" s="24">
        <f t="shared" si="57"/>
        <v>-0.78479840433110137</v>
      </c>
      <c r="L734" t="str">
        <f>VLOOKUP(B734,товар!$A$1:$C$433,3,FALSE)</f>
        <v>Илецкая</v>
      </c>
      <c r="M734">
        <f t="shared" si="58"/>
        <v>238.16666666666666</v>
      </c>
      <c r="N734" s="30">
        <f>VLOOKUP(H734,клиенты!$A$1:$G$435,5,FALSE)</f>
        <v>44723</v>
      </c>
      <c r="O734">
        <f t="shared" si="59"/>
        <v>475</v>
      </c>
    </row>
    <row r="735" spans="1:15" x14ac:dyDescent="0.3">
      <c r="A735">
        <v>734</v>
      </c>
      <c r="B735">
        <v>359</v>
      </c>
      <c r="C735">
        <v>126</v>
      </c>
      <c r="D735">
        <v>4</v>
      </c>
      <c r="E735">
        <f t="shared" si="55"/>
        <v>504</v>
      </c>
      <c r="F735" s="30">
        <v>45065</v>
      </c>
      <c r="G735" t="s">
        <v>22</v>
      </c>
      <c r="H735">
        <v>394</v>
      </c>
      <c r="I735" t="str">
        <f>VLOOKUP(B735,товар!$A$1:$C$433,2,FALSE)</f>
        <v>Мясо</v>
      </c>
      <c r="J735" s="23">
        <f t="shared" si="56"/>
        <v>271.74545454545455</v>
      </c>
      <c r="K735" s="24">
        <f t="shared" si="57"/>
        <v>-0.53633079084704938</v>
      </c>
      <c r="L735" t="str">
        <f>VLOOKUP(B735,товар!$A$1:$C$433,3,FALSE)</f>
        <v>Мираторг</v>
      </c>
      <c r="M735">
        <f t="shared" si="58"/>
        <v>316.58333333333331</v>
      </c>
      <c r="N735" s="30">
        <f>VLOOKUP(H735,клиенты!$A$1:$G$435,5,FALSE)</f>
        <v>44708</v>
      </c>
      <c r="O735">
        <f t="shared" si="59"/>
        <v>357</v>
      </c>
    </row>
    <row r="736" spans="1:15" x14ac:dyDescent="0.3">
      <c r="A736">
        <v>735</v>
      </c>
      <c r="B736">
        <v>267</v>
      </c>
      <c r="C736">
        <v>54</v>
      </c>
      <c r="D736">
        <v>2</v>
      </c>
      <c r="E736">
        <f t="shared" si="55"/>
        <v>108</v>
      </c>
      <c r="F736" s="30">
        <v>45251</v>
      </c>
      <c r="G736" t="s">
        <v>30</v>
      </c>
      <c r="H736">
        <v>290</v>
      </c>
      <c r="I736" t="str">
        <f>VLOOKUP(B736,товар!$A$1:$C$433,2,FALSE)</f>
        <v>Овощи</v>
      </c>
      <c r="J736" s="23">
        <f t="shared" si="56"/>
        <v>250.48780487804879</v>
      </c>
      <c r="K736" s="24">
        <f t="shared" si="57"/>
        <v>-0.78442064264849076</v>
      </c>
      <c r="L736" t="str">
        <f>VLOOKUP(B736,товар!$A$1:$C$433,3,FALSE)</f>
        <v>Семко</v>
      </c>
      <c r="M736">
        <f t="shared" si="58"/>
        <v>208</v>
      </c>
      <c r="N736" s="30">
        <f>VLOOKUP(H736,клиенты!$A$1:$G$435,5,FALSE)</f>
        <v>44777</v>
      </c>
      <c r="O736">
        <f t="shared" si="59"/>
        <v>474</v>
      </c>
    </row>
    <row r="737" spans="1:15" x14ac:dyDescent="0.3">
      <c r="A737">
        <v>736</v>
      </c>
      <c r="B737">
        <v>52</v>
      </c>
      <c r="C737">
        <v>150</v>
      </c>
      <c r="D737">
        <v>4</v>
      </c>
      <c r="E737">
        <f t="shared" si="55"/>
        <v>600</v>
      </c>
      <c r="F737" s="30">
        <v>45303</v>
      </c>
      <c r="G737" t="s">
        <v>18</v>
      </c>
      <c r="H737">
        <v>279</v>
      </c>
      <c r="I737" t="str">
        <f>VLOOKUP(B737,товар!$A$1:$C$433,2,FALSE)</f>
        <v>Соль</v>
      </c>
      <c r="J737" s="23">
        <f t="shared" si="56"/>
        <v>264.8679245283019</v>
      </c>
      <c r="K737" s="24">
        <f t="shared" si="57"/>
        <v>-0.43368001139763501</v>
      </c>
      <c r="L737" t="str">
        <f>VLOOKUP(B737,товар!$A$1:$C$433,3,FALSE)</f>
        <v>Илецкая</v>
      </c>
      <c r="M737">
        <f t="shared" si="58"/>
        <v>238.16666666666666</v>
      </c>
      <c r="N737" s="30">
        <f>VLOOKUP(H737,клиенты!$A$1:$G$435,5,FALSE)</f>
        <v>44786</v>
      </c>
      <c r="O737">
        <f t="shared" si="59"/>
        <v>517</v>
      </c>
    </row>
    <row r="738" spans="1:15" x14ac:dyDescent="0.3">
      <c r="A738">
        <v>737</v>
      </c>
      <c r="B738">
        <v>187</v>
      </c>
      <c r="C738">
        <v>233</v>
      </c>
      <c r="D738">
        <v>4</v>
      </c>
      <c r="E738">
        <f t="shared" si="55"/>
        <v>932</v>
      </c>
      <c r="F738" s="30">
        <v>45086</v>
      </c>
      <c r="G738" t="s">
        <v>24</v>
      </c>
      <c r="H738">
        <v>245</v>
      </c>
      <c r="I738" t="str">
        <f>VLOOKUP(B738,товар!$A$1:$C$433,2,FALSE)</f>
        <v>Макароны</v>
      </c>
      <c r="J738" s="23">
        <f t="shared" si="56"/>
        <v>265.47674418604652</v>
      </c>
      <c r="K738" s="24">
        <f t="shared" si="57"/>
        <v>-0.12233366913407206</v>
      </c>
      <c r="L738" t="str">
        <f>VLOOKUP(B738,товар!$A$1:$C$433,3,FALSE)</f>
        <v>Паста Зара</v>
      </c>
      <c r="M738">
        <f t="shared" si="58"/>
        <v>276.67567567567568</v>
      </c>
      <c r="N738" s="30">
        <f>VLOOKUP(H738,клиенты!$A$1:$G$435,5,FALSE)</f>
        <v>44695</v>
      </c>
      <c r="O738">
        <f t="shared" si="59"/>
        <v>391</v>
      </c>
    </row>
    <row r="739" spans="1:15" x14ac:dyDescent="0.3">
      <c r="A739">
        <v>738</v>
      </c>
      <c r="B739">
        <v>118</v>
      </c>
      <c r="C739">
        <v>156</v>
      </c>
      <c r="D739">
        <v>5</v>
      </c>
      <c r="E739">
        <f t="shared" si="55"/>
        <v>780</v>
      </c>
      <c r="F739" s="30">
        <v>45303</v>
      </c>
      <c r="G739" t="s">
        <v>28</v>
      </c>
      <c r="H739">
        <v>261</v>
      </c>
      <c r="I739" t="str">
        <f>VLOOKUP(B739,товар!$A$1:$C$433,2,FALSE)</f>
        <v>Сахар</v>
      </c>
      <c r="J739" s="23">
        <f t="shared" si="56"/>
        <v>252.76271186440678</v>
      </c>
      <c r="K739" s="24">
        <f t="shared" si="57"/>
        <v>-0.38282035807684567</v>
      </c>
      <c r="L739" t="str">
        <f>VLOOKUP(B739,товар!$A$1:$C$433,3,FALSE)</f>
        <v>Продимекс</v>
      </c>
      <c r="M739">
        <f t="shared" si="58"/>
        <v>240.5</v>
      </c>
      <c r="N739" s="30">
        <f>VLOOKUP(H739,клиенты!$A$1:$G$435,5,FALSE)</f>
        <v>44848</v>
      </c>
      <c r="O739">
        <f t="shared" si="59"/>
        <v>455</v>
      </c>
    </row>
    <row r="740" spans="1:15" x14ac:dyDescent="0.3">
      <c r="A740">
        <v>739</v>
      </c>
      <c r="B740">
        <v>218</v>
      </c>
      <c r="C740">
        <v>383</v>
      </c>
      <c r="D740">
        <v>2</v>
      </c>
      <c r="E740">
        <f t="shared" si="55"/>
        <v>766</v>
      </c>
      <c r="F740" s="30">
        <v>45338</v>
      </c>
      <c r="G740" t="s">
        <v>16</v>
      </c>
      <c r="H740">
        <v>9</v>
      </c>
      <c r="I740" t="str">
        <f>VLOOKUP(B740,товар!$A$1:$C$433,2,FALSE)</f>
        <v>Колбаса</v>
      </c>
      <c r="J740" s="23">
        <f t="shared" si="56"/>
        <v>286.92307692307691</v>
      </c>
      <c r="K740" s="24">
        <f t="shared" si="57"/>
        <v>0.33485254691689015</v>
      </c>
      <c r="L740" t="str">
        <f>VLOOKUP(B740,товар!$A$1:$C$433,3,FALSE)</f>
        <v>Дымов</v>
      </c>
      <c r="M740">
        <f t="shared" si="58"/>
        <v>312.66666666666669</v>
      </c>
      <c r="N740" s="30">
        <f>VLOOKUP(H740,клиенты!$A$1:$G$435,5,FALSE)</f>
        <v>44900</v>
      </c>
      <c r="O740">
        <f t="shared" si="59"/>
        <v>438</v>
      </c>
    </row>
    <row r="741" spans="1:15" x14ac:dyDescent="0.3">
      <c r="A741">
        <v>740</v>
      </c>
      <c r="B741">
        <v>46</v>
      </c>
      <c r="C741">
        <v>370</v>
      </c>
      <c r="D741">
        <v>5</v>
      </c>
      <c r="E741">
        <f t="shared" si="55"/>
        <v>1850</v>
      </c>
      <c r="F741" s="30">
        <v>45034</v>
      </c>
      <c r="G741" t="s">
        <v>32</v>
      </c>
      <c r="H741">
        <v>103</v>
      </c>
      <c r="I741" t="str">
        <f>VLOOKUP(B741,товар!$A$1:$C$433,2,FALSE)</f>
        <v>Йогурт</v>
      </c>
      <c r="J741" s="23">
        <f t="shared" si="56"/>
        <v>263.25423728813558</v>
      </c>
      <c r="K741" s="24">
        <f t="shared" si="57"/>
        <v>0.40548544939479791</v>
      </c>
      <c r="L741" t="str">
        <f>VLOOKUP(B741,товар!$A$1:$C$433,3,FALSE)</f>
        <v>Активиа</v>
      </c>
      <c r="M741">
        <f t="shared" si="58"/>
        <v>293.66666666666669</v>
      </c>
      <c r="N741" s="30">
        <f>VLOOKUP(H741,клиенты!$A$1:$G$435,5,FALSE)</f>
        <v>44787</v>
      </c>
      <c r="O741">
        <f t="shared" si="59"/>
        <v>247</v>
      </c>
    </row>
    <row r="742" spans="1:15" x14ac:dyDescent="0.3">
      <c r="A742">
        <v>741</v>
      </c>
      <c r="B742">
        <v>263</v>
      </c>
      <c r="C742">
        <v>173</v>
      </c>
      <c r="D742">
        <v>3</v>
      </c>
      <c r="E742">
        <f t="shared" si="55"/>
        <v>519</v>
      </c>
      <c r="F742" s="30">
        <v>45390</v>
      </c>
      <c r="G742" t="s">
        <v>29</v>
      </c>
      <c r="H742">
        <v>142</v>
      </c>
      <c r="I742" t="str">
        <f>VLOOKUP(B742,товар!$A$1:$C$433,2,FALSE)</f>
        <v>Йогурт</v>
      </c>
      <c r="J742" s="23">
        <f t="shared" si="56"/>
        <v>263.25423728813558</v>
      </c>
      <c r="K742" s="24">
        <f t="shared" si="57"/>
        <v>-0.34284058717486476</v>
      </c>
      <c r="L742" t="str">
        <f>VLOOKUP(B742,товар!$A$1:$C$433,3,FALSE)</f>
        <v>Активиа</v>
      </c>
      <c r="M742">
        <f t="shared" si="58"/>
        <v>293.66666666666669</v>
      </c>
      <c r="N742" s="30">
        <f>VLOOKUP(H742,клиенты!$A$1:$G$435,5,FALSE)</f>
        <v>44683</v>
      </c>
      <c r="O742">
        <f t="shared" si="59"/>
        <v>707</v>
      </c>
    </row>
    <row r="743" spans="1:15" x14ac:dyDescent="0.3">
      <c r="A743">
        <v>742</v>
      </c>
      <c r="B743">
        <v>201</v>
      </c>
      <c r="C743">
        <v>113</v>
      </c>
      <c r="D743">
        <v>5</v>
      </c>
      <c r="E743">
        <f t="shared" si="55"/>
        <v>565</v>
      </c>
      <c r="F743" s="30">
        <v>44959</v>
      </c>
      <c r="G743" t="s">
        <v>28</v>
      </c>
      <c r="H743">
        <v>470</v>
      </c>
      <c r="I743" t="str">
        <f>VLOOKUP(B743,товар!$A$1:$C$433,2,FALSE)</f>
        <v>Печенье</v>
      </c>
      <c r="J743" s="23">
        <f t="shared" si="56"/>
        <v>283.468085106383</v>
      </c>
      <c r="K743" s="24">
        <f t="shared" si="57"/>
        <v>-0.60136605869548898</v>
      </c>
      <c r="L743" t="str">
        <f>VLOOKUP(B743,товар!$A$1:$C$433,3,FALSE)</f>
        <v>Белогорье</v>
      </c>
      <c r="M743">
        <f t="shared" si="58"/>
        <v>249.5</v>
      </c>
      <c r="N743" s="30">
        <f>VLOOKUP(H743,клиенты!$A$1:$G$435,5,FALSE)</f>
        <v>44690</v>
      </c>
      <c r="O743">
        <f t="shared" si="59"/>
        <v>269</v>
      </c>
    </row>
    <row r="744" spans="1:15" x14ac:dyDescent="0.3">
      <c r="A744">
        <v>743</v>
      </c>
      <c r="B744">
        <v>434</v>
      </c>
      <c r="C744">
        <v>366</v>
      </c>
      <c r="D744">
        <v>4</v>
      </c>
      <c r="E744">
        <f t="shared" si="55"/>
        <v>1464</v>
      </c>
      <c r="F744" s="30">
        <v>45107</v>
      </c>
      <c r="G744" t="s">
        <v>20</v>
      </c>
      <c r="H744">
        <v>490</v>
      </c>
      <c r="I744" t="str">
        <f>VLOOKUP(B744,товар!$A$1:$C$433,2,FALSE)</f>
        <v>Сыр</v>
      </c>
      <c r="J744" s="23">
        <f t="shared" si="56"/>
        <v>262.63492063492066</v>
      </c>
      <c r="K744" s="24">
        <f t="shared" si="57"/>
        <v>0.39356944276562289</v>
      </c>
      <c r="L744" t="str">
        <f>VLOOKUP(B744,товар!$A$1:$C$433,3,FALSE)</f>
        <v>Сырная долина</v>
      </c>
      <c r="M744">
        <f t="shared" si="58"/>
        <v>271</v>
      </c>
      <c r="N744" s="30">
        <f>VLOOKUP(H744,клиенты!$A$1:$G$435,5,FALSE)</f>
        <v>44603</v>
      </c>
      <c r="O744">
        <f t="shared" si="59"/>
        <v>504</v>
      </c>
    </row>
    <row r="745" spans="1:15" x14ac:dyDescent="0.3">
      <c r="A745">
        <v>744</v>
      </c>
      <c r="B745">
        <v>99</v>
      </c>
      <c r="C745">
        <v>92</v>
      </c>
      <c r="D745">
        <v>4</v>
      </c>
      <c r="E745">
        <f t="shared" si="55"/>
        <v>368</v>
      </c>
      <c r="F745" s="30">
        <v>45073</v>
      </c>
      <c r="G745" t="s">
        <v>21</v>
      </c>
      <c r="H745">
        <v>255</v>
      </c>
      <c r="I745" t="str">
        <f>VLOOKUP(B745,товар!$A$1:$C$433,2,FALSE)</f>
        <v>Овощи</v>
      </c>
      <c r="J745" s="23">
        <f t="shared" si="56"/>
        <v>250.48780487804879</v>
      </c>
      <c r="K745" s="24">
        <f t="shared" si="57"/>
        <v>-0.63271665043816938</v>
      </c>
      <c r="L745" t="str">
        <f>VLOOKUP(B745,товар!$A$1:$C$433,3,FALSE)</f>
        <v>Семко</v>
      </c>
      <c r="M745">
        <f t="shared" si="58"/>
        <v>208</v>
      </c>
      <c r="N745" s="30">
        <f>VLOOKUP(H745,клиенты!$A$1:$G$435,5,FALSE)</f>
        <v>44793</v>
      </c>
      <c r="O745">
        <f t="shared" si="59"/>
        <v>280</v>
      </c>
    </row>
    <row r="746" spans="1:15" x14ac:dyDescent="0.3">
      <c r="A746">
        <v>745</v>
      </c>
      <c r="B746">
        <v>357</v>
      </c>
      <c r="C746">
        <v>290</v>
      </c>
      <c r="D746">
        <v>4</v>
      </c>
      <c r="E746">
        <f t="shared" si="55"/>
        <v>1160</v>
      </c>
      <c r="F746" s="30">
        <v>45077</v>
      </c>
      <c r="G746" t="s">
        <v>20</v>
      </c>
      <c r="H746">
        <v>422</v>
      </c>
      <c r="I746" t="str">
        <f>VLOOKUP(B746,товар!$A$1:$C$433,2,FALSE)</f>
        <v>Мясо</v>
      </c>
      <c r="J746" s="23">
        <f t="shared" si="56"/>
        <v>271.74545454545455</v>
      </c>
      <c r="K746" s="24">
        <f t="shared" si="57"/>
        <v>6.7175163923457681E-2</v>
      </c>
      <c r="L746" t="str">
        <f>VLOOKUP(B746,товар!$A$1:$C$433,3,FALSE)</f>
        <v>Снежана</v>
      </c>
      <c r="M746">
        <f t="shared" si="58"/>
        <v>272.35294117647061</v>
      </c>
      <c r="N746" s="30">
        <f>VLOOKUP(H746,клиенты!$A$1:$G$435,5,FALSE)</f>
        <v>44784</v>
      </c>
      <c r="O746">
        <f t="shared" si="59"/>
        <v>293</v>
      </c>
    </row>
    <row r="747" spans="1:15" x14ac:dyDescent="0.3">
      <c r="A747">
        <v>746</v>
      </c>
      <c r="B747">
        <v>337</v>
      </c>
      <c r="C747">
        <v>453</v>
      </c>
      <c r="D747">
        <v>4</v>
      </c>
      <c r="E747">
        <f t="shared" si="55"/>
        <v>1812</v>
      </c>
      <c r="F747" s="30">
        <v>45415</v>
      </c>
      <c r="G747" t="s">
        <v>33</v>
      </c>
      <c r="H747">
        <v>115</v>
      </c>
      <c r="I747" t="str">
        <f>VLOOKUP(B747,товар!$A$1:$C$433,2,FALSE)</f>
        <v>Макароны</v>
      </c>
      <c r="J747" s="23">
        <f t="shared" si="56"/>
        <v>265.47674418604652</v>
      </c>
      <c r="K747" s="24">
        <f t="shared" si="57"/>
        <v>0.70636415400113872</v>
      </c>
      <c r="L747" t="str">
        <f>VLOOKUP(B747,товар!$A$1:$C$433,3,FALSE)</f>
        <v>Паста Зара</v>
      </c>
      <c r="M747">
        <f t="shared" si="58"/>
        <v>276.67567567567568</v>
      </c>
      <c r="N747" s="30">
        <f>VLOOKUP(H747,клиенты!$A$1:$G$435,5,FALSE)</f>
        <v>44832</v>
      </c>
      <c r="O747">
        <f t="shared" si="59"/>
        <v>583</v>
      </c>
    </row>
    <row r="748" spans="1:15" x14ac:dyDescent="0.3">
      <c r="A748">
        <v>747</v>
      </c>
      <c r="B748">
        <v>230</v>
      </c>
      <c r="C748">
        <v>104</v>
      </c>
      <c r="D748">
        <v>4</v>
      </c>
      <c r="E748">
        <f t="shared" si="55"/>
        <v>416</v>
      </c>
      <c r="F748" s="30">
        <v>44965</v>
      </c>
      <c r="G748" t="s">
        <v>19</v>
      </c>
      <c r="H748">
        <v>163</v>
      </c>
      <c r="I748" t="str">
        <f>VLOOKUP(B748,товар!$A$1:$C$433,2,FALSE)</f>
        <v>Сок</v>
      </c>
      <c r="J748" s="23">
        <f t="shared" si="56"/>
        <v>268.60344827586209</v>
      </c>
      <c r="K748" s="24">
        <f t="shared" si="57"/>
        <v>-0.61281211887797682</v>
      </c>
      <c r="L748" t="str">
        <f>VLOOKUP(B748,товар!$A$1:$C$433,3,FALSE)</f>
        <v>Фруктовый сад</v>
      </c>
      <c r="M748">
        <f t="shared" si="58"/>
        <v>281.96875</v>
      </c>
      <c r="N748" s="30">
        <f>VLOOKUP(H748,клиенты!$A$1:$G$435,5,FALSE)</f>
        <v>44571</v>
      </c>
      <c r="O748">
        <f t="shared" si="59"/>
        <v>394</v>
      </c>
    </row>
    <row r="749" spans="1:15" x14ac:dyDescent="0.3">
      <c r="A749">
        <v>748</v>
      </c>
      <c r="B749">
        <v>293</v>
      </c>
      <c r="C749">
        <v>57</v>
      </c>
      <c r="D749">
        <v>5</v>
      </c>
      <c r="E749">
        <f t="shared" si="55"/>
        <v>285</v>
      </c>
      <c r="F749" s="30">
        <v>45004</v>
      </c>
      <c r="G749" t="s">
        <v>33</v>
      </c>
      <c r="H749">
        <v>248</v>
      </c>
      <c r="I749" t="str">
        <f>VLOOKUP(B749,товар!$A$1:$C$433,2,FALSE)</f>
        <v>Конфеты</v>
      </c>
      <c r="J749" s="23">
        <f t="shared" si="56"/>
        <v>267.85483870967744</v>
      </c>
      <c r="K749" s="24">
        <f t="shared" si="57"/>
        <v>-0.78719816944661891</v>
      </c>
      <c r="L749" t="str">
        <f>VLOOKUP(B749,товар!$A$1:$C$433,3,FALSE)</f>
        <v>Бабаевский</v>
      </c>
      <c r="M749">
        <f t="shared" si="58"/>
        <v>250.25925925925927</v>
      </c>
      <c r="N749" s="30">
        <f>VLOOKUP(H749,клиенты!$A$1:$G$435,5,FALSE)</f>
        <v>44694</v>
      </c>
      <c r="O749">
        <f t="shared" si="59"/>
        <v>310</v>
      </c>
    </row>
    <row r="750" spans="1:15" x14ac:dyDescent="0.3">
      <c r="A750">
        <v>749</v>
      </c>
      <c r="B750">
        <v>254</v>
      </c>
      <c r="C750">
        <v>326</v>
      </c>
      <c r="D750">
        <v>1</v>
      </c>
      <c r="E750">
        <f t="shared" si="55"/>
        <v>326</v>
      </c>
      <c r="F750" s="30">
        <v>45372</v>
      </c>
      <c r="G750" t="s">
        <v>17</v>
      </c>
      <c r="H750">
        <v>201</v>
      </c>
      <c r="I750" t="str">
        <f>VLOOKUP(B750,товар!$A$1:$C$433,2,FALSE)</f>
        <v>Соль</v>
      </c>
      <c r="J750" s="23">
        <f t="shared" si="56"/>
        <v>264.8679245283019</v>
      </c>
      <c r="K750" s="24">
        <f t="shared" si="57"/>
        <v>0.23080210856247318</v>
      </c>
      <c r="L750" t="str">
        <f>VLOOKUP(B750,товар!$A$1:$C$433,3,FALSE)</f>
        <v>Илецкая</v>
      </c>
      <c r="M750">
        <f t="shared" si="58"/>
        <v>238.16666666666666</v>
      </c>
      <c r="N750" s="30">
        <f>VLOOKUP(H750,клиенты!$A$1:$G$435,5,FALSE)</f>
        <v>44843</v>
      </c>
      <c r="O750">
        <f t="shared" si="59"/>
        <v>529</v>
      </c>
    </row>
    <row r="751" spans="1:15" x14ac:dyDescent="0.3">
      <c r="A751">
        <v>750</v>
      </c>
      <c r="B751">
        <v>248</v>
      </c>
      <c r="C751">
        <v>176</v>
      </c>
      <c r="D751">
        <v>5</v>
      </c>
      <c r="E751">
        <f t="shared" si="55"/>
        <v>880</v>
      </c>
      <c r="F751" s="30">
        <v>44946</v>
      </c>
      <c r="G751" t="s">
        <v>23</v>
      </c>
      <c r="H751">
        <v>434</v>
      </c>
      <c r="I751" t="str">
        <f>VLOOKUP(B751,товар!$A$1:$C$433,2,FALSE)</f>
        <v>Конфеты</v>
      </c>
      <c r="J751" s="23">
        <f t="shared" si="56"/>
        <v>267.85483870967744</v>
      </c>
      <c r="K751" s="24">
        <f t="shared" si="57"/>
        <v>-0.34292768109833205</v>
      </c>
      <c r="L751" t="str">
        <f>VLOOKUP(B751,товар!$A$1:$C$433,3,FALSE)</f>
        <v>Красный Октябрь</v>
      </c>
      <c r="M751">
        <f t="shared" si="58"/>
        <v>273.625</v>
      </c>
      <c r="N751" s="30">
        <f>VLOOKUP(H751,клиенты!$A$1:$G$435,5,FALSE)</f>
        <v>44730</v>
      </c>
      <c r="O751">
        <f t="shared" si="59"/>
        <v>216</v>
      </c>
    </row>
    <row r="752" spans="1:15" x14ac:dyDescent="0.3">
      <c r="A752">
        <v>751</v>
      </c>
      <c r="B752">
        <v>156</v>
      </c>
      <c r="C752">
        <v>490</v>
      </c>
      <c r="D752">
        <v>1</v>
      </c>
      <c r="E752">
        <f t="shared" si="55"/>
        <v>490</v>
      </c>
      <c r="F752" s="30">
        <v>45237</v>
      </c>
      <c r="G752" t="s">
        <v>24</v>
      </c>
      <c r="H752">
        <v>140</v>
      </c>
      <c r="I752" t="str">
        <f>VLOOKUP(B752,товар!$A$1:$C$433,2,FALSE)</f>
        <v>Фрукты</v>
      </c>
      <c r="J752" s="23">
        <f t="shared" si="56"/>
        <v>274.16279069767444</v>
      </c>
      <c r="K752" s="24">
        <f t="shared" si="57"/>
        <v>0.78725930952582912</v>
      </c>
      <c r="L752" t="str">
        <f>VLOOKUP(B752,товар!$A$1:$C$433,3,FALSE)</f>
        <v>Фрукты-Ягоды</v>
      </c>
      <c r="M752">
        <f t="shared" si="58"/>
        <v>280.66666666666669</v>
      </c>
      <c r="N752" s="30">
        <f>VLOOKUP(H752,клиенты!$A$1:$G$435,5,FALSE)</f>
        <v>44627</v>
      </c>
      <c r="O752">
        <f t="shared" si="59"/>
        <v>610</v>
      </c>
    </row>
    <row r="753" spans="1:15" x14ac:dyDescent="0.3">
      <c r="A753">
        <v>752</v>
      </c>
      <c r="B753">
        <v>370</v>
      </c>
      <c r="C753">
        <v>95</v>
      </c>
      <c r="D753">
        <v>5</v>
      </c>
      <c r="E753">
        <f t="shared" si="55"/>
        <v>475</v>
      </c>
      <c r="F753" s="30">
        <v>45202</v>
      </c>
      <c r="G753" t="s">
        <v>20</v>
      </c>
      <c r="H753">
        <v>250</v>
      </c>
      <c r="I753" t="str">
        <f>VLOOKUP(B753,товар!$A$1:$C$433,2,FALSE)</f>
        <v>Сок</v>
      </c>
      <c r="J753" s="23">
        <f t="shared" si="56"/>
        <v>268.60344827586209</v>
      </c>
      <c r="K753" s="24">
        <f t="shared" si="57"/>
        <v>-0.64631876243661335</v>
      </c>
      <c r="L753" t="str">
        <f>VLOOKUP(B753,товар!$A$1:$C$433,3,FALSE)</f>
        <v>Фруктовый сад</v>
      </c>
      <c r="M753">
        <f t="shared" si="58"/>
        <v>281.96875</v>
      </c>
      <c r="N753" s="30">
        <f>VLOOKUP(H753,клиенты!$A$1:$G$435,5,FALSE)</f>
        <v>44856</v>
      </c>
      <c r="O753">
        <f t="shared" si="59"/>
        <v>346</v>
      </c>
    </row>
    <row r="754" spans="1:15" x14ac:dyDescent="0.3">
      <c r="A754">
        <v>753</v>
      </c>
      <c r="B754">
        <v>61</v>
      </c>
      <c r="C754">
        <v>183</v>
      </c>
      <c r="D754">
        <v>5</v>
      </c>
      <c r="E754">
        <f t="shared" si="55"/>
        <v>915</v>
      </c>
      <c r="F754" s="30">
        <v>45062</v>
      </c>
      <c r="G754" t="s">
        <v>24</v>
      </c>
      <c r="H754">
        <v>191</v>
      </c>
      <c r="I754" t="str">
        <f>VLOOKUP(B754,товар!$A$1:$C$433,2,FALSE)</f>
        <v>Йогурт</v>
      </c>
      <c r="J754" s="23">
        <f t="shared" si="56"/>
        <v>263.25423728813558</v>
      </c>
      <c r="K754" s="24">
        <f t="shared" si="57"/>
        <v>-0.30485449394797837</v>
      </c>
      <c r="L754" t="str">
        <f>VLOOKUP(B754,товар!$A$1:$C$433,3,FALSE)</f>
        <v>Эрманн</v>
      </c>
      <c r="M754">
        <f t="shared" si="58"/>
        <v>248.5</v>
      </c>
      <c r="N754" s="30">
        <f>VLOOKUP(H754,клиенты!$A$1:$G$435,5,FALSE)</f>
        <v>44866</v>
      </c>
      <c r="O754">
        <f t="shared" si="59"/>
        <v>196</v>
      </c>
    </row>
    <row r="755" spans="1:15" x14ac:dyDescent="0.3">
      <c r="A755">
        <v>754</v>
      </c>
      <c r="B755">
        <v>246</v>
      </c>
      <c r="C755">
        <v>302</v>
      </c>
      <c r="D755">
        <v>5</v>
      </c>
      <c r="E755">
        <f t="shared" si="55"/>
        <v>1510</v>
      </c>
      <c r="F755" s="30">
        <v>45407</v>
      </c>
      <c r="G755" t="s">
        <v>20</v>
      </c>
      <c r="H755">
        <v>336</v>
      </c>
      <c r="I755" t="str">
        <f>VLOOKUP(B755,товар!$A$1:$C$433,2,FALSE)</f>
        <v>Сыр</v>
      </c>
      <c r="J755" s="23">
        <f t="shared" si="56"/>
        <v>262.63492063492066</v>
      </c>
      <c r="K755" s="24">
        <f t="shared" si="57"/>
        <v>0.14988516862081469</v>
      </c>
      <c r="L755" t="str">
        <f>VLOOKUP(B755,товар!$A$1:$C$433,3,FALSE)</f>
        <v>President</v>
      </c>
      <c r="M755">
        <f t="shared" si="58"/>
        <v>238.72222222222223</v>
      </c>
      <c r="N755" s="30">
        <f>VLOOKUP(H755,клиенты!$A$1:$G$435,5,FALSE)</f>
        <v>44856</v>
      </c>
      <c r="O755">
        <f t="shared" si="59"/>
        <v>551</v>
      </c>
    </row>
    <row r="756" spans="1:15" x14ac:dyDescent="0.3">
      <c r="A756">
        <v>755</v>
      </c>
      <c r="B756">
        <v>322</v>
      </c>
      <c r="C756">
        <v>417</v>
      </c>
      <c r="D756">
        <v>2</v>
      </c>
      <c r="E756">
        <f t="shared" si="55"/>
        <v>834</v>
      </c>
      <c r="F756" s="30">
        <v>45376</v>
      </c>
      <c r="G756" t="s">
        <v>31</v>
      </c>
      <c r="H756">
        <v>3</v>
      </c>
      <c r="I756" t="str">
        <f>VLOOKUP(B756,товар!$A$1:$C$433,2,FALSE)</f>
        <v>Крупа</v>
      </c>
      <c r="J756" s="23">
        <f t="shared" si="56"/>
        <v>255.11627906976744</v>
      </c>
      <c r="K756" s="24">
        <f t="shared" si="57"/>
        <v>0.6345487693710119</v>
      </c>
      <c r="L756" t="str">
        <f>VLOOKUP(B756,товар!$A$1:$C$433,3,FALSE)</f>
        <v>Увелка</v>
      </c>
      <c r="M756">
        <f t="shared" si="58"/>
        <v>251.91666666666666</v>
      </c>
      <c r="N756" s="30">
        <f>VLOOKUP(H756,клиенты!$A$1:$G$435,5,FALSE)</f>
        <v>44666</v>
      </c>
      <c r="O756">
        <f t="shared" si="59"/>
        <v>710</v>
      </c>
    </row>
    <row r="757" spans="1:15" x14ac:dyDescent="0.3">
      <c r="A757">
        <v>756</v>
      </c>
      <c r="B757">
        <v>51</v>
      </c>
      <c r="C757">
        <v>439</v>
      </c>
      <c r="D757">
        <v>5</v>
      </c>
      <c r="E757">
        <f t="shared" si="55"/>
        <v>2195</v>
      </c>
      <c r="F757" s="30">
        <v>45353</v>
      </c>
      <c r="G757" t="s">
        <v>24</v>
      </c>
      <c r="H757">
        <v>435</v>
      </c>
      <c r="I757" t="str">
        <f>VLOOKUP(B757,товар!$A$1:$C$433,2,FALSE)</f>
        <v>Колбаса</v>
      </c>
      <c r="J757" s="23">
        <f t="shared" si="56"/>
        <v>286.92307692307691</v>
      </c>
      <c r="K757" s="24">
        <f t="shared" si="57"/>
        <v>0.53002680965147464</v>
      </c>
      <c r="L757" t="str">
        <f>VLOOKUP(B757,товар!$A$1:$C$433,3,FALSE)</f>
        <v>Дымов</v>
      </c>
      <c r="M757">
        <f t="shared" si="58"/>
        <v>312.66666666666669</v>
      </c>
      <c r="N757" s="30">
        <f>VLOOKUP(H757,клиенты!$A$1:$G$435,5,FALSE)</f>
        <v>44618</v>
      </c>
      <c r="O757">
        <f t="shared" si="59"/>
        <v>735</v>
      </c>
    </row>
    <row r="758" spans="1:15" x14ac:dyDescent="0.3">
      <c r="A758">
        <v>757</v>
      </c>
      <c r="B758">
        <v>189</v>
      </c>
      <c r="C758">
        <v>136</v>
      </c>
      <c r="D758">
        <v>5</v>
      </c>
      <c r="E758">
        <f t="shared" si="55"/>
        <v>680</v>
      </c>
      <c r="F758" s="30">
        <v>45232</v>
      </c>
      <c r="G758" t="s">
        <v>33</v>
      </c>
      <c r="H758">
        <v>80</v>
      </c>
      <c r="I758" t="str">
        <f>VLOOKUP(B758,товар!$A$1:$C$433,2,FALSE)</f>
        <v>Хлеб</v>
      </c>
      <c r="J758" s="23">
        <f t="shared" si="56"/>
        <v>300.31818181818181</v>
      </c>
      <c r="K758" s="24">
        <f t="shared" si="57"/>
        <v>-0.54714696533979112</v>
      </c>
      <c r="L758" t="str">
        <f>VLOOKUP(B758,товар!$A$1:$C$433,3,FALSE)</f>
        <v>Дарница</v>
      </c>
      <c r="M758">
        <f t="shared" si="58"/>
        <v>264</v>
      </c>
      <c r="N758" s="30">
        <f>VLOOKUP(H758,клиенты!$A$1:$G$435,5,FALSE)</f>
        <v>44623</v>
      </c>
      <c r="O758">
        <f t="shared" si="59"/>
        <v>609</v>
      </c>
    </row>
    <row r="759" spans="1:15" x14ac:dyDescent="0.3">
      <c r="A759">
        <v>758</v>
      </c>
      <c r="B759">
        <v>67</v>
      </c>
      <c r="C759">
        <v>274</v>
      </c>
      <c r="D759">
        <v>4</v>
      </c>
      <c r="E759">
        <f t="shared" si="55"/>
        <v>1096</v>
      </c>
      <c r="F759" s="30">
        <v>45298</v>
      </c>
      <c r="G759" t="s">
        <v>17</v>
      </c>
      <c r="H759">
        <v>262</v>
      </c>
      <c r="I759" t="str">
        <f>VLOOKUP(B759,товар!$A$1:$C$433,2,FALSE)</f>
        <v>Йогурт</v>
      </c>
      <c r="J759" s="23">
        <f t="shared" si="56"/>
        <v>263.25423728813558</v>
      </c>
      <c r="K759" s="24">
        <f t="shared" si="57"/>
        <v>4.0818954416688147E-2</v>
      </c>
      <c r="L759" t="str">
        <f>VLOOKUP(B759,товар!$A$1:$C$433,3,FALSE)</f>
        <v>Чудо</v>
      </c>
      <c r="M759">
        <f t="shared" si="58"/>
        <v>287.10000000000002</v>
      </c>
      <c r="N759" s="30">
        <f>VLOOKUP(H759,клиенты!$A$1:$G$435,5,FALSE)</f>
        <v>44778</v>
      </c>
      <c r="O759">
        <f t="shared" si="59"/>
        <v>520</v>
      </c>
    </row>
    <row r="760" spans="1:15" x14ac:dyDescent="0.3">
      <c r="A760">
        <v>759</v>
      </c>
      <c r="B760">
        <v>301</v>
      </c>
      <c r="C760">
        <v>189</v>
      </c>
      <c r="D760">
        <v>3</v>
      </c>
      <c r="E760">
        <f t="shared" si="55"/>
        <v>567</v>
      </c>
      <c r="F760" s="30">
        <v>45144</v>
      </c>
      <c r="G760" t="s">
        <v>30</v>
      </c>
      <c r="H760">
        <v>43</v>
      </c>
      <c r="I760" t="str">
        <f>VLOOKUP(B760,товар!$A$1:$C$433,2,FALSE)</f>
        <v>Фрукты</v>
      </c>
      <c r="J760" s="23">
        <f t="shared" si="56"/>
        <v>274.16279069767444</v>
      </c>
      <c r="K760" s="24">
        <f t="shared" si="57"/>
        <v>-0.31062855204003736</v>
      </c>
      <c r="L760" t="str">
        <f>VLOOKUP(B760,товар!$A$1:$C$433,3,FALSE)</f>
        <v>Экзотик</v>
      </c>
      <c r="M760">
        <f t="shared" si="58"/>
        <v>253.6875</v>
      </c>
      <c r="N760" s="30">
        <f>VLOOKUP(H760,клиенты!$A$1:$G$435,5,FALSE)</f>
        <v>44912</v>
      </c>
      <c r="O760">
        <f t="shared" si="59"/>
        <v>232</v>
      </c>
    </row>
    <row r="761" spans="1:15" x14ac:dyDescent="0.3">
      <c r="A761">
        <v>760</v>
      </c>
      <c r="B761">
        <v>463</v>
      </c>
      <c r="C761">
        <v>77</v>
      </c>
      <c r="D761">
        <v>4</v>
      </c>
      <c r="E761">
        <f t="shared" si="55"/>
        <v>308</v>
      </c>
      <c r="F761" s="30">
        <v>45293</v>
      </c>
      <c r="G761" t="s">
        <v>28</v>
      </c>
      <c r="H761">
        <v>163</v>
      </c>
      <c r="I761" t="str">
        <f>VLOOKUP(B761,товар!$A$1:$C$433,2,FALSE)</f>
        <v>Кофе</v>
      </c>
      <c r="J761" s="23">
        <f t="shared" si="56"/>
        <v>249.02380952380952</v>
      </c>
      <c r="K761" s="24">
        <f t="shared" si="57"/>
        <v>-0.69079261879720821</v>
      </c>
      <c r="L761" t="str">
        <f>VLOOKUP(B761,товар!$A$1:$C$433,3,FALSE)</f>
        <v>Черная Карта</v>
      </c>
      <c r="M761">
        <f t="shared" si="58"/>
        <v>222.2</v>
      </c>
      <c r="N761" s="30">
        <f>VLOOKUP(H761,клиенты!$A$1:$G$435,5,FALSE)</f>
        <v>44571</v>
      </c>
      <c r="O761">
        <f t="shared" si="59"/>
        <v>722</v>
      </c>
    </row>
    <row r="762" spans="1:15" x14ac:dyDescent="0.3">
      <c r="A762">
        <v>761</v>
      </c>
      <c r="B762">
        <v>151</v>
      </c>
      <c r="C762">
        <v>239</v>
      </c>
      <c r="D762">
        <v>2</v>
      </c>
      <c r="E762">
        <f t="shared" si="55"/>
        <v>478</v>
      </c>
      <c r="F762" s="30">
        <v>45056</v>
      </c>
      <c r="G762" t="s">
        <v>21</v>
      </c>
      <c r="H762">
        <v>386</v>
      </c>
      <c r="I762" t="str">
        <f>VLOOKUP(B762,товар!$A$1:$C$433,2,FALSE)</f>
        <v>Молоко</v>
      </c>
      <c r="J762" s="23">
        <f t="shared" si="56"/>
        <v>294.95238095238096</v>
      </c>
      <c r="K762" s="24">
        <f t="shared" si="57"/>
        <v>-0.18969970939618985</v>
      </c>
      <c r="L762" t="str">
        <f>VLOOKUP(B762,товар!$A$1:$C$433,3,FALSE)</f>
        <v>Беллакт</v>
      </c>
      <c r="M762">
        <f t="shared" si="58"/>
        <v>322.54545454545456</v>
      </c>
      <c r="N762" s="30">
        <f>VLOOKUP(H762,клиенты!$A$1:$G$435,5,FALSE)</f>
        <v>44734</v>
      </c>
      <c r="O762">
        <f t="shared" si="59"/>
        <v>322</v>
      </c>
    </row>
    <row r="763" spans="1:15" x14ac:dyDescent="0.3">
      <c r="A763">
        <v>762</v>
      </c>
      <c r="B763">
        <v>398</v>
      </c>
      <c r="C763">
        <v>464</v>
      </c>
      <c r="D763">
        <v>5</v>
      </c>
      <c r="E763">
        <f t="shared" si="55"/>
        <v>2320</v>
      </c>
      <c r="F763" s="30">
        <v>45040</v>
      </c>
      <c r="G763" t="s">
        <v>18</v>
      </c>
      <c r="H763">
        <v>342</v>
      </c>
      <c r="I763" t="str">
        <f>VLOOKUP(B763,товар!$A$1:$C$433,2,FALSE)</f>
        <v>Сок</v>
      </c>
      <c r="J763" s="23">
        <f t="shared" si="56"/>
        <v>268.60344827586209</v>
      </c>
      <c r="K763" s="24">
        <f t="shared" si="57"/>
        <v>0.72745362346748821</v>
      </c>
      <c r="L763" t="str">
        <f>VLOOKUP(B763,товар!$A$1:$C$433,3,FALSE)</f>
        <v>Фруктовый сад</v>
      </c>
      <c r="M763">
        <f t="shared" si="58"/>
        <v>281.96875</v>
      </c>
      <c r="N763" s="30">
        <f>VLOOKUP(H763,клиенты!$A$1:$G$435,5,FALSE)</f>
        <v>44570</v>
      </c>
      <c r="O763">
        <f t="shared" si="59"/>
        <v>470</v>
      </c>
    </row>
    <row r="764" spans="1:15" x14ac:dyDescent="0.3">
      <c r="A764">
        <v>763</v>
      </c>
      <c r="B764">
        <v>483</v>
      </c>
      <c r="C764">
        <v>140</v>
      </c>
      <c r="D764">
        <v>5</v>
      </c>
      <c r="E764">
        <f t="shared" si="55"/>
        <v>700</v>
      </c>
      <c r="F764" s="30">
        <v>45244</v>
      </c>
      <c r="G764" t="s">
        <v>18</v>
      </c>
      <c r="H764">
        <v>7</v>
      </c>
      <c r="I764" t="str">
        <f>VLOOKUP(B764,товар!$A$1:$C$433,2,FALSE)</f>
        <v>Колбаса</v>
      </c>
      <c r="J764" s="23">
        <f t="shared" si="56"/>
        <v>286.92307692307691</v>
      </c>
      <c r="K764" s="24">
        <f t="shared" si="57"/>
        <v>-0.51206434316353877</v>
      </c>
      <c r="L764" t="str">
        <f>VLOOKUP(B764,товар!$A$1:$C$433,3,FALSE)</f>
        <v>Дымов</v>
      </c>
      <c r="M764">
        <f t="shared" si="58"/>
        <v>312.66666666666669</v>
      </c>
      <c r="N764" s="30">
        <f>VLOOKUP(H764,клиенты!$A$1:$G$435,5,FALSE)</f>
        <v>44893</v>
      </c>
      <c r="O764">
        <f t="shared" si="59"/>
        <v>351</v>
      </c>
    </row>
    <row r="765" spans="1:15" x14ac:dyDescent="0.3">
      <c r="A765">
        <v>764</v>
      </c>
      <c r="B765">
        <v>86</v>
      </c>
      <c r="C765">
        <v>353</v>
      </c>
      <c r="D765">
        <v>2</v>
      </c>
      <c r="E765">
        <f t="shared" si="55"/>
        <v>706</v>
      </c>
      <c r="F765" s="30">
        <v>45333</v>
      </c>
      <c r="G765" t="s">
        <v>34</v>
      </c>
      <c r="H765">
        <v>264</v>
      </c>
      <c r="I765" t="str">
        <f>VLOOKUP(B765,товар!$A$1:$C$433,2,FALSE)</f>
        <v>Сахар</v>
      </c>
      <c r="J765" s="23">
        <f t="shared" si="56"/>
        <v>252.76271186440678</v>
      </c>
      <c r="K765" s="24">
        <f t="shared" si="57"/>
        <v>0.39656675383893236</v>
      </c>
      <c r="L765" t="str">
        <f>VLOOKUP(B765,товар!$A$1:$C$433,3,FALSE)</f>
        <v>Русский сахар</v>
      </c>
      <c r="M765">
        <f t="shared" si="58"/>
        <v>293.41176470588238</v>
      </c>
      <c r="N765" s="30">
        <f>VLOOKUP(H765,клиенты!$A$1:$G$435,5,FALSE)</f>
        <v>44907</v>
      </c>
      <c r="O765">
        <f t="shared" si="59"/>
        <v>426</v>
      </c>
    </row>
    <row r="766" spans="1:15" x14ac:dyDescent="0.3">
      <c r="A766">
        <v>765</v>
      </c>
      <c r="B766">
        <v>158</v>
      </c>
      <c r="C766">
        <v>318</v>
      </c>
      <c r="D766">
        <v>5</v>
      </c>
      <c r="E766">
        <f t="shared" si="55"/>
        <v>1590</v>
      </c>
      <c r="F766" s="30">
        <v>44958</v>
      </c>
      <c r="G766" t="s">
        <v>22</v>
      </c>
      <c r="H766">
        <v>99</v>
      </c>
      <c r="I766" t="str">
        <f>VLOOKUP(B766,товар!$A$1:$C$433,2,FALSE)</f>
        <v>Сахар</v>
      </c>
      <c r="J766" s="23">
        <f t="shared" si="56"/>
        <v>252.76271186440678</v>
      </c>
      <c r="K766" s="24">
        <f t="shared" si="57"/>
        <v>0.25809696238181457</v>
      </c>
      <c r="L766" t="str">
        <f>VLOOKUP(B766,товар!$A$1:$C$433,3,FALSE)</f>
        <v>Сладов</v>
      </c>
      <c r="M766">
        <f t="shared" si="58"/>
        <v>240.26666666666668</v>
      </c>
      <c r="N766" s="30">
        <f>VLOOKUP(H766,клиенты!$A$1:$G$435,5,FALSE)</f>
        <v>44886</v>
      </c>
      <c r="O766">
        <f t="shared" si="59"/>
        <v>72</v>
      </c>
    </row>
    <row r="767" spans="1:15" x14ac:dyDescent="0.3">
      <c r="A767">
        <v>766</v>
      </c>
      <c r="B767">
        <v>199</v>
      </c>
      <c r="C767">
        <v>80</v>
      </c>
      <c r="D767">
        <v>5</v>
      </c>
      <c r="E767">
        <f t="shared" si="55"/>
        <v>400</v>
      </c>
      <c r="F767" s="30">
        <v>45408</v>
      </c>
      <c r="G767" t="s">
        <v>24</v>
      </c>
      <c r="H767">
        <v>404</v>
      </c>
      <c r="I767" t="str">
        <f>VLOOKUP(B767,товар!$A$1:$C$433,2,FALSE)</f>
        <v>Макароны</v>
      </c>
      <c r="J767" s="23">
        <f t="shared" si="56"/>
        <v>265.47674418604652</v>
      </c>
      <c r="K767" s="24">
        <f t="shared" si="57"/>
        <v>-0.69865533704174143</v>
      </c>
      <c r="L767" t="str">
        <f>VLOOKUP(B767,товар!$A$1:$C$433,3,FALSE)</f>
        <v>Борилла</v>
      </c>
      <c r="M767">
        <f t="shared" si="58"/>
        <v>236.27586206896552</v>
      </c>
      <c r="N767" s="30">
        <f>VLOOKUP(H767,клиенты!$A$1:$G$435,5,FALSE)</f>
        <v>44913</v>
      </c>
      <c r="O767">
        <f t="shared" si="59"/>
        <v>495</v>
      </c>
    </row>
    <row r="768" spans="1:15" x14ac:dyDescent="0.3">
      <c r="A768">
        <v>767</v>
      </c>
      <c r="B768">
        <v>259</v>
      </c>
      <c r="C768">
        <v>90</v>
      </c>
      <c r="D768">
        <v>4</v>
      </c>
      <c r="E768">
        <f t="shared" si="55"/>
        <v>360</v>
      </c>
      <c r="F768" s="30">
        <v>45058</v>
      </c>
      <c r="G768" t="s">
        <v>19</v>
      </c>
      <c r="H768">
        <v>79</v>
      </c>
      <c r="I768" t="str">
        <f>VLOOKUP(B768,товар!$A$1:$C$433,2,FALSE)</f>
        <v>Йогурт</v>
      </c>
      <c r="J768" s="23">
        <f t="shared" si="56"/>
        <v>263.25423728813558</v>
      </c>
      <c r="K768" s="24">
        <f t="shared" si="57"/>
        <v>-0.65812516095802209</v>
      </c>
      <c r="L768" t="str">
        <f>VLOOKUP(B768,товар!$A$1:$C$433,3,FALSE)</f>
        <v>Ростагроэкспорт</v>
      </c>
      <c r="M768">
        <f t="shared" si="58"/>
        <v>257.78260869565219</v>
      </c>
      <c r="N768" s="30">
        <f>VLOOKUP(H768,клиенты!$A$1:$G$435,5,FALSE)</f>
        <v>44716</v>
      </c>
      <c r="O768">
        <f t="shared" si="59"/>
        <v>342</v>
      </c>
    </row>
    <row r="769" spans="1:15" x14ac:dyDescent="0.3">
      <c r="A769">
        <v>768</v>
      </c>
      <c r="B769">
        <v>468</v>
      </c>
      <c r="C769">
        <v>167</v>
      </c>
      <c r="D769">
        <v>4</v>
      </c>
      <c r="E769">
        <f t="shared" si="55"/>
        <v>668</v>
      </c>
      <c r="F769" s="30">
        <v>45211</v>
      </c>
      <c r="G769" t="s">
        <v>34</v>
      </c>
      <c r="H769">
        <v>377</v>
      </c>
      <c r="I769" t="str">
        <f>VLOOKUP(B769,товар!$A$1:$C$433,2,FALSE)</f>
        <v>Йогурт</v>
      </c>
      <c r="J769" s="23">
        <f t="shared" si="56"/>
        <v>263.25423728813558</v>
      </c>
      <c r="K769" s="24">
        <f t="shared" si="57"/>
        <v>-0.36563224311099662</v>
      </c>
      <c r="L769" t="str">
        <f>VLOOKUP(B769,товар!$A$1:$C$433,3,FALSE)</f>
        <v>Чудо</v>
      </c>
      <c r="M769">
        <f t="shared" si="58"/>
        <v>287.10000000000002</v>
      </c>
      <c r="N769" s="30">
        <f>VLOOKUP(H769,клиенты!$A$1:$G$435,5,FALSE)</f>
        <v>44794</v>
      </c>
      <c r="O769">
        <f t="shared" si="59"/>
        <v>417</v>
      </c>
    </row>
    <row r="770" spans="1:15" x14ac:dyDescent="0.3">
      <c r="A770">
        <v>769</v>
      </c>
      <c r="B770">
        <v>4</v>
      </c>
      <c r="C770">
        <v>478</v>
      </c>
      <c r="D770">
        <v>4</v>
      </c>
      <c r="E770">
        <f t="shared" ref="E770:E833" si="60">C770*D770</f>
        <v>1912</v>
      </c>
      <c r="F770" s="30">
        <v>45156</v>
      </c>
      <c r="G770" t="s">
        <v>28</v>
      </c>
      <c r="H770">
        <v>146</v>
      </c>
      <c r="I770" t="str">
        <f>VLOOKUP(B770,товар!$A$1:$C$433,2,FALSE)</f>
        <v>Рис</v>
      </c>
      <c r="J770" s="23">
        <f t="shared" ref="J770:J833" si="61">AVERAGEIF($I$2:$I$1001,I770,$C$2:$C$1001)</f>
        <v>258.375</v>
      </c>
      <c r="K770" s="24">
        <f t="shared" ref="K770:K833" si="62">C770/J770-1</f>
        <v>0.85002418964683124</v>
      </c>
      <c r="L770" t="str">
        <f>VLOOKUP(B770,товар!$A$1:$C$433,3,FALSE)</f>
        <v>Белый Злат</v>
      </c>
      <c r="M770">
        <f t="shared" ref="M770:M833" si="63">AVERAGEIFS($C$2:$C$1001,$I$2:$I$1001,I770,$L$2:$L$1001,L770)</f>
        <v>269.70588235294116</v>
      </c>
      <c r="N770" s="30">
        <f>VLOOKUP(H770,клиенты!$A$1:$G$435,5,FALSE)</f>
        <v>44617</v>
      </c>
      <c r="O770">
        <f t="shared" ref="O770:O833" si="64">F770-N770</f>
        <v>539</v>
      </c>
    </row>
    <row r="771" spans="1:15" x14ac:dyDescent="0.3">
      <c r="A771">
        <v>770</v>
      </c>
      <c r="B771">
        <v>155</v>
      </c>
      <c r="C771">
        <v>310</v>
      </c>
      <c r="D771">
        <v>4</v>
      </c>
      <c r="E771">
        <f t="shared" si="60"/>
        <v>1240</v>
      </c>
      <c r="F771" s="30">
        <v>44930</v>
      </c>
      <c r="G771" t="s">
        <v>26</v>
      </c>
      <c r="H771">
        <v>346</v>
      </c>
      <c r="I771" t="str">
        <f>VLOOKUP(B771,товар!$A$1:$C$433,2,FALSE)</f>
        <v>Йогурт</v>
      </c>
      <c r="J771" s="23">
        <f t="shared" si="61"/>
        <v>263.25423728813558</v>
      </c>
      <c r="K771" s="24">
        <f t="shared" si="62"/>
        <v>0.17756889003347931</v>
      </c>
      <c r="L771" t="str">
        <f>VLOOKUP(B771,товар!$A$1:$C$433,3,FALSE)</f>
        <v>Эрманн</v>
      </c>
      <c r="M771">
        <f t="shared" si="63"/>
        <v>248.5</v>
      </c>
      <c r="N771" s="30">
        <f>VLOOKUP(H771,клиенты!$A$1:$G$435,5,FALSE)</f>
        <v>44636</v>
      </c>
      <c r="O771">
        <f t="shared" si="64"/>
        <v>294</v>
      </c>
    </row>
    <row r="772" spans="1:15" x14ac:dyDescent="0.3">
      <c r="A772">
        <v>771</v>
      </c>
      <c r="B772">
        <v>413</v>
      </c>
      <c r="C772">
        <v>210</v>
      </c>
      <c r="D772">
        <v>5</v>
      </c>
      <c r="E772">
        <f t="shared" si="60"/>
        <v>1050</v>
      </c>
      <c r="F772" s="30">
        <v>45422</v>
      </c>
      <c r="G772" t="s">
        <v>26</v>
      </c>
      <c r="H772">
        <v>436</v>
      </c>
      <c r="I772" t="str">
        <f>VLOOKUP(B772,товар!$A$1:$C$433,2,FALSE)</f>
        <v>Кофе</v>
      </c>
      <c r="J772" s="23">
        <f t="shared" si="61"/>
        <v>249.02380952380952</v>
      </c>
      <c r="K772" s="24">
        <f t="shared" si="62"/>
        <v>-0.15670714217420401</v>
      </c>
      <c r="L772" t="str">
        <f>VLOOKUP(B772,товар!$A$1:$C$433,3,FALSE)</f>
        <v>Jacobs</v>
      </c>
      <c r="M772">
        <f t="shared" si="63"/>
        <v>276.21052631578948</v>
      </c>
      <c r="N772" s="30">
        <f>VLOOKUP(H772,клиенты!$A$1:$G$435,5,FALSE)</f>
        <v>44683</v>
      </c>
      <c r="O772">
        <f t="shared" si="64"/>
        <v>739</v>
      </c>
    </row>
    <row r="773" spans="1:15" x14ac:dyDescent="0.3">
      <c r="A773">
        <v>772</v>
      </c>
      <c r="B773">
        <v>200</v>
      </c>
      <c r="C773">
        <v>67</v>
      </c>
      <c r="D773">
        <v>1</v>
      </c>
      <c r="E773">
        <f t="shared" si="60"/>
        <v>67</v>
      </c>
      <c r="F773" s="30">
        <v>45163</v>
      </c>
      <c r="G773" t="s">
        <v>21</v>
      </c>
      <c r="H773">
        <v>103</v>
      </c>
      <c r="I773" t="str">
        <f>VLOOKUP(B773,товар!$A$1:$C$433,2,FALSE)</f>
        <v>Чипсы</v>
      </c>
      <c r="J773" s="23">
        <f t="shared" si="61"/>
        <v>273.72549019607845</v>
      </c>
      <c r="K773" s="24">
        <f t="shared" si="62"/>
        <v>-0.75522922636103151</v>
      </c>
      <c r="L773" t="str">
        <f>VLOOKUP(B773,товар!$A$1:$C$433,3,FALSE)</f>
        <v>Estrella</v>
      </c>
      <c r="M773">
        <f t="shared" si="63"/>
        <v>266.27272727272725</v>
      </c>
      <c r="N773" s="30">
        <f>VLOOKUP(H773,клиенты!$A$1:$G$435,5,FALSE)</f>
        <v>44787</v>
      </c>
      <c r="O773">
        <f t="shared" si="64"/>
        <v>376</v>
      </c>
    </row>
    <row r="774" spans="1:15" x14ac:dyDescent="0.3">
      <c r="A774">
        <v>773</v>
      </c>
      <c r="B774">
        <v>295</v>
      </c>
      <c r="C774">
        <v>294</v>
      </c>
      <c r="D774">
        <v>5</v>
      </c>
      <c r="E774">
        <f t="shared" si="60"/>
        <v>1470</v>
      </c>
      <c r="F774" s="30">
        <v>45147</v>
      </c>
      <c r="G774" t="s">
        <v>33</v>
      </c>
      <c r="H774">
        <v>493</v>
      </c>
      <c r="I774" t="str">
        <f>VLOOKUP(B774,товар!$A$1:$C$433,2,FALSE)</f>
        <v>Печенье</v>
      </c>
      <c r="J774" s="23">
        <f t="shared" si="61"/>
        <v>283.468085106383</v>
      </c>
      <c r="K774" s="24">
        <f t="shared" si="62"/>
        <v>3.715379419049758E-2</v>
      </c>
      <c r="L774" t="str">
        <f>VLOOKUP(B774,товар!$A$1:$C$433,3,FALSE)</f>
        <v>Белогорье</v>
      </c>
      <c r="M774">
        <f t="shared" si="63"/>
        <v>249.5</v>
      </c>
      <c r="N774" s="30">
        <f>VLOOKUP(H774,клиенты!$A$1:$G$435,5,FALSE)</f>
        <v>44855</v>
      </c>
      <c r="O774">
        <f t="shared" si="64"/>
        <v>292</v>
      </c>
    </row>
    <row r="775" spans="1:15" x14ac:dyDescent="0.3">
      <c r="A775">
        <v>774</v>
      </c>
      <c r="B775">
        <v>39</v>
      </c>
      <c r="C775">
        <v>404</v>
      </c>
      <c r="D775">
        <v>2</v>
      </c>
      <c r="E775">
        <f t="shared" si="60"/>
        <v>808</v>
      </c>
      <c r="F775" s="30">
        <v>45175</v>
      </c>
      <c r="G775" t="s">
        <v>22</v>
      </c>
      <c r="H775">
        <v>252</v>
      </c>
      <c r="I775" t="str">
        <f>VLOOKUP(B775,товар!$A$1:$C$433,2,FALSE)</f>
        <v>Сыр</v>
      </c>
      <c r="J775" s="23">
        <f t="shared" si="61"/>
        <v>262.63492063492066</v>
      </c>
      <c r="K775" s="24">
        <f t="shared" si="62"/>
        <v>0.53825698053910287</v>
      </c>
      <c r="L775" t="str">
        <f>VLOOKUP(B775,товар!$A$1:$C$433,3,FALSE)</f>
        <v>Сырная долина</v>
      </c>
      <c r="M775">
        <f t="shared" si="63"/>
        <v>271</v>
      </c>
      <c r="N775" s="30">
        <f>VLOOKUP(H775,клиенты!$A$1:$G$435,5,FALSE)</f>
        <v>44643</v>
      </c>
      <c r="O775">
        <f t="shared" si="64"/>
        <v>532</v>
      </c>
    </row>
    <row r="776" spans="1:15" x14ac:dyDescent="0.3">
      <c r="A776">
        <v>775</v>
      </c>
      <c r="B776">
        <v>228</v>
      </c>
      <c r="C776">
        <v>98</v>
      </c>
      <c r="D776">
        <v>2</v>
      </c>
      <c r="E776">
        <f t="shared" si="60"/>
        <v>196</v>
      </c>
      <c r="F776" s="30">
        <v>45344</v>
      </c>
      <c r="G776" t="s">
        <v>19</v>
      </c>
      <c r="H776">
        <v>338</v>
      </c>
      <c r="I776" t="str">
        <f>VLOOKUP(B776,товар!$A$1:$C$433,2,FALSE)</f>
        <v>Рис</v>
      </c>
      <c r="J776" s="23">
        <f t="shared" si="61"/>
        <v>258.375</v>
      </c>
      <c r="K776" s="24">
        <f t="shared" si="62"/>
        <v>-0.62070633768746974</v>
      </c>
      <c r="L776" t="str">
        <f>VLOOKUP(B776,товар!$A$1:$C$433,3,FALSE)</f>
        <v>Мистраль</v>
      </c>
      <c r="M776">
        <f t="shared" si="63"/>
        <v>181.57142857142858</v>
      </c>
      <c r="N776" s="30">
        <f>VLOOKUP(H776,клиенты!$A$1:$G$435,5,FALSE)</f>
        <v>44577</v>
      </c>
      <c r="O776">
        <f t="shared" si="64"/>
        <v>767</v>
      </c>
    </row>
    <row r="777" spans="1:15" x14ac:dyDescent="0.3">
      <c r="A777">
        <v>776</v>
      </c>
      <c r="B777">
        <v>37</v>
      </c>
      <c r="C777">
        <v>139</v>
      </c>
      <c r="D777">
        <v>3</v>
      </c>
      <c r="E777">
        <f t="shared" si="60"/>
        <v>417</v>
      </c>
      <c r="F777" s="30">
        <v>45014</v>
      </c>
      <c r="G777" t="s">
        <v>24</v>
      </c>
      <c r="H777">
        <v>397</v>
      </c>
      <c r="I777" t="str">
        <f>VLOOKUP(B777,товар!$A$1:$C$433,2,FALSE)</f>
        <v>Соль</v>
      </c>
      <c r="J777" s="23">
        <f t="shared" si="61"/>
        <v>264.8679245283019</v>
      </c>
      <c r="K777" s="24">
        <f t="shared" si="62"/>
        <v>-0.47521014389514182</v>
      </c>
      <c r="L777" t="str">
        <f>VLOOKUP(B777,товар!$A$1:$C$433,3,FALSE)</f>
        <v>Илецкая</v>
      </c>
      <c r="M777">
        <f t="shared" si="63"/>
        <v>238.16666666666666</v>
      </c>
      <c r="N777" s="30">
        <f>VLOOKUP(H777,клиенты!$A$1:$G$435,5,FALSE)</f>
        <v>44728</v>
      </c>
      <c r="O777">
        <f t="shared" si="64"/>
        <v>286</v>
      </c>
    </row>
    <row r="778" spans="1:15" x14ac:dyDescent="0.3">
      <c r="A778">
        <v>777</v>
      </c>
      <c r="B778">
        <v>62</v>
      </c>
      <c r="C778">
        <v>241</v>
      </c>
      <c r="D778">
        <v>2</v>
      </c>
      <c r="E778">
        <f t="shared" si="60"/>
        <v>482</v>
      </c>
      <c r="F778" s="30">
        <v>45231</v>
      </c>
      <c r="G778" t="s">
        <v>15</v>
      </c>
      <c r="H778">
        <v>247</v>
      </c>
      <c r="I778" t="str">
        <f>VLOOKUP(B778,товар!$A$1:$C$433,2,FALSE)</f>
        <v>Рыба</v>
      </c>
      <c r="J778" s="23">
        <f t="shared" si="61"/>
        <v>258.5128205128205</v>
      </c>
      <c r="K778" s="24">
        <f t="shared" si="62"/>
        <v>-6.7744495139853145E-2</v>
      </c>
      <c r="L778" t="str">
        <f>VLOOKUP(B778,товар!$A$1:$C$433,3,FALSE)</f>
        <v>Балтийский берег</v>
      </c>
      <c r="M778">
        <f t="shared" si="63"/>
        <v>289.88888888888891</v>
      </c>
      <c r="N778" s="30">
        <f>VLOOKUP(H778,клиенты!$A$1:$G$435,5,FALSE)</f>
        <v>44762</v>
      </c>
      <c r="O778">
        <f t="shared" si="64"/>
        <v>469</v>
      </c>
    </row>
    <row r="779" spans="1:15" x14ac:dyDescent="0.3">
      <c r="A779">
        <v>778</v>
      </c>
      <c r="B779">
        <v>468</v>
      </c>
      <c r="C779">
        <v>182</v>
      </c>
      <c r="D779">
        <v>5</v>
      </c>
      <c r="E779">
        <f t="shared" si="60"/>
        <v>910</v>
      </c>
      <c r="F779" s="30">
        <v>45005</v>
      </c>
      <c r="G779" t="s">
        <v>31</v>
      </c>
      <c r="H779">
        <v>445</v>
      </c>
      <c r="I779" t="str">
        <f>VLOOKUP(B779,товар!$A$1:$C$433,2,FALSE)</f>
        <v>Йогурт</v>
      </c>
      <c r="J779" s="23">
        <f t="shared" si="61"/>
        <v>263.25423728813558</v>
      </c>
      <c r="K779" s="24">
        <f t="shared" si="62"/>
        <v>-0.30865310327066697</v>
      </c>
      <c r="L779" t="str">
        <f>VLOOKUP(B779,товар!$A$1:$C$433,3,FALSE)</f>
        <v>Чудо</v>
      </c>
      <c r="M779">
        <f t="shared" si="63"/>
        <v>287.10000000000002</v>
      </c>
      <c r="N779" s="30">
        <f>VLOOKUP(H779,клиенты!$A$1:$G$435,5,FALSE)</f>
        <v>44676</v>
      </c>
      <c r="O779">
        <f t="shared" si="64"/>
        <v>329</v>
      </c>
    </row>
    <row r="780" spans="1:15" x14ac:dyDescent="0.3">
      <c r="A780">
        <v>779</v>
      </c>
      <c r="B780">
        <v>497</v>
      </c>
      <c r="C780">
        <v>275</v>
      </c>
      <c r="D780">
        <v>4</v>
      </c>
      <c r="E780">
        <f t="shared" si="60"/>
        <v>1100</v>
      </c>
      <c r="F780" s="30">
        <v>45236</v>
      </c>
      <c r="G780" t="s">
        <v>18</v>
      </c>
      <c r="H780">
        <v>477</v>
      </c>
      <c r="I780" t="str">
        <f>VLOOKUP(B780,товар!$A$1:$C$433,2,FALSE)</f>
        <v>Конфеты</v>
      </c>
      <c r="J780" s="23">
        <f t="shared" si="61"/>
        <v>267.85483870967744</v>
      </c>
      <c r="K780" s="24">
        <f t="shared" si="62"/>
        <v>2.667549828385618E-2</v>
      </c>
      <c r="L780" t="str">
        <f>VLOOKUP(B780,товар!$A$1:$C$433,3,FALSE)</f>
        <v>Бабаевский</v>
      </c>
      <c r="M780">
        <f t="shared" si="63"/>
        <v>250.25925925925927</v>
      </c>
      <c r="N780" s="30">
        <f>VLOOKUP(H780,клиенты!$A$1:$G$435,5,FALSE)</f>
        <v>44738</v>
      </c>
      <c r="O780">
        <f t="shared" si="64"/>
        <v>498</v>
      </c>
    </row>
    <row r="781" spans="1:15" x14ac:dyDescent="0.3">
      <c r="A781">
        <v>780</v>
      </c>
      <c r="B781">
        <v>372</v>
      </c>
      <c r="C781">
        <v>182</v>
      </c>
      <c r="D781">
        <v>2</v>
      </c>
      <c r="E781">
        <f t="shared" si="60"/>
        <v>364</v>
      </c>
      <c r="F781" s="30">
        <v>44991</v>
      </c>
      <c r="G781" t="s">
        <v>29</v>
      </c>
      <c r="H781">
        <v>402</v>
      </c>
      <c r="I781" t="str">
        <f>VLOOKUP(B781,товар!$A$1:$C$433,2,FALSE)</f>
        <v>Кофе</v>
      </c>
      <c r="J781" s="23">
        <f t="shared" si="61"/>
        <v>249.02380952380952</v>
      </c>
      <c r="K781" s="24">
        <f t="shared" si="62"/>
        <v>-0.26914618988431016</v>
      </c>
      <c r="L781" t="str">
        <f>VLOOKUP(B781,товар!$A$1:$C$433,3,FALSE)</f>
        <v>Черная Карта</v>
      </c>
      <c r="M781">
        <f t="shared" si="63"/>
        <v>222.2</v>
      </c>
      <c r="N781" s="30">
        <f>VLOOKUP(H781,клиенты!$A$1:$G$435,5,FALSE)</f>
        <v>44742</v>
      </c>
      <c r="O781">
        <f t="shared" si="64"/>
        <v>249</v>
      </c>
    </row>
    <row r="782" spans="1:15" x14ac:dyDescent="0.3">
      <c r="A782">
        <v>781</v>
      </c>
      <c r="B782">
        <v>354</v>
      </c>
      <c r="C782">
        <v>203</v>
      </c>
      <c r="D782">
        <v>5</v>
      </c>
      <c r="E782">
        <f t="shared" si="60"/>
        <v>1015</v>
      </c>
      <c r="F782" s="30">
        <v>45234</v>
      </c>
      <c r="G782" t="s">
        <v>32</v>
      </c>
      <c r="H782">
        <v>265</v>
      </c>
      <c r="I782" t="str">
        <f>VLOOKUP(B782,товар!$A$1:$C$433,2,FALSE)</f>
        <v>Чай</v>
      </c>
      <c r="J782" s="23">
        <f t="shared" si="61"/>
        <v>271.18181818181819</v>
      </c>
      <c r="K782" s="24">
        <f t="shared" si="62"/>
        <v>-0.25142474019443517</v>
      </c>
      <c r="L782" t="str">
        <f>VLOOKUP(B782,товар!$A$1:$C$433,3,FALSE)</f>
        <v>Lipton</v>
      </c>
      <c r="M782">
        <f t="shared" si="63"/>
        <v>260.15789473684208</v>
      </c>
      <c r="N782" s="30">
        <f>VLOOKUP(H782,клиенты!$A$1:$G$435,5,FALSE)</f>
        <v>44756</v>
      </c>
      <c r="O782">
        <f t="shared" si="64"/>
        <v>478</v>
      </c>
    </row>
    <row r="783" spans="1:15" x14ac:dyDescent="0.3">
      <c r="A783">
        <v>782</v>
      </c>
      <c r="B783">
        <v>460</v>
      </c>
      <c r="C783">
        <v>103</v>
      </c>
      <c r="D783">
        <v>5</v>
      </c>
      <c r="E783">
        <f t="shared" si="60"/>
        <v>515</v>
      </c>
      <c r="F783" s="30">
        <v>45411</v>
      </c>
      <c r="G783" t="s">
        <v>27</v>
      </c>
      <c r="H783">
        <v>124</v>
      </c>
      <c r="I783" t="str">
        <f>VLOOKUP(B783,товар!$A$1:$C$433,2,FALSE)</f>
        <v>Кофе</v>
      </c>
      <c r="J783" s="23">
        <f t="shared" si="61"/>
        <v>249.02380952380952</v>
      </c>
      <c r="K783" s="24">
        <f t="shared" si="62"/>
        <v>-0.58638493163782379</v>
      </c>
      <c r="L783" t="str">
        <f>VLOOKUP(B783,товар!$A$1:$C$433,3,FALSE)</f>
        <v>Tchibo</v>
      </c>
      <c r="M783">
        <f t="shared" si="63"/>
        <v>140</v>
      </c>
      <c r="N783" s="30">
        <f>VLOOKUP(H783,клиенты!$A$1:$G$435,5,FALSE)</f>
        <v>44795</v>
      </c>
      <c r="O783">
        <f t="shared" si="64"/>
        <v>616</v>
      </c>
    </row>
    <row r="784" spans="1:15" x14ac:dyDescent="0.3">
      <c r="A784">
        <v>783</v>
      </c>
      <c r="B784">
        <v>63</v>
      </c>
      <c r="C784">
        <v>344</v>
      </c>
      <c r="D784">
        <v>2</v>
      </c>
      <c r="E784">
        <f t="shared" si="60"/>
        <v>688</v>
      </c>
      <c r="F784" s="30">
        <v>45194</v>
      </c>
      <c r="G784" t="s">
        <v>28</v>
      </c>
      <c r="H784">
        <v>208</v>
      </c>
      <c r="I784" t="str">
        <f>VLOOKUP(B784,товар!$A$1:$C$433,2,FALSE)</f>
        <v>Рыба</v>
      </c>
      <c r="J784" s="23">
        <f t="shared" si="61"/>
        <v>258.5128205128205</v>
      </c>
      <c r="K784" s="24">
        <f t="shared" si="62"/>
        <v>0.33068835548502284</v>
      </c>
      <c r="L784" t="str">
        <f>VLOOKUP(B784,товар!$A$1:$C$433,3,FALSE)</f>
        <v>Балтийский берег</v>
      </c>
      <c r="M784">
        <f t="shared" si="63"/>
        <v>289.88888888888891</v>
      </c>
      <c r="N784" s="30">
        <f>VLOOKUP(H784,клиенты!$A$1:$G$435,5,FALSE)</f>
        <v>44736</v>
      </c>
      <c r="O784">
        <f t="shared" si="64"/>
        <v>458</v>
      </c>
    </row>
    <row r="785" spans="1:15" x14ac:dyDescent="0.3">
      <c r="A785">
        <v>784</v>
      </c>
      <c r="B785">
        <v>467</v>
      </c>
      <c r="C785">
        <v>436</v>
      </c>
      <c r="D785">
        <v>3</v>
      </c>
      <c r="E785">
        <f t="shared" si="60"/>
        <v>1308</v>
      </c>
      <c r="F785" s="30">
        <v>45289</v>
      </c>
      <c r="G785" t="s">
        <v>20</v>
      </c>
      <c r="H785">
        <v>343</v>
      </c>
      <c r="I785" t="str">
        <f>VLOOKUP(B785,товар!$A$1:$C$433,2,FALSE)</f>
        <v>Макароны</v>
      </c>
      <c r="J785" s="23">
        <f t="shared" si="61"/>
        <v>265.47674418604652</v>
      </c>
      <c r="K785" s="24">
        <f t="shared" si="62"/>
        <v>0.64232841312250888</v>
      </c>
      <c r="L785" t="str">
        <f>VLOOKUP(B785,товар!$A$1:$C$433,3,FALSE)</f>
        <v>Борилла</v>
      </c>
      <c r="M785">
        <f t="shared" si="63"/>
        <v>236.27586206896552</v>
      </c>
      <c r="N785" s="30">
        <f>VLOOKUP(H785,клиенты!$A$1:$G$435,5,FALSE)</f>
        <v>44874</v>
      </c>
      <c r="O785">
        <f t="shared" si="64"/>
        <v>415</v>
      </c>
    </row>
    <row r="786" spans="1:15" x14ac:dyDescent="0.3">
      <c r="A786">
        <v>785</v>
      </c>
      <c r="B786">
        <v>184</v>
      </c>
      <c r="C786">
        <v>79</v>
      </c>
      <c r="D786">
        <v>4</v>
      </c>
      <c r="E786">
        <f t="shared" si="60"/>
        <v>316</v>
      </c>
      <c r="F786" s="30">
        <v>45407</v>
      </c>
      <c r="G786" t="s">
        <v>16</v>
      </c>
      <c r="H786">
        <v>394</v>
      </c>
      <c r="I786" t="str">
        <f>VLOOKUP(B786,товар!$A$1:$C$433,2,FALSE)</f>
        <v>Конфеты</v>
      </c>
      <c r="J786" s="23">
        <f t="shared" si="61"/>
        <v>267.85483870967744</v>
      </c>
      <c r="K786" s="24">
        <f t="shared" si="62"/>
        <v>-0.7050641295839104</v>
      </c>
      <c r="L786" t="str">
        <f>VLOOKUP(B786,товар!$A$1:$C$433,3,FALSE)</f>
        <v>Славянка</v>
      </c>
      <c r="M786">
        <f t="shared" si="63"/>
        <v>268</v>
      </c>
      <c r="N786" s="30">
        <f>VLOOKUP(H786,клиенты!$A$1:$G$435,5,FALSE)</f>
        <v>44708</v>
      </c>
      <c r="O786">
        <f t="shared" si="64"/>
        <v>699</v>
      </c>
    </row>
    <row r="787" spans="1:15" x14ac:dyDescent="0.3">
      <c r="A787">
        <v>786</v>
      </c>
      <c r="B787">
        <v>265</v>
      </c>
      <c r="C787">
        <v>339</v>
      </c>
      <c r="D787">
        <v>3</v>
      </c>
      <c r="E787">
        <f t="shared" si="60"/>
        <v>1017</v>
      </c>
      <c r="F787" s="30">
        <v>44944</v>
      </c>
      <c r="G787" t="s">
        <v>16</v>
      </c>
      <c r="H787">
        <v>242</v>
      </c>
      <c r="I787" t="str">
        <f>VLOOKUP(B787,товар!$A$1:$C$433,2,FALSE)</f>
        <v>Мясо</v>
      </c>
      <c r="J787" s="23">
        <f t="shared" si="61"/>
        <v>271.74545454545455</v>
      </c>
      <c r="K787" s="24">
        <f t="shared" si="62"/>
        <v>0.24749096748293864</v>
      </c>
      <c r="L787" t="str">
        <f>VLOOKUP(B787,товар!$A$1:$C$433,3,FALSE)</f>
        <v>Мираторг</v>
      </c>
      <c r="M787">
        <f t="shared" si="63"/>
        <v>316.58333333333331</v>
      </c>
      <c r="N787" s="30">
        <f>VLOOKUP(H787,клиенты!$A$1:$G$435,5,FALSE)</f>
        <v>44747</v>
      </c>
      <c r="O787">
        <f t="shared" si="64"/>
        <v>197</v>
      </c>
    </row>
    <row r="788" spans="1:15" x14ac:dyDescent="0.3">
      <c r="A788">
        <v>787</v>
      </c>
      <c r="B788">
        <v>130</v>
      </c>
      <c r="C788">
        <v>319</v>
      </c>
      <c r="D788">
        <v>3</v>
      </c>
      <c r="E788">
        <f t="shared" si="60"/>
        <v>957</v>
      </c>
      <c r="F788" s="30">
        <v>45145</v>
      </c>
      <c r="G788" t="s">
        <v>34</v>
      </c>
      <c r="H788">
        <v>56</v>
      </c>
      <c r="I788" t="str">
        <f>VLOOKUP(B788,товар!$A$1:$C$433,2,FALSE)</f>
        <v>Соль</v>
      </c>
      <c r="J788" s="23">
        <f t="shared" si="61"/>
        <v>264.8679245283019</v>
      </c>
      <c r="K788" s="24">
        <f t="shared" si="62"/>
        <v>0.20437384242769618</v>
      </c>
      <c r="L788" t="str">
        <f>VLOOKUP(B788,товар!$A$1:$C$433,3,FALSE)</f>
        <v>Илецкая</v>
      </c>
      <c r="M788">
        <f t="shared" si="63"/>
        <v>238.16666666666666</v>
      </c>
      <c r="N788" s="30">
        <f>VLOOKUP(H788,клиенты!$A$1:$G$435,5,FALSE)</f>
        <v>44662</v>
      </c>
      <c r="O788">
        <f t="shared" si="64"/>
        <v>483</v>
      </c>
    </row>
    <row r="789" spans="1:15" x14ac:dyDescent="0.3">
      <c r="A789">
        <v>788</v>
      </c>
      <c r="B789">
        <v>443</v>
      </c>
      <c r="C789">
        <v>348</v>
      </c>
      <c r="D789">
        <v>3</v>
      </c>
      <c r="E789">
        <f t="shared" si="60"/>
        <v>1044</v>
      </c>
      <c r="F789" s="30">
        <v>44930</v>
      </c>
      <c r="G789" t="s">
        <v>31</v>
      </c>
      <c r="H789">
        <v>324</v>
      </c>
      <c r="I789" t="str">
        <f>VLOOKUP(B789,товар!$A$1:$C$433,2,FALSE)</f>
        <v>Кофе</v>
      </c>
      <c r="J789" s="23">
        <f t="shared" si="61"/>
        <v>249.02380952380952</v>
      </c>
      <c r="K789" s="24">
        <f t="shared" si="62"/>
        <v>0.3974567358256047</v>
      </c>
      <c r="L789" t="str">
        <f>VLOOKUP(B789,товар!$A$1:$C$433,3,FALSE)</f>
        <v>Jacobs</v>
      </c>
      <c r="M789">
        <f t="shared" si="63"/>
        <v>276.21052631578948</v>
      </c>
      <c r="N789" s="30">
        <f>VLOOKUP(H789,клиенты!$A$1:$G$435,5,FALSE)</f>
        <v>44761</v>
      </c>
      <c r="O789">
        <f t="shared" si="64"/>
        <v>169</v>
      </c>
    </row>
    <row r="790" spans="1:15" x14ac:dyDescent="0.3">
      <c r="A790">
        <v>789</v>
      </c>
      <c r="B790">
        <v>408</v>
      </c>
      <c r="C790">
        <v>60</v>
      </c>
      <c r="D790">
        <v>4</v>
      </c>
      <c r="E790">
        <f t="shared" si="60"/>
        <v>240</v>
      </c>
      <c r="F790" s="30">
        <v>45299</v>
      </c>
      <c r="G790" t="s">
        <v>22</v>
      </c>
      <c r="H790">
        <v>486</v>
      </c>
      <c r="I790" t="str">
        <f>VLOOKUP(B790,товар!$A$1:$C$433,2,FALSE)</f>
        <v>Йогурт</v>
      </c>
      <c r="J790" s="23">
        <f t="shared" si="61"/>
        <v>263.25423728813558</v>
      </c>
      <c r="K790" s="24">
        <f t="shared" si="62"/>
        <v>-0.7720834406386814</v>
      </c>
      <c r="L790" t="str">
        <f>VLOOKUP(B790,товар!$A$1:$C$433,3,FALSE)</f>
        <v>Эрманн</v>
      </c>
      <c r="M790">
        <f t="shared" si="63"/>
        <v>248.5</v>
      </c>
      <c r="N790" s="30">
        <f>VLOOKUP(H790,клиенты!$A$1:$G$435,5,FALSE)</f>
        <v>44723</v>
      </c>
      <c r="O790">
        <f t="shared" si="64"/>
        <v>576</v>
      </c>
    </row>
    <row r="791" spans="1:15" x14ac:dyDescent="0.3">
      <c r="A791">
        <v>790</v>
      </c>
      <c r="B791">
        <v>249</v>
      </c>
      <c r="C791">
        <v>125</v>
      </c>
      <c r="D791">
        <v>5</v>
      </c>
      <c r="E791">
        <f t="shared" si="60"/>
        <v>625</v>
      </c>
      <c r="F791" s="30">
        <v>45322</v>
      </c>
      <c r="G791" t="s">
        <v>18</v>
      </c>
      <c r="H791">
        <v>71</v>
      </c>
      <c r="I791" t="str">
        <f>VLOOKUP(B791,товар!$A$1:$C$433,2,FALSE)</f>
        <v>Чай</v>
      </c>
      <c r="J791" s="23">
        <f t="shared" si="61"/>
        <v>271.18181818181819</v>
      </c>
      <c r="K791" s="24">
        <f t="shared" si="62"/>
        <v>-0.539054642976869</v>
      </c>
      <c r="L791" t="str">
        <f>VLOOKUP(B791,товар!$A$1:$C$433,3,FALSE)</f>
        <v>Lipton</v>
      </c>
      <c r="M791">
        <f t="shared" si="63"/>
        <v>260.15789473684208</v>
      </c>
      <c r="N791" s="30">
        <f>VLOOKUP(H791,клиенты!$A$1:$G$435,5,FALSE)</f>
        <v>44762</v>
      </c>
      <c r="O791">
        <f t="shared" si="64"/>
        <v>560</v>
      </c>
    </row>
    <row r="792" spans="1:15" x14ac:dyDescent="0.3">
      <c r="A792">
        <v>791</v>
      </c>
      <c r="B792">
        <v>241</v>
      </c>
      <c r="C792">
        <v>490</v>
      </c>
      <c r="D792">
        <v>1</v>
      </c>
      <c r="E792">
        <f t="shared" si="60"/>
        <v>490</v>
      </c>
      <c r="F792" s="30">
        <v>45271</v>
      </c>
      <c r="G792" t="s">
        <v>22</v>
      </c>
      <c r="H792">
        <v>299</v>
      </c>
      <c r="I792" t="str">
        <f>VLOOKUP(B792,товар!$A$1:$C$433,2,FALSE)</f>
        <v>Колбаса</v>
      </c>
      <c r="J792" s="23">
        <f t="shared" si="61"/>
        <v>286.92307692307691</v>
      </c>
      <c r="K792" s="24">
        <f t="shared" si="62"/>
        <v>0.70777479892761397</v>
      </c>
      <c r="L792" t="str">
        <f>VLOOKUP(B792,товар!$A$1:$C$433,3,FALSE)</f>
        <v>Окраина</v>
      </c>
      <c r="M792">
        <f t="shared" si="63"/>
        <v>273.58333333333331</v>
      </c>
      <c r="N792" s="30">
        <f>VLOOKUP(H792,клиенты!$A$1:$G$435,5,FALSE)</f>
        <v>44666</v>
      </c>
      <c r="O792">
        <f t="shared" si="64"/>
        <v>605</v>
      </c>
    </row>
    <row r="793" spans="1:15" x14ac:dyDescent="0.3">
      <c r="A793">
        <v>792</v>
      </c>
      <c r="B793">
        <v>202</v>
      </c>
      <c r="C793">
        <v>298</v>
      </c>
      <c r="D793">
        <v>4</v>
      </c>
      <c r="E793">
        <f t="shared" si="60"/>
        <v>1192</v>
      </c>
      <c r="F793" s="30">
        <v>44979</v>
      </c>
      <c r="G793" t="s">
        <v>31</v>
      </c>
      <c r="H793">
        <v>265</v>
      </c>
      <c r="I793" t="str">
        <f>VLOOKUP(B793,товар!$A$1:$C$433,2,FALSE)</f>
        <v>Овощи</v>
      </c>
      <c r="J793" s="23">
        <f t="shared" si="61"/>
        <v>250.48780487804879</v>
      </c>
      <c r="K793" s="24">
        <f t="shared" si="62"/>
        <v>0.18967867575462516</v>
      </c>
      <c r="L793" t="str">
        <f>VLOOKUP(B793,товар!$A$1:$C$433,3,FALSE)</f>
        <v>Овощной ряд</v>
      </c>
      <c r="M793">
        <f t="shared" si="63"/>
        <v>303.8235294117647</v>
      </c>
      <c r="N793" s="30">
        <f>VLOOKUP(H793,клиенты!$A$1:$G$435,5,FALSE)</f>
        <v>44756</v>
      </c>
      <c r="O793">
        <f t="shared" si="64"/>
        <v>223</v>
      </c>
    </row>
    <row r="794" spans="1:15" x14ac:dyDescent="0.3">
      <c r="A794">
        <v>793</v>
      </c>
      <c r="B794">
        <v>376</v>
      </c>
      <c r="C794">
        <v>441</v>
      </c>
      <c r="D794">
        <v>2</v>
      </c>
      <c r="E794">
        <f t="shared" si="60"/>
        <v>882</v>
      </c>
      <c r="F794" s="30">
        <v>45364</v>
      </c>
      <c r="G794" t="s">
        <v>32</v>
      </c>
      <c r="H794">
        <v>272</v>
      </c>
      <c r="I794" t="str">
        <f>VLOOKUP(B794,товар!$A$1:$C$433,2,FALSE)</f>
        <v>Конфеты</v>
      </c>
      <c r="J794" s="23">
        <f t="shared" si="61"/>
        <v>267.85483870967744</v>
      </c>
      <c r="K794" s="24">
        <f t="shared" si="62"/>
        <v>0.64641416270247465</v>
      </c>
      <c r="L794" t="str">
        <f>VLOOKUP(B794,товар!$A$1:$C$433,3,FALSE)</f>
        <v>Красный Октябрь</v>
      </c>
      <c r="M794">
        <f t="shared" si="63"/>
        <v>273.625</v>
      </c>
      <c r="N794" s="30">
        <f>VLOOKUP(H794,клиенты!$A$1:$G$435,5,FALSE)</f>
        <v>44668</v>
      </c>
      <c r="O794">
        <f t="shared" si="64"/>
        <v>696</v>
      </c>
    </row>
    <row r="795" spans="1:15" x14ac:dyDescent="0.3">
      <c r="A795">
        <v>794</v>
      </c>
      <c r="B795">
        <v>371</v>
      </c>
      <c r="C795">
        <v>126</v>
      </c>
      <c r="D795">
        <v>5</v>
      </c>
      <c r="E795">
        <f t="shared" si="60"/>
        <v>630</v>
      </c>
      <c r="F795" s="30">
        <v>45230</v>
      </c>
      <c r="G795" t="s">
        <v>20</v>
      </c>
      <c r="H795">
        <v>371</v>
      </c>
      <c r="I795" t="str">
        <f>VLOOKUP(B795,товар!$A$1:$C$433,2,FALSE)</f>
        <v>Сахар</v>
      </c>
      <c r="J795" s="23">
        <f t="shared" si="61"/>
        <v>252.76271186440678</v>
      </c>
      <c r="K795" s="24">
        <f t="shared" si="62"/>
        <v>-0.5015087507543754</v>
      </c>
      <c r="L795" t="str">
        <f>VLOOKUP(B795,товар!$A$1:$C$433,3,FALSE)</f>
        <v>Русский сахар</v>
      </c>
      <c r="M795">
        <f t="shared" si="63"/>
        <v>293.41176470588238</v>
      </c>
      <c r="N795" s="30">
        <f>VLOOKUP(H795,клиенты!$A$1:$G$435,5,FALSE)</f>
        <v>44844</v>
      </c>
      <c r="O795">
        <f t="shared" si="64"/>
        <v>386</v>
      </c>
    </row>
    <row r="796" spans="1:15" x14ac:dyDescent="0.3">
      <c r="A796">
        <v>795</v>
      </c>
      <c r="B796">
        <v>308</v>
      </c>
      <c r="C796">
        <v>416</v>
      </c>
      <c r="D796">
        <v>4</v>
      </c>
      <c r="E796">
        <f t="shared" si="60"/>
        <v>1664</v>
      </c>
      <c r="F796" s="30">
        <v>45217</v>
      </c>
      <c r="G796" t="s">
        <v>21</v>
      </c>
      <c r="H796">
        <v>360</v>
      </c>
      <c r="I796" t="str">
        <f>VLOOKUP(B796,товар!$A$1:$C$433,2,FALSE)</f>
        <v>Конфеты</v>
      </c>
      <c r="J796" s="23">
        <f t="shared" si="61"/>
        <v>267.85483870967744</v>
      </c>
      <c r="K796" s="24">
        <f t="shared" si="62"/>
        <v>0.55308002649485144</v>
      </c>
      <c r="L796" t="str">
        <f>VLOOKUP(B796,товар!$A$1:$C$433,3,FALSE)</f>
        <v>Бабаевский</v>
      </c>
      <c r="M796">
        <f t="shared" si="63"/>
        <v>250.25925925925927</v>
      </c>
      <c r="N796" s="30">
        <f>VLOOKUP(H796,клиенты!$A$1:$G$435,5,FALSE)</f>
        <v>44728</v>
      </c>
      <c r="O796">
        <f t="shared" si="64"/>
        <v>489</v>
      </c>
    </row>
    <row r="797" spans="1:15" x14ac:dyDescent="0.3">
      <c r="A797">
        <v>796</v>
      </c>
      <c r="B797">
        <v>146</v>
      </c>
      <c r="C797">
        <v>387</v>
      </c>
      <c r="D797">
        <v>4</v>
      </c>
      <c r="E797">
        <f t="shared" si="60"/>
        <v>1548</v>
      </c>
      <c r="F797" s="30">
        <v>45027</v>
      </c>
      <c r="G797" t="s">
        <v>17</v>
      </c>
      <c r="H797">
        <v>368</v>
      </c>
      <c r="I797" t="str">
        <f>VLOOKUP(B797,товар!$A$1:$C$433,2,FALSE)</f>
        <v>Сок</v>
      </c>
      <c r="J797" s="23">
        <f t="shared" si="61"/>
        <v>268.60344827586209</v>
      </c>
      <c r="K797" s="24">
        <f t="shared" si="62"/>
        <v>0.44078567302137484</v>
      </c>
      <c r="L797" t="str">
        <f>VLOOKUP(B797,товар!$A$1:$C$433,3,FALSE)</f>
        <v>Добрый</v>
      </c>
      <c r="M797">
        <f t="shared" si="63"/>
        <v>242.81818181818181</v>
      </c>
      <c r="N797" s="30">
        <f>VLOOKUP(H797,клиенты!$A$1:$G$435,5,FALSE)</f>
        <v>44872</v>
      </c>
      <c r="O797">
        <f t="shared" si="64"/>
        <v>155</v>
      </c>
    </row>
    <row r="798" spans="1:15" x14ac:dyDescent="0.3">
      <c r="A798">
        <v>797</v>
      </c>
      <c r="B798">
        <v>77</v>
      </c>
      <c r="C798">
        <v>151</v>
      </c>
      <c r="D798">
        <v>2</v>
      </c>
      <c r="E798">
        <f t="shared" si="60"/>
        <v>302</v>
      </c>
      <c r="F798" s="30">
        <v>45067</v>
      </c>
      <c r="G798" t="s">
        <v>34</v>
      </c>
      <c r="H798">
        <v>481</v>
      </c>
      <c r="I798" t="str">
        <f>VLOOKUP(B798,товар!$A$1:$C$433,2,FALSE)</f>
        <v>Макароны</v>
      </c>
      <c r="J798" s="23">
        <f t="shared" si="61"/>
        <v>265.47674418604652</v>
      </c>
      <c r="K798" s="24">
        <f t="shared" si="62"/>
        <v>-0.43121194866628709</v>
      </c>
      <c r="L798" t="str">
        <f>VLOOKUP(B798,товар!$A$1:$C$433,3,FALSE)</f>
        <v>Паста Зара</v>
      </c>
      <c r="M798">
        <f t="shared" si="63"/>
        <v>276.67567567567568</v>
      </c>
      <c r="N798" s="30">
        <f>VLOOKUP(H798,клиенты!$A$1:$G$435,5,FALSE)</f>
        <v>44756</v>
      </c>
      <c r="O798">
        <f t="shared" si="64"/>
        <v>311</v>
      </c>
    </row>
    <row r="799" spans="1:15" x14ac:dyDescent="0.3">
      <c r="A799">
        <v>798</v>
      </c>
      <c r="B799">
        <v>407</v>
      </c>
      <c r="C799">
        <v>157</v>
      </c>
      <c r="D799">
        <v>3</v>
      </c>
      <c r="E799">
        <f t="shared" si="60"/>
        <v>471</v>
      </c>
      <c r="F799" s="30">
        <v>45275</v>
      </c>
      <c r="G799" t="s">
        <v>16</v>
      </c>
      <c r="H799">
        <v>354</v>
      </c>
      <c r="I799" t="str">
        <f>VLOOKUP(B799,товар!$A$1:$C$433,2,FALSE)</f>
        <v>Конфеты</v>
      </c>
      <c r="J799" s="23">
        <f t="shared" si="61"/>
        <v>267.85483870967744</v>
      </c>
      <c r="K799" s="24">
        <f t="shared" si="62"/>
        <v>-0.41386162461612575</v>
      </c>
      <c r="L799" t="str">
        <f>VLOOKUP(B799,товар!$A$1:$C$433,3,FALSE)</f>
        <v>Славянка</v>
      </c>
      <c r="M799">
        <f t="shared" si="63"/>
        <v>268</v>
      </c>
      <c r="N799" s="30">
        <f>VLOOKUP(H799,клиенты!$A$1:$G$435,5,FALSE)</f>
        <v>44811</v>
      </c>
      <c r="O799">
        <f t="shared" si="64"/>
        <v>464</v>
      </c>
    </row>
    <row r="800" spans="1:15" x14ac:dyDescent="0.3">
      <c r="A800">
        <v>799</v>
      </c>
      <c r="B800">
        <v>357</v>
      </c>
      <c r="C800">
        <v>55</v>
      </c>
      <c r="D800">
        <v>5</v>
      </c>
      <c r="E800">
        <f t="shared" si="60"/>
        <v>275</v>
      </c>
      <c r="F800" s="30">
        <v>45302</v>
      </c>
      <c r="G800" t="s">
        <v>31</v>
      </c>
      <c r="H800">
        <v>8</v>
      </c>
      <c r="I800" t="str">
        <f>VLOOKUP(B800,товар!$A$1:$C$433,2,FALSE)</f>
        <v>Мясо</v>
      </c>
      <c r="J800" s="23">
        <f t="shared" si="61"/>
        <v>271.74545454545455</v>
      </c>
      <c r="K800" s="24">
        <f t="shared" si="62"/>
        <v>-0.79760471029037872</v>
      </c>
      <c r="L800" t="str">
        <f>VLOOKUP(B800,товар!$A$1:$C$433,3,FALSE)</f>
        <v>Снежана</v>
      </c>
      <c r="M800">
        <f t="shared" si="63"/>
        <v>272.35294117647061</v>
      </c>
      <c r="N800" s="30">
        <f>VLOOKUP(H800,клиенты!$A$1:$G$435,5,FALSE)</f>
        <v>44883</v>
      </c>
      <c r="O800">
        <f t="shared" si="64"/>
        <v>419</v>
      </c>
    </row>
    <row r="801" spans="1:15" x14ac:dyDescent="0.3">
      <c r="A801">
        <v>800</v>
      </c>
      <c r="B801">
        <v>409</v>
      </c>
      <c r="C801">
        <v>235</v>
      </c>
      <c r="D801">
        <v>5</v>
      </c>
      <c r="E801">
        <f t="shared" si="60"/>
        <v>1175</v>
      </c>
      <c r="F801" s="30">
        <v>44960</v>
      </c>
      <c r="G801" t="s">
        <v>23</v>
      </c>
      <c r="H801">
        <v>1</v>
      </c>
      <c r="I801" t="str">
        <f>VLOOKUP(B801,товар!$A$1:$C$433,2,FALSE)</f>
        <v>Фрукты</v>
      </c>
      <c r="J801" s="23">
        <f t="shared" si="61"/>
        <v>274.16279069767444</v>
      </c>
      <c r="K801" s="24">
        <f t="shared" si="62"/>
        <v>-0.14284502502332685</v>
      </c>
      <c r="L801" t="str">
        <f>VLOOKUP(B801,товар!$A$1:$C$433,3,FALSE)</f>
        <v>Фруктовый Рай</v>
      </c>
      <c r="M801">
        <f t="shared" si="63"/>
        <v>258.30769230769232</v>
      </c>
      <c r="N801" s="30">
        <f>VLOOKUP(H801,клиенты!$A$1:$G$435,5,FALSE)</f>
        <v>44585</v>
      </c>
      <c r="O801">
        <f t="shared" si="64"/>
        <v>375</v>
      </c>
    </row>
    <row r="802" spans="1:15" x14ac:dyDescent="0.3">
      <c r="A802">
        <v>801</v>
      </c>
      <c r="B802">
        <v>148</v>
      </c>
      <c r="C802">
        <v>474</v>
      </c>
      <c r="D802">
        <v>4</v>
      </c>
      <c r="E802">
        <f t="shared" si="60"/>
        <v>1896</v>
      </c>
      <c r="F802" s="30">
        <v>45074</v>
      </c>
      <c r="G802" t="s">
        <v>26</v>
      </c>
      <c r="H802">
        <v>333</v>
      </c>
      <c r="I802" t="str">
        <f>VLOOKUP(B802,товар!$A$1:$C$433,2,FALSE)</f>
        <v>Сок</v>
      </c>
      <c r="J802" s="23">
        <f t="shared" si="61"/>
        <v>268.60344827586209</v>
      </c>
      <c r="K802" s="24">
        <f t="shared" si="62"/>
        <v>0.76468322742152872</v>
      </c>
      <c r="L802" t="str">
        <f>VLOOKUP(B802,товар!$A$1:$C$433,3,FALSE)</f>
        <v>Фруктовый сад</v>
      </c>
      <c r="M802">
        <f t="shared" si="63"/>
        <v>281.96875</v>
      </c>
      <c r="N802" s="30">
        <f>VLOOKUP(H802,клиенты!$A$1:$G$435,5,FALSE)</f>
        <v>44857</v>
      </c>
      <c r="O802">
        <f t="shared" si="64"/>
        <v>217</v>
      </c>
    </row>
    <row r="803" spans="1:15" x14ac:dyDescent="0.3">
      <c r="A803">
        <v>802</v>
      </c>
      <c r="B803">
        <v>63</v>
      </c>
      <c r="C803">
        <v>479</v>
      </c>
      <c r="D803">
        <v>4</v>
      </c>
      <c r="E803">
        <f t="shared" si="60"/>
        <v>1916</v>
      </c>
      <c r="F803" s="30">
        <v>45235</v>
      </c>
      <c r="G803" t="s">
        <v>18</v>
      </c>
      <c r="H803">
        <v>396</v>
      </c>
      <c r="I803" t="str">
        <f>VLOOKUP(B803,товар!$A$1:$C$433,2,FALSE)</f>
        <v>Рыба</v>
      </c>
      <c r="J803" s="23">
        <f t="shared" si="61"/>
        <v>258.5128205128205</v>
      </c>
      <c r="K803" s="24">
        <f t="shared" si="62"/>
        <v>0.85290616941083131</v>
      </c>
      <c r="L803" t="str">
        <f>VLOOKUP(B803,товар!$A$1:$C$433,3,FALSE)</f>
        <v>Балтийский берег</v>
      </c>
      <c r="M803">
        <f t="shared" si="63"/>
        <v>289.88888888888891</v>
      </c>
      <c r="N803" s="30">
        <f>VLOOKUP(H803,клиенты!$A$1:$G$435,5,FALSE)</f>
        <v>44871</v>
      </c>
      <c r="O803">
        <f t="shared" si="64"/>
        <v>364</v>
      </c>
    </row>
    <row r="804" spans="1:15" x14ac:dyDescent="0.3">
      <c r="A804">
        <v>803</v>
      </c>
      <c r="B804">
        <v>410</v>
      </c>
      <c r="C804">
        <v>320</v>
      </c>
      <c r="D804">
        <v>4</v>
      </c>
      <c r="E804">
        <f t="shared" si="60"/>
        <v>1280</v>
      </c>
      <c r="F804" s="30">
        <v>45045</v>
      </c>
      <c r="G804" t="s">
        <v>23</v>
      </c>
      <c r="H804">
        <v>401</v>
      </c>
      <c r="I804" t="str">
        <f>VLOOKUP(B804,товар!$A$1:$C$433,2,FALSE)</f>
        <v>Чипсы</v>
      </c>
      <c r="J804" s="23">
        <f t="shared" si="61"/>
        <v>273.72549019607845</v>
      </c>
      <c r="K804" s="24">
        <f t="shared" si="62"/>
        <v>0.16905444126074487</v>
      </c>
      <c r="L804" t="str">
        <f>VLOOKUP(B804,товар!$A$1:$C$433,3,FALSE)</f>
        <v>Lay's</v>
      </c>
      <c r="M804">
        <f t="shared" si="63"/>
        <v>320.57142857142856</v>
      </c>
      <c r="N804" s="30">
        <f>VLOOKUP(H804,клиенты!$A$1:$G$435,5,FALSE)</f>
        <v>44856</v>
      </c>
      <c r="O804">
        <f t="shared" si="64"/>
        <v>189</v>
      </c>
    </row>
    <row r="805" spans="1:15" x14ac:dyDescent="0.3">
      <c r="A805">
        <v>804</v>
      </c>
      <c r="B805">
        <v>223</v>
      </c>
      <c r="C805">
        <v>477</v>
      </c>
      <c r="D805">
        <v>4</v>
      </c>
      <c r="E805">
        <f t="shared" si="60"/>
        <v>1908</v>
      </c>
      <c r="F805" s="30">
        <v>45064</v>
      </c>
      <c r="G805" t="s">
        <v>22</v>
      </c>
      <c r="H805">
        <v>121</v>
      </c>
      <c r="I805" t="str">
        <f>VLOOKUP(B805,товар!$A$1:$C$433,2,FALSE)</f>
        <v>Чай</v>
      </c>
      <c r="J805" s="23">
        <f t="shared" si="61"/>
        <v>271.18181818181819</v>
      </c>
      <c r="K805" s="24">
        <f t="shared" si="62"/>
        <v>0.75896748240026812</v>
      </c>
      <c r="L805" t="str">
        <f>VLOOKUP(B805,товар!$A$1:$C$433,3,FALSE)</f>
        <v>Greenfield</v>
      </c>
      <c r="M805">
        <f t="shared" si="63"/>
        <v>291.45454545454544</v>
      </c>
      <c r="N805" s="30">
        <f>VLOOKUP(H805,клиенты!$A$1:$G$435,5,FALSE)</f>
        <v>44763</v>
      </c>
      <c r="O805">
        <f t="shared" si="64"/>
        <v>301</v>
      </c>
    </row>
    <row r="806" spans="1:15" x14ac:dyDescent="0.3">
      <c r="A806">
        <v>805</v>
      </c>
      <c r="B806">
        <v>35</v>
      </c>
      <c r="C806">
        <v>277</v>
      </c>
      <c r="D806">
        <v>4</v>
      </c>
      <c r="E806">
        <f t="shared" si="60"/>
        <v>1108</v>
      </c>
      <c r="F806" s="30">
        <v>45422</v>
      </c>
      <c r="G806" t="s">
        <v>17</v>
      </c>
      <c r="H806">
        <v>108</v>
      </c>
      <c r="I806" t="str">
        <f>VLOOKUP(B806,товар!$A$1:$C$433,2,FALSE)</f>
        <v>Крупа</v>
      </c>
      <c r="J806" s="23">
        <f t="shared" si="61"/>
        <v>255.11627906976744</v>
      </c>
      <c r="K806" s="24">
        <f t="shared" si="62"/>
        <v>8.5779398359161263E-2</v>
      </c>
      <c r="L806" t="str">
        <f>VLOOKUP(B806,товар!$A$1:$C$433,3,FALSE)</f>
        <v>Мистраль</v>
      </c>
      <c r="M806">
        <f t="shared" si="63"/>
        <v>250.30769230769232</v>
      </c>
      <c r="N806" s="30">
        <f>VLOOKUP(H806,клиенты!$A$1:$G$435,5,FALSE)</f>
        <v>44835</v>
      </c>
      <c r="O806">
        <f t="shared" si="64"/>
        <v>587</v>
      </c>
    </row>
    <row r="807" spans="1:15" x14ac:dyDescent="0.3">
      <c r="A807">
        <v>806</v>
      </c>
      <c r="B807">
        <v>398</v>
      </c>
      <c r="C807">
        <v>127</v>
      </c>
      <c r="D807">
        <v>5</v>
      </c>
      <c r="E807">
        <f t="shared" si="60"/>
        <v>635</v>
      </c>
      <c r="F807" s="30">
        <v>45253</v>
      </c>
      <c r="G807" t="s">
        <v>22</v>
      </c>
      <c r="H807">
        <v>191</v>
      </c>
      <c r="I807" t="str">
        <f>VLOOKUP(B807,товар!$A$1:$C$433,2,FALSE)</f>
        <v>Сок</v>
      </c>
      <c r="J807" s="23">
        <f t="shared" si="61"/>
        <v>268.60344827586209</v>
      </c>
      <c r="K807" s="24">
        <f t="shared" si="62"/>
        <v>-0.52718402978368317</v>
      </c>
      <c r="L807" t="str">
        <f>VLOOKUP(B807,товар!$A$1:$C$433,3,FALSE)</f>
        <v>Фруктовый сад</v>
      </c>
      <c r="M807">
        <f t="shared" si="63"/>
        <v>281.96875</v>
      </c>
      <c r="N807" s="30">
        <f>VLOOKUP(H807,клиенты!$A$1:$G$435,5,FALSE)</f>
        <v>44866</v>
      </c>
      <c r="O807">
        <f t="shared" si="64"/>
        <v>387</v>
      </c>
    </row>
    <row r="808" spans="1:15" x14ac:dyDescent="0.3">
      <c r="A808">
        <v>807</v>
      </c>
      <c r="B808">
        <v>132</v>
      </c>
      <c r="C808">
        <v>154</v>
      </c>
      <c r="D808">
        <v>3</v>
      </c>
      <c r="E808">
        <f t="shared" si="60"/>
        <v>462</v>
      </c>
      <c r="F808" s="30">
        <v>45294</v>
      </c>
      <c r="G808" t="s">
        <v>26</v>
      </c>
      <c r="H808">
        <v>443</v>
      </c>
      <c r="I808" t="str">
        <f>VLOOKUP(B808,товар!$A$1:$C$433,2,FALSE)</f>
        <v>Рыба</v>
      </c>
      <c r="J808" s="23">
        <f t="shared" si="61"/>
        <v>258.5128205128205</v>
      </c>
      <c r="K808" s="24">
        <f t="shared" si="62"/>
        <v>-0.40428486411426301</v>
      </c>
      <c r="L808" t="str">
        <f>VLOOKUP(B808,товар!$A$1:$C$433,3,FALSE)</f>
        <v>Меридиан</v>
      </c>
      <c r="M808">
        <f t="shared" si="63"/>
        <v>260.64705882352939</v>
      </c>
      <c r="N808" s="30">
        <f>VLOOKUP(H808,клиенты!$A$1:$G$435,5,FALSE)</f>
        <v>44649</v>
      </c>
      <c r="O808">
        <f t="shared" si="64"/>
        <v>645</v>
      </c>
    </row>
    <row r="809" spans="1:15" x14ac:dyDescent="0.3">
      <c r="A809">
        <v>808</v>
      </c>
      <c r="B809">
        <v>415</v>
      </c>
      <c r="C809">
        <v>84</v>
      </c>
      <c r="D809">
        <v>5</v>
      </c>
      <c r="E809">
        <f t="shared" si="60"/>
        <v>420</v>
      </c>
      <c r="F809" s="30">
        <v>45156</v>
      </c>
      <c r="G809" t="s">
        <v>33</v>
      </c>
      <c r="H809">
        <v>191</v>
      </c>
      <c r="I809" t="str">
        <f>VLOOKUP(B809,товар!$A$1:$C$433,2,FALSE)</f>
        <v>Чипсы</v>
      </c>
      <c r="J809" s="23">
        <f t="shared" si="61"/>
        <v>273.72549019607845</v>
      </c>
      <c r="K809" s="24">
        <f t="shared" si="62"/>
        <v>-0.69312320916905446</v>
      </c>
      <c r="L809" t="str">
        <f>VLOOKUP(B809,товар!$A$1:$C$433,3,FALSE)</f>
        <v>Pringles</v>
      </c>
      <c r="M809">
        <f t="shared" si="63"/>
        <v>280.23809523809524</v>
      </c>
      <c r="N809" s="30">
        <f>VLOOKUP(H809,клиенты!$A$1:$G$435,5,FALSE)</f>
        <v>44866</v>
      </c>
      <c r="O809">
        <f t="shared" si="64"/>
        <v>290</v>
      </c>
    </row>
    <row r="810" spans="1:15" x14ac:dyDescent="0.3">
      <c r="A810">
        <v>809</v>
      </c>
      <c r="B810">
        <v>384</v>
      </c>
      <c r="C810">
        <v>423</v>
      </c>
      <c r="D810">
        <v>5</v>
      </c>
      <c r="E810">
        <f t="shared" si="60"/>
        <v>2115</v>
      </c>
      <c r="F810" s="30">
        <v>45346</v>
      </c>
      <c r="G810" t="s">
        <v>32</v>
      </c>
      <c r="H810">
        <v>249</v>
      </c>
      <c r="I810" t="str">
        <f>VLOOKUP(B810,товар!$A$1:$C$433,2,FALSE)</f>
        <v>Сахар</v>
      </c>
      <c r="J810" s="23">
        <f t="shared" si="61"/>
        <v>252.76271186440678</v>
      </c>
      <c r="K810" s="24">
        <f t="shared" si="62"/>
        <v>0.6735063367531684</v>
      </c>
      <c r="L810" t="str">
        <f>VLOOKUP(B810,товар!$A$1:$C$433,3,FALSE)</f>
        <v>Сладов</v>
      </c>
      <c r="M810">
        <f t="shared" si="63"/>
        <v>240.26666666666668</v>
      </c>
      <c r="N810" s="30">
        <f>VLOOKUP(H810,клиенты!$A$1:$G$435,5,FALSE)</f>
        <v>44781</v>
      </c>
      <c r="O810">
        <f t="shared" si="64"/>
        <v>565</v>
      </c>
    </row>
    <row r="811" spans="1:15" x14ac:dyDescent="0.3">
      <c r="A811">
        <v>810</v>
      </c>
      <c r="B811">
        <v>311</v>
      </c>
      <c r="C811">
        <v>470</v>
      </c>
      <c r="D811">
        <v>2</v>
      </c>
      <c r="E811">
        <f t="shared" si="60"/>
        <v>940</v>
      </c>
      <c r="F811" s="30">
        <v>45304</v>
      </c>
      <c r="G811" t="s">
        <v>26</v>
      </c>
      <c r="H811">
        <v>418</v>
      </c>
      <c r="I811" t="str">
        <f>VLOOKUP(B811,товар!$A$1:$C$433,2,FALSE)</f>
        <v>Макароны</v>
      </c>
      <c r="J811" s="23">
        <f t="shared" si="61"/>
        <v>265.47674418604652</v>
      </c>
      <c r="K811" s="24">
        <f t="shared" si="62"/>
        <v>0.77039989487976879</v>
      </c>
      <c r="L811" t="str">
        <f>VLOOKUP(B811,товар!$A$1:$C$433,3,FALSE)</f>
        <v>Паста Зара</v>
      </c>
      <c r="M811">
        <f t="shared" si="63"/>
        <v>276.67567567567568</v>
      </c>
      <c r="N811" s="30">
        <f>VLOOKUP(H811,клиенты!$A$1:$G$435,5,FALSE)</f>
        <v>44700</v>
      </c>
      <c r="O811">
        <f t="shared" si="64"/>
        <v>604</v>
      </c>
    </row>
    <row r="812" spans="1:15" x14ac:dyDescent="0.3">
      <c r="A812">
        <v>811</v>
      </c>
      <c r="B812">
        <v>328</v>
      </c>
      <c r="C812">
        <v>59</v>
      </c>
      <c r="D812">
        <v>1</v>
      </c>
      <c r="E812">
        <f t="shared" si="60"/>
        <v>59</v>
      </c>
      <c r="F812" s="30">
        <v>44991</v>
      </c>
      <c r="G812" t="s">
        <v>29</v>
      </c>
      <c r="H812">
        <v>126</v>
      </c>
      <c r="I812" t="str">
        <f>VLOOKUP(B812,товар!$A$1:$C$433,2,FALSE)</f>
        <v>Чипсы</v>
      </c>
      <c r="J812" s="23">
        <f t="shared" si="61"/>
        <v>273.72549019607845</v>
      </c>
      <c r="K812" s="24">
        <f t="shared" si="62"/>
        <v>-0.78445558739255017</v>
      </c>
      <c r="L812" t="str">
        <f>VLOOKUP(B812,товар!$A$1:$C$433,3,FALSE)</f>
        <v>Русская картошка</v>
      </c>
      <c r="M812">
        <f t="shared" si="63"/>
        <v>241.83333333333334</v>
      </c>
      <c r="N812" s="30">
        <f>VLOOKUP(H812,клиенты!$A$1:$G$435,5,FALSE)</f>
        <v>44822</v>
      </c>
      <c r="O812">
        <f t="shared" si="64"/>
        <v>169</v>
      </c>
    </row>
    <row r="813" spans="1:15" x14ac:dyDescent="0.3">
      <c r="A813">
        <v>812</v>
      </c>
      <c r="B813">
        <v>74</v>
      </c>
      <c r="C813">
        <v>332</v>
      </c>
      <c r="D813">
        <v>3</v>
      </c>
      <c r="E813">
        <f t="shared" si="60"/>
        <v>996</v>
      </c>
      <c r="F813" s="30">
        <v>45000</v>
      </c>
      <c r="G813" t="s">
        <v>31</v>
      </c>
      <c r="H813">
        <v>497</v>
      </c>
      <c r="I813" t="str">
        <f>VLOOKUP(B813,товар!$A$1:$C$433,2,FALSE)</f>
        <v>Колбаса</v>
      </c>
      <c r="J813" s="23">
        <f t="shared" si="61"/>
        <v>286.92307692307691</v>
      </c>
      <c r="K813" s="24">
        <f t="shared" si="62"/>
        <v>0.15710455764075082</v>
      </c>
      <c r="L813" t="str">
        <f>VLOOKUP(B813,товар!$A$1:$C$433,3,FALSE)</f>
        <v>Черкизово</v>
      </c>
      <c r="M813">
        <f t="shared" si="63"/>
        <v>320.25</v>
      </c>
      <c r="N813" s="30">
        <f>VLOOKUP(H813,клиенты!$A$1:$G$435,5,FALSE)</f>
        <v>44826</v>
      </c>
      <c r="O813">
        <f t="shared" si="64"/>
        <v>174</v>
      </c>
    </row>
    <row r="814" spans="1:15" x14ac:dyDescent="0.3">
      <c r="A814">
        <v>813</v>
      </c>
      <c r="B814">
        <v>152</v>
      </c>
      <c r="C814">
        <v>94</v>
      </c>
      <c r="D814">
        <v>5</v>
      </c>
      <c r="E814">
        <f t="shared" si="60"/>
        <v>470</v>
      </c>
      <c r="F814" s="30">
        <v>44942</v>
      </c>
      <c r="G814" t="s">
        <v>31</v>
      </c>
      <c r="H814">
        <v>332</v>
      </c>
      <c r="I814" t="str">
        <f>VLOOKUP(B814,товар!$A$1:$C$433,2,FALSE)</f>
        <v>Печенье</v>
      </c>
      <c r="J814" s="23">
        <f t="shared" si="61"/>
        <v>283.468085106383</v>
      </c>
      <c r="K814" s="24">
        <f t="shared" si="62"/>
        <v>-0.66839300457854844</v>
      </c>
      <c r="L814" t="str">
        <f>VLOOKUP(B814,товар!$A$1:$C$433,3,FALSE)</f>
        <v>Белогорье</v>
      </c>
      <c r="M814">
        <f t="shared" si="63"/>
        <v>249.5</v>
      </c>
      <c r="N814" s="30">
        <f>VLOOKUP(H814,клиенты!$A$1:$G$435,5,FALSE)</f>
        <v>44858</v>
      </c>
      <c r="O814">
        <f t="shared" si="64"/>
        <v>84</v>
      </c>
    </row>
    <row r="815" spans="1:15" x14ac:dyDescent="0.3">
      <c r="A815">
        <v>814</v>
      </c>
      <c r="B815">
        <v>319</v>
      </c>
      <c r="C815">
        <v>148</v>
      </c>
      <c r="D815">
        <v>1</v>
      </c>
      <c r="E815">
        <f t="shared" si="60"/>
        <v>148</v>
      </c>
      <c r="F815" s="30">
        <v>45143</v>
      </c>
      <c r="G815" t="s">
        <v>21</v>
      </c>
      <c r="H815">
        <v>445</v>
      </c>
      <c r="I815" t="str">
        <f>VLOOKUP(B815,товар!$A$1:$C$433,2,FALSE)</f>
        <v>Йогурт</v>
      </c>
      <c r="J815" s="23">
        <f t="shared" si="61"/>
        <v>263.25423728813558</v>
      </c>
      <c r="K815" s="24">
        <f t="shared" si="62"/>
        <v>-0.43780582024208081</v>
      </c>
      <c r="L815" t="str">
        <f>VLOOKUP(B815,товар!$A$1:$C$433,3,FALSE)</f>
        <v>Эрманн</v>
      </c>
      <c r="M815">
        <f t="shared" si="63"/>
        <v>248.5</v>
      </c>
      <c r="N815" s="30">
        <f>VLOOKUP(H815,клиенты!$A$1:$G$435,5,FALSE)</f>
        <v>44676</v>
      </c>
      <c r="O815">
        <f t="shared" si="64"/>
        <v>467</v>
      </c>
    </row>
    <row r="816" spans="1:15" x14ac:dyDescent="0.3">
      <c r="A816">
        <v>815</v>
      </c>
      <c r="B816">
        <v>19</v>
      </c>
      <c r="C816">
        <v>378</v>
      </c>
      <c r="D816">
        <v>2</v>
      </c>
      <c r="E816">
        <f t="shared" si="60"/>
        <v>756</v>
      </c>
      <c r="F816" s="30">
        <v>45358</v>
      </c>
      <c r="G816" t="s">
        <v>30</v>
      </c>
      <c r="H816">
        <v>167</v>
      </c>
      <c r="I816" t="str">
        <f>VLOOKUP(B816,товар!$A$1:$C$433,2,FALSE)</f>
        <v>Мясо</v>
      </c>
      <c r="J816" s="23">
        <f t="shared" si="61"/>
        <v>271.74545454545455</v>
      </c>
      <c r="K816" s="24">
        <f t="shared" si="62"/>
        <v>0.39100762745885187</v>
      </c>
      <c r="L816" t="str">
        <f>VLOOKUP(B816,товар!$A$1:$C$433,3,FALSE)</f>
        <v>Снежана</v>
      </c>
      <c r="M816">
        <f t="shared" si="63"/>
        <v>272.35294117647061</v>
      </c>
      <c r="N816" s="30">
        <f>VLOOKUP(H816,клиенты!$A$1:$G$435,5,FALSE)</f>
        <v>44563</v>
      </c>
      <c r="O816">
        <f t="shared" si="64"/>
        <v>795</v>
      </c>
    </row>
    <row r="817" spans="1:15" x14ac:dyDescent="0.3">
      <c r="A817">
        <v>816</v>
      </c>
      <c r="B817">
        <v>242</v>
      </c>
      <c r="C817">
        <v>265</v>
      </c>
      <c r="D817">
        <v>4</v>
      </c>
      <c r="E817">
        <f t="shared" si="60"/>
        <v>1060</v>
      </c>
      <c r="F817" s="30">
        <v>44931</v>
      </c>
      <c r="G817" t="s">
        <v>34</v>
      </c>
      <c r="H817">
        <v>415</v>
      </c>
      <c r="I817" t="str">
        <f>VLOOKUP(B817,товар!$A$1:$C$433,2,FALSE)</f>
        <v>Овощи</v>
      </c>
      <c r="J817" s="23">
        <f t="shared" si="61"/>
        <v>250.48780487804879</v>
      </c>
      <c r="K817" s="24">
        <f t="shared" si="62"/>
        <v>5.7935735150924872E-2</v>
      </c>
      <c r="L817" t="str">
        <f>VLOOKUP(B817,товар!$A$1:$C$433,3,FALSE)</f>
        <v>Овощной ряд</v>
      </c>
      <c r="M817">
        <f t="shared" si="63"/>
        <v>303.8235294117647</v>
      </c>
      <c r="N817" s="30">
        <f>VLOOKUP(H817,клиенты!$A$1:$G$435,5,FALSE)</f>
        <v>44661</v>
      </c>
      <c r="O817">
        <f t="shared" si="64"/>
        <v>270</v>
      </c>
    </row>
    <row r="818" spans="1:15" x14ac:dyDescent="0.3">
      <c r="A818">
        <v>817</v>
      </c>
      <c r="B818">
        <v>354</v>
      </c>
      <c r="C818">
        <v>431</v>
      </c>
      <c r="D818">
        <v>1</v>
      </c>
      <c r="E818">
        <f t="shared" si="60"/>
        <v>431</v>
      </c>
      <c r="F818" s="30">
        <v>45419</v>
      </c>
      <c r="G818" t="s">
        <v>27</v>
      </c>
      <c r="H818">
        <v>229</v>
      </c>
      <c r="I818" t="str">
        <f>VLOOKUP(B818,товар!$A$1:$C$433,2,FALSE)</f>
        <v>Чай</v>
      </c>
      <c r="J818" s="23">
        <f t="shared" si="61"/>
        <v>271.18181818181819</v>
      </c>
      <c r="K818" s="24">
        <f t="shared" si="62"/>
        <v>0.58933959101575595</v>
      </c>
      <c r="L818" t="str">
        <f>VLOOKUP(B818,товар!$A$1:$C$433,3,FALSE)</f>
        <v>Lipton</v>
      </c>
      <c r="M818">
        <f t="shared" si="63"/>
        <v>260.15789473684208</v>
      </c>
      <c r="N818" s="30">
        <f>VLOOKUP(H818,клиенты!$A$1:$G$435,5,FALSE)</f>
        <v>44766</v>
      </c>
      <c r="O818">
        <f t="shared" si="64"/>
        <v>653</v>
      </c>
    </row>
    <row r="819" spans="1:15" x14ac:dyDescent="0.3">
      <c r="A819">
        <v>818</v>
      </c>
      <c r="B819">
        <v>354</v>
      </c>
      <c r="C819">
        <v>382</v>
      </c>
      <c r="D819">
        <v>4</v>
      </c>
      <c r="E819">
        <f t="shared" si="60"/>
        <v>1528</v>
      </c>
      <c r="F819" s="30">
        <v>44939</v>
      </c>
      <c r="G819" t="s">
        <v>23</v>
      </c>
      <c r="H819">
        <v>119</v>
      </c>
      <c r="I819" t="str">
        <f>VLOOKUP(B819,товар!$A$1:$C$433,2,FALSE)</f>
        <v>Чай</v>
      </c>
      <c r="J819" s="23">
        <f t="shared" si="61"/>
        <v>271.18181818181819</v>
      </c>
      <c r="K819" s="24">
        <f t="shared" si="62"/>
        <v>0.40864901106268858</v>
      </c>
      <c r="L819" t="str">
        <f>VLOOKUP(B819,товар!$A$1:$C$433,3,FALSE)</f>
        <v>Lipton</v>
      </c>
      <c r="M819">
        <f t="shared" si="63"/>
        <v>260.15789473684208</v>
      </c>
      <c r="N819" s="30">
        <f>VLOOKUP(H819,клиенты!$A$1:$G$435,5,FALSE)</f>
        <v>44690</v>
      </c>
      <c r="O819">
        <f t="shared" si="64"/>
        <v>249</v>
      </c>
    </row>
    <row r="820" spans="1:15" x14ac:dyDescent="0.3">
      <c r="A820">
        <v>819</v>
      </c>
      <c r="B820">
        <v>245</v>
      </c>
      <c r="C820">
        <v>281</v>
      </c>
      <c r="D820">
        <v>1</v>
      </c>
      <c r="E820">
        <f t="shared" si="60"/>
        <v>281</v>
      </c>
      <c r="F820" s="30">
        <v>45036</v>
      </c>
      <c r="G820" t="s">
        <v>18</v>
      </c>
      <c r="H820">
        <v>341</v>
      </c>
      <c r="I820" t="str">
        <f>VLOOKUP(B820,товар!$A$1:$C$433,2,FALSE)</f>
        <v>Сахар</v>
      </c>
      <c r="J820" s="23">
        <f t="shared" si="61"/>
        <v>252.76271186440678</v>
      </c>
      <c r="K820" s="24">
        <f t="shared" si="62"/>
        <v>0.11171461141286132</v>
      </c>
      <c r="L820" t="str">
        <f>VLOOKUP(B820,товар!$A$1:$C$433,3,FALSE)</f>
        <v>Продимекс</v>
      </c>
      <c r="M820">
        <f t="shared" si="63"/>
        <v>240.5</v>
      </c>
      <c r="N820" s="30">
        <f>VLOOKUP(H820,клиенты!$A$1:$G$435,5,FALSE)</f>
        <v>44724</v>
      </c>
      <c r="O820">
        <f t="shared" si="64"/>
        <v>312</v>
      </c>
    </row>
    <row r="821" spans="1:15" x14ac:dyDescent="0.3">
      <c r="A821">
        <v>820</v>
      </c>
      <c r="B821">
        <v>386</v>
      </c>
      <c r="C821">
        <v>149</v>
      </c>
      <c r="D821">
        <v>5</v>
      </c>
      <c r="E821">
        <f t="shared" si="60"/>
        <v>745</v>
      </c>
      <c r="F821" s="30">
        <v>45103</v>
      </c>
      <c r="G821" t="s">
        <v>15</v>
      </c>
      <c r="H821">
        <v>407</v>
      </c>
      <c r="I821" t="str">
        <f>VLOOKUP(B821,товар!$A$1:$C$433,2,FALSE)</f>
        <v>Крупа</v>
      </c>
      <c r="J821" s="23">
        <f t="shared" si="61"/>
        <v>255.11627906976744</v>
      </c>
      <c r="K821" s="24">
        <f t="shared" si="62"/>
        <v>-0.41595259799453055</v>
      </c>
      <c r="L821" t="str">
        <f>VLOOKUP(B821,товар!$A$1:$C$433,3,FALSE)</f>
        <v>Увелка</v>
      </c>
      <c r="M821">
        <f t="shared" si="63"/>
        <v>251.91666666666666</v>
      </c>
      <c r="N821" s="30">
        <f>VLOOKUP(H821,клиенты!$A$1:$G$435,5,FALSE)</f>
        <v>44621</v>
      </c>
      <c r="O821">
        <f t="shared" si="64"/>
        <v>482</v>
      </c>
    </row>
    <row r="822" spans="1:15" x14ac:dyDescent="0.3">
      <c r="A822">
        <v>821</v>
      </c>
      <c r="B822">
        <v>434</v>
      </c>
      <c r="C822">
        <v>257</v>
      </c>
      <c r="D822">
        <v>2</v>
      </c>
      <c r="E822">
        <f t="shared" si="60"/>
        <v>514</v>
      </c>
      <c r="F822" s="30">
        <v>45128</v>
      </c>
      <c r="G822" t="s">
        <v>17</v>
      </c>
      <c r="H822">
        <v>264</v>
      </c>
      <c r="I822" t="str">
        <f>VLOOKUP(B822,товар!$A$1:$C$433,2,FALSE)</f>
        <v>Сыр</v>
      </c>
      <c r="J822" s="23">
        <f t="shared" si="61"/>
        <v>262.63492063492066</v>
      </c>
      <c r="K822" s="24">
        <f t="shared" si="62"/>
        <v>-2.1455336637253852E-2</v>
      </c>
      <c r="L822" t="str">
        <f>VLOOKUP(B822,товар!$A$1:$C$433,3,FALSE)</f>
        <v>Сырная долина</v>
      </c>
      <c r="M822">
        <f t="shared" si="63"/>
        <v>271</v>
      </c>
      <c r="N822" s="30">
        <f>VLOOKUP(H822,клиенты!$A$1:$G$435,5,FALSE)</f>
        <v>44907</v>
      </c>
      <c r="O822">
        <f t="shared" si="64"/>
        <v>221</v>
      </c>
    </row>
    <row r="823" spans="1:15" x14ac:dyDescent="0.3">
      <c r="A823">
        <v>822</v>
      </c>
      <c r="B823">
        <v>402</v>
      </c>
      <c r="C823">
        <v>218</v>
      </c>
      <c r="D823">
        <v>1</v>
      </c>
      <c r="E823">
        <f t="shared" si="60"/>
        <v>218</v>
      </c>
      <c r="F823" s="30">
        <v>45322</v>
      </c>
      <c r="G823" t="s">
        <v>21</v>
      </c>
      <c r="H823">
        <v>91</v>
      </c>
      <c r="I823" t="str">
        <f>VLOOKUP(B823,товар!$A$1:$C$433,2,FALSE)</f>
        <v>Хлеб</v>
      </c>
      <c r="J823" s="23">
        <f t="shared" si="61"/>
        <v>300.31818181818181</v>
      </c>
      <c r="K823" s="24">
        <f t="shared" si="62"/>
        <v>-0.27410322385348873</v>
      </c>
      <c r="L823" t="str">
        <f>VLOOKUP(B823,товар!$A$1:$C$433,3,FALSE)</f>
        <v>Каравай</v>
      </c>
      <c r="M823">
        <f t="shared" si="63"/>
        <v>331.16666666666669</v>
      </c>
      <c r="N823" s="30">
        <f>VLOOKUP(H823,клиенты!$A$1:$G$435,5,FALSE)</f>
        <v>44687</v>
      </c>
      <c r="O823">
        <f t="shared" si="64"/>
        <v>635</v>
      </c>
    </row>
    <row r="824" spans="1:15" x14ac:dyDescent="0.3">
      <c r="A824">
        <v>823</v>
      </c>
      <c r="B824">
        <v>326</v>
      </c>
      <c r="C824">
        <v>198</v>
      </c>
      <c r="D824">
        <v>2</v>
      </c>
      <c r="E824">
        <f t="shared" si="60"/>
        <v>396</v>
      </c>
      <c r="F824" s="30">
        <v>45396</v>
      </c>
      <c r="G824" t="s">
        <v>17</v>
      </c>
      <c r="H824">
        <v>362</v>
      </c>
      <c r="I824" t="str">
        <f>VLOOKUP(B824,товар!$A$1:$C$433,2,FALSE)</f>
        <v>Крупа</v>
      </c>
      <c r="J824" s="23">
        <f t="shared" si="61"/>
        <v>255.11627906976744</v>
      </c>
      <c r="K824" s="24">
        <f t="shared" si="62"/>
        <v>-0.22388331814038287</v>
      </c>
      <c r="L824" t="str">
        <f>VLOOKUP(B824,товар!$A$1:$C$433,3,FALSE)</f>
        <v>Увелка</v>
      </c>
      <c r="M824">
        <f t="shared" si="63"/>
        <v>251.91666666666666</v>
      </c>
      <c r="N824" s="30">
        <f>VLOOKUP(H824,клиенты!$A$1:$G$435,5,FALSE)</f>
        <v>44916</v>
      </c>
      <c r="O824">
        <f t="shared" si="64"/>
        <v>480</v>
      </c>
    </row>
    <row r="825" spans="1:15" x14ac:dyDescent="0.3">
      <c r="A825">
        <v>824</v>
      </c>
      <c r="B825">
        <v>491</v>
      </c>
      <c r="C825">
        <v>111</v>
      </c>
      <c r="D825">
        <v>4</v>
      </c>
      <c r="E825">
        <f t="shared" si="60"/>
        <v>444</v>
      </c>
      <c r="F825" s="30">
        <v>45145</v>
      </c>
      <c r="G825" t="s">
        <v>16</v>
      </c>
      <c r="H825">
        <v>473</v>
      </c>
      <c r="I825" t="str">
        <f>VLOOKUP(B825,товар!$A$1:$C$433,2,FALSE)</f>
        <v>Овощи</v>
      </c>
      <c r="J825" s="23">
        <f t="shared" si="61"/>
        <v>250.48780487804879</v>
      </c>
      <c r="K825" s="24">
        <f t="shared" si="62"/>
        <v>-0.5568646543330088</v>
      </c>
      <c r="L825" t="str">
        <f>VLOOKUP(B825,товар!$A$1:$C$433,3,FALSE)</f>
        <v>Зеленая грядка</v>
      </c>
      <c r="M825">
        <f t="shared" si="63"/>
        <v>159.19999999999999</v>
      </c>
      <c r="N825" s="30">
        <f>VLOOKUP(H825,клиенты!$A$1:$G$435,5,FALSE)</f>
        <v>44799</v>
      </c>
      <c r="O825">
        <f t="shared" si="64"/>
        <v>346</v>
      </c>
    </row>
    <row r="826" spans="1:15" x14ac:dyDescent="0.3">
      <c r="A826">
        <v>825</v>
      </c>
      <c r="B826">
        <v>240</v>
      </c>
      <c r="C826">
        <v>306</v>
      </c>
      <c r="D826">
        <v>5</v>
      </c>
      <c r="E826">
        <f t="shared" si="60"/>
        <v>1530</v>
      </c>
      <c r="F826" s="30">
        <v>45319</v>
      </c>
      <c r="G826" t="s">
        <v>34</v>
      </c>
      <c r="H826">
        <v>482</v>
      </c>
      <c r="I826" t="str">
        <f>VLOOKUP(B826,товар!$A$1:$C$433,2,FALSE)</f>
        <v>Макароны</v>
      </c>
      <c r="J826" s="23">
        <f t="shared" si="61"/>
        <v>265.47674418604652</v>
      </c>
      <c r="K826" s="24">
        <f t="shared" si="62"/>
        <v>0.15264333581533873</v>
      </c>
      <c r="L826" t="str">
        <f>VLOOKUP(B826,товар!$A$1:$C$433,3,FALSE)</f>
        <v>Борилла</v>
      </c>
      <c r="M826">
        <f t="shared" si="63"/>
        <v>236.27586206896552</v>
      </c>
      <c r="N826" s="30">
        <f>VLOOKUP(H826,клиенты!$A$1:$G$435,5,FALSE)</f>
        <v>44679</v>
      </c>
      <c r="O826">
        <f t="shared" si="64"/>
        <v>640</v>
      </c>
    </row>
    <row r="827" spans="1:15" x14ac:dyDescent="0.3">
      <c r="A827">
        <v>826</v>
      </c>
      <c r="B827">
        <v>352</v>
      </c>
      <c r="C827">
        <v>391</v>
      </c>
      <c r="D827">
        <v>1</v>
      </c>
      <c r="E827">
        <f t="shared" si="60"/>
        <v>391</v>
      </c>
      <c r="F827" s="30">
        <v>45099</v>
      </c>
      <c r="G827" t="s">
        <v>27</v>
      </c>
      <c r="H827">
        <v>367</v>
      </c>
      <c r="I827" t="str">
        <f>VLOOKUP(B827,товар!$A$1:$C$433,2,FALSE)</f>
        <v>Йогурт</v>
      </c>
      <c r="J827" s="23">
        <f t="shared" si="61"/>
        <v>263.25423728813558</v>
      </c>
      <c r="K827" s="24">
        <f t="shared" si="62"/>
        <v>0.48525624517125943</v>
      </c>
      <c r="L827" t="str">
        <f>VLOOKUP(B827,товар!$A$1:$C$433,3,FALSE)</f>
        <v>Эрманн</v>
      </c>
      <c r="M827">
        <f t="shared" si="63"/>
        <v>248.5</v>
      </c>
      <c r="N827" s="30">
        <f>VLOOKUP(H827,клиенты!$A$1:$G$435,5,FALSE)</f>
        <v>44867</v>
      </c>
      <c r="O827">
        <f t="shared" si="64"/>
        <v>232</v>
      </c>
    </row>
    <row r="828" spans="1:15" x14ac:dyDescent="0.3">
      <c r="A828">
        <v>827</v>
      </c>
      <c r="B828">
        <v>305</v>
      </c>
      <c r="C828">
        <v>252</v>
      </c>
      <c r="D828">
        <v>1</v>
      </c>
      <c r="E828">
        <f t="shared" si="60"/>
        <v>252</v>
      </c>
      <c r="F828" s="30">
        <v>45413</v>
      </c>
      <c r="G828" t="s">
        <v>25</v>
      </c>
      <c r="H828">
        <v>172</v>
      </c>
      <c r="I828" t="str">
        <f>VLOOKUP(B828,товар!$A$1:$C$433,2,FALSE)</f>
        <v>Печенье</v>
      </c>
      <c r="J828" s="23">
        <f t="shared" si="61"/>
        <v>283.468085106383</v>
      </c>
      <c r="K828" s="24">
        <f t="shared" si="62"/>
        <v>-0.11101103355100206</v>
      </c>
      <c r="L828" t="str">
        <f>VLOOKUP(B828,товар!$A$1:$C$433,3,FALSE)</f>
        <v>Посиделкино</v>
      </c>
      <c r="M828">
        <f t="shared" si="63"/>
        <v>321.63636363636363</v>
      </c>
      <c r="N828" s="30">
        <f>VLOOKUP(H828,клиенты!$A$1:$G$435,5,FALSE)</f>
        <v>44737</v>
      </c>
      <c r="O828">
        <f t="shared" si="64"/>
        <v>676</v>
      </c>
    </row>
    <row r="829" spans="1:15" x14ac:dyDescent="0.3">
      <c r="A829">
        <v>828</v>
      </c>
      <c r="B829">
        <v>269</v>
      </c>
      <c r="C829">
        <v>398</v>
      </c>
      <c r="D829">
        <v>4</v>
      </c>
      <c r="E829">
        <f t="shared" si="60"/>
        <v>1592</v>
      </c>
      <c r="F829" s="30">
        <v>45051</v>
      </c>
      <c r="G829" t="s">
        <v>30</v>
      </c>
      <c r="H829">
        <v>466</v>
      </c>
      <c r="I829" t="str">
        <f>VLOOKUP(B829,товар!$A$1:$C$433,2,FALSE)</f>
        <v>Сахар</v>
      </c>
      <c r="J829" s="23">
        <f t="shared" si="61"/>
        <v>252.76271186440678</v>
      </c>
      <c r="K829" s="24">
        <f t="shared" si="62"/>
        <v>0.57459934285522696</v>
      </c>
      <c r="L829" t="str">
        <f>VLOOKUP(B829,товар!$A$1:$C$433,3,FALSE)</f>
        <v>Русский сахар</v>
      </c>
      <c r="M829">
        <f t="shared" si="63"/>
        <v>293.41176470588238</v>
      </c>
      <c r="N829" s="30">
        <f>VLOOKUP(H829,клиенты!$A$1:$G$435,5,FALSE)</f>
        <v>44772</v>
      </c>
      <c r="O829">
        <f t="shared" si="64"/>
        <v>279</v>
      </c>
    </row>
    <row r="830" spans="1:15" x14ac:dyDescent="0.3">
      <c r="A830">
        <v>829</v>
      </c>
      <c r="B830">
        <v>380</v>
      </c>
      <c r="C830">
        <v>100</v>
      </c>
      <c r="D830">
        <v>2</v>
      </c>
      <c r="E830">
        <f t="shared" si="60"/>
        <v>200</v>
      </c>
      <c r="F830" s="30">
        <v>45082</v>
      </c>
      <c r="G830" t="s">
        <v>24</v>
      </c>
      <c r="H830">
        <v>57</v>
      </c>
      <c r="I830" t="str">
        <f>VLOOKUP(B830,товар!$A$1:$C$433,2,FALSE)</f>
        <v>Конфеты</v>
      </c>
      <c r="J830" s="23">
        <f t="shared" si="61"/>
        <v>267.85483870967744</v>
      </c>
      <c r="K830" s="24">
        <f t="shared" si="62"/>
        <v>-0.62666345516950683</v>
      </c>
      <c r="L830" t="str">
        <f>VLOOKUP(B830,товар!$A$1:$C$433,3,FALSE)</f>
        <v>Бабаевский</v>
      </c>
      <c r="M830">
        <f t="shared" si="63"/>
        <v>250.25925925925927</v>
      </c>
      <c r="N830" s="30">
        <f>VLOOKUP(H830,клиенты!$A$1:$G$435,5,FALSE)</f>
        <v>44669</v>
      </c>
      <c r="O830">
        <f t="shared" si="64"/>
        <v>413</v>
      </c>
    </row>
    <row r="831" spans="1:15" x14ac:dyDescent="0.3">
      <c r="A831">
        <v>830</v>
      </c>
      <c r="B831">
        <v>44</v>
      </c>
      <c r="C831">
        <v>310</v>
      </c>
      <c r="D831">
        <v>3</v>
      </c>
      <c r="E831">
        <f t="shared" si="60"/>
        <v>930</v>
      </c>
      <c r="F831" s="30">
        <v>44971</v>
      </c>
      <c r="G831" t="s">
        <v>22</v>
      </c>
      <c r="H831">
        <v>48</v>
      </c>
      <c r="I831" t="str">
        <f>VLOOKUP(B831,товар!$A$1:$C$433,2,FALSE)</f>
        <v>Молоко</v>
      </c>
      <c r="J831" s="23">
        <f t="shared" si="61"/>
        <v>294.95238095238096</v>
      </c>
      <c r="K831" s="24">
        <f t="shared" si="62"/>
        <v>5.1017113335485975E-2</v>
      </c>
      <c r="L831" t="str">
        <f>VLOOKUP(B831,товар!$A$1:$C$433,3,FALSE)</f>
        <v>Беллакт</v>
      </c>
      <c r="M831">
        <f t="shared" si="63"/>
        <v>322.54545454545456</v>
      </c>
      <c r="N831" s="30">
        <f>VLOOKUP(H831,клиенты!$A$1:$G$435,5,FALSE)</f>
        <v>44856</v>
      </c>
      <c r="O831">
        <f t="shared" si="64"/>
        <v>115</v>
      </c>
    </row>
    <row r="832" spans="1:15" x14ac:dyDescent="0.3">
      <c r="A832">
        <v>831</v>
      </c>
      <c r="B832">
        <v>183</v>
      </c>
      <c r="C832">
        <v>286</v>
      </c>
      <c r="D832">
        <v>2</v>
      </c>
      <c r="E832">
        <f t="shared" si="60"/>
        <v>572</v>
      </c>
      <c r="F832" s="30">
        <v>44983</v>
      </c>
      <c r="G832" t="s">
        <v>29</v>
      </c>
      <c r="H832">
        <v>11</v>
      </c>
      <c r="I832" t="str">
        <f>VLOOKUP(B832,товар!$A$1:$C$433,2,FALSE)</f>
        <v>Конфеты</v>
      </c>
      <c r="J832" s="23">
        <f t="shared" si="61"/>
        <v>267.85483870967744</v>
      </c>
      <c r="K832" s="24">
        <f t="shared" si="62"/>
        <v>6.774251821521049E-2</v>
      </c>
      <c r="L832" t="str">
        <f>VLOOKUP(B832,товар!$A$1:$C$433,3,FALSE)</f>
        <v>Бабаевский</v>
      </c>
      <c r="M832">
        <f t="shared" si="63"/>
        <v>250.25925925925927</v>
      </c>
      <c r="N832" s="30">
        <f>VLOOKUP(H832,клиенты!$A$1:$G$435,5,FALSE)</f>
        <v>44690</v>
      </c>
      <c r="O832">
        <f t="shared" si="64"/>
        <v>293</v>
      </c>
    </row>
    <row r="833" spans="1:15" x14ac:dyDescent="0.3">
      <c r="A833">
        <v>832</v>
      </c>
      <c r="B833">
        <v>65</v>
      </c>
      <c r="C833">
        <v>201</v>
      </c>
      <c r="D833">
        <v>2</v>
      </c>
      <c r="E833">
        <f t="shared" si="60"/>
        <v>402</v>
      </c>
      <c r="F833" s="30">
        <v>45296</v>
      </c>
      <c r="G833" t="s">
        <v>16</v>
      </c>
      <c r="H833">
        <v>125</v>
      </c>
      <c r="I833" t="str">
        <f>VLOOKUP(B833,товар!$A$1:$C$433,2,FALSE)</f>
        <v>Хлеб</v>
      </c>
      <c r="J833" s="23">
        <f t="shared" si="61"/>
        <v>300.31818181818181</v>
      </c>
      <c r="K833" s="24">
        <f t="shared" si="62"/>
        <v>-0.33070985318601487</v>
      </c>
      <c r="L833" t="str">
        <f>VLOOKUP(B833,товар!$A$1:$C$433,3,FALSE)</f>
        <v>Хлебный Дом</v>
      </c>
      <c r="M833">
        <f t="shared" si="63"/>
        <v>281.73333333333335</v>
      </c>
      <c r="N833" s="30">
        <f>VLOOKUP(H833,клиенты!$A$1:$G$435,5,FALSE)</f>
        <v>44701</v>
      </c>
      <c r="O833">
        <f t="shared" si="64"/>
        <v>595</v>
      </c>
    </row>
    <row r="834" spans="1:15" x14ac:dyDescent="0.3">
      <c r="A834">
        <v>833</v>
      </c>
      <c r="B834">
        <v>425</v>
      </c>
      <c r="C834">
        <v>258</v>
      </c>
      <c r="D834">
        <v>4</v>
      </c>
      <c r="E834">
        <f t="shared" ref="E834:E897" si="65">C834*D834</f>
        <v>1032</v>
      </c>
      <c r="F834" s="30">
        <v>45128</v>
      </c>
      <c r="G834" t="s">
        <v>30</v>
      </c>
      <c r="H834">
        <v>72</v>
      </c>
      <c r="I834" t="str">
        <f>VLOOKUP(B834,товар!$A$1:$C$433,2,FALSE)</f>
        <v>Соль</v>
      </c>
      <c r="J834" s="23">
        <f t="shared" ref="J834:J897" si="66">AVERAGEIF($I$2:$I$1001,I834,$C$2:$C$1001)</f>
        <v>264.8679245283019</v>
      </c>
      <c r="K834" s="24">
        <f t="shared" ref="K834:K897" si="67">C834/J834-1</f>
        <v>-2.5929619603932252E-2</v>
      </c>
      <c r="L834" t="str">
        <f>VLOOKUP(B834,товар!$A$1:$C$433,3,FALSE)</f>
        <v>Экстра</v>
      </c>
      <c r="M834">
        <f t="shared" ref="M834:M897" si="68">AVERAGEIFS($C$2:$C$1001,$I$2:$I$1001,I834,$L$2:$L$1001,L834)</f>
        <v>320.84615384615387</v>
      </c>
      <c r="N834" s="30">
        <f>VLOOKUP(H834,клиенты!$A$1:$G$435,5,FALSE)</f>
        <v>44906</v>
      </c>
      <c r="O834">
        <f t="shared" ref="O834:O897" si="69">F834-N834</f>
        <v>222</v>
      </c>
    </row>
    <row r="835" spans="1:15" x14ac:dyDescent="0.3">
      <c r="A835">
        <v>834</v>
      </c>
      <c r="B835">
        <v>230</v>
      </c>
      <c r="C835">
        <v>179</v>
      </c>
      <c r="D835">
        <v>4</v>
      </c>
      <c r="E835">
        <f t="shared" si="65"/>
        <v>716</v>
      </c>
      <c r="F835" s="30">
        <v>45395</v>
      </c>
      <c r="G835" t="s">
        <v>34</v>
      </c>
      <c r="H835">
        <v>68</v>
      </c>
      <c r="I835" t="str">
        <f>VLOOKUP(B835,товар!$A$1:$C$433,2,FALSE)</f>
        <v>Сок</v>
      </c>
      <c r="J835" s="23">
        <f t="shared" si="66"/>
        <v>268.60344827586209</v>
      </c>
      <c r="K835" s="24">
        <f t="shared" si="67"/>
        <v>-0.33359008922267164</v>
      </c>
      <c r="L835" t="str">
        <f>VLOOKUP(B835,товар!$A$1:$C$433,3,FALSE)</f>
        <v>Фруктовый сад</v>
      </c>
      <c r="M835">
        <f t="shared" si="68"/>
        <v>281.96875</v>
      </c>
      <c r="N835" s="30">
        <f>VLOOKUP(H835,клиенты!$A$1:$G$435,5,FALSE)</f>
        <v>44882</v>
      </c>
      <c r="O835">
        <f t="shared" si="69"/>
        <v>513</v>
      </c>
    </row>
    <row r="836" spans="1:15" x14ac:dyDescent="0.3">
      <c r="A836">
        <v>835</v>
      </c>
      <c r="B836">
        <v>497</v>
      </c>
      <c r="C836">
        <v>113</v>
      </c>
      <c r="D836">
        <v>2</v>
      </c>
      <c r="E836">
        <f t="shared" si="65"/>
        <v>226</v>
      </c>
      <c r="F836" s="30">
        <v>45243</v>
      </c>
      <c r="G836" t="s">
        <v>32</v>
      </c>
      <c r="H836">
        <v>219</v>
      </c>
      <c r="I836" t="str">
        <f>VLOOKUP(B836,товар!$A$1:$C$433,2,FALSE)</f>
        <v>Конфеты</v>
      </c>
      <c r="J836" s="23">
        <f t="shared" si="66"/>
        <v>267.85483870967744</v>
      </c>
      <c r="K836" s="24">
        <f t="shared" si="67"/>
        <v>-0.57812970434154276</v>
      </c>
      <c r="L836" t="str">
        <f>VLOOKUP(B836,товар!$A$1:$C$433,3,FALSE)</f>
        <v>Бабаевский</v>
      </c>
      <c r="M836">
        <f t="shared" si="68"/>
        <v>250.25925925925927</v>
      </c>
      <c r="N836" s="30">
        <f>VLOOKUP(H836,клиенты!$A$1:$G$435,5,FALSE)</f>
        <v>44585</v>
      </c>
      <c r="O836">
        <f t="shared" si="69"/>
        <v>658</v>
      </c>
    </row>
    <row r="837" spans="1:15" x14ac:dyDescent="0.3">
      <c r="A837">
        <v>836</v>
      </c>
      <c r="B837">
        <v>82</v>
      </c>
      <c r="C837">
        <v>73</v>
      </c>
      <c r="D837">
        <v>1</v>
      </c>
      <c r="E837">
        <f t="shared" si="65"/>
        <v>73</v>
      </c>
      <c r="F837" s="30">
        <v>45159</v>
      </c>
      <c r="G837" t="s">
        <v>23</v>
      </c>
      <c r="H837">
        <v>218</v>
      </c>
      <c r="I837" t="str">
        <f>VLOOKUP(B837,товар!$A$1:$C$433,2,FALSE)</f>
        <v>Сыр</v>
      </c>
      <c r="J837" s="23">
        <f t="shared" si="66"/>
        <v>262.63492063492066</v>
      </c>
      <c r="K837" s="24">
        <f t="shared" si="67"/>
        <v>-0.72204762480357787</v>
      </c>
      <c r="L837" t="str">
        <f>VLOOKUP(B837,товар!$A$1:$C$433,3,FALSE)</f>
        <v>Hochland</v>
      </c>
      <c r="M837">
        <f t="shared" si="68"/>
        <v>168</v>
      </c>
      <c r="N837" s="30">
        <f>VLOOKUP(H837,клиенты!$A$1:$G$435,5,FALSE)</f>
        <v>44721</v>
      </c>
      <c r="O837">
        <f t="shared" si="69"/>
        <v>438</v>
      </c>
    </row>
    <row r="838" spans="1:15" x14ac:dyDescent="0.3">
      <c r="A838">
        <v>837</v>
      </c>
      <c r="B838">
        <v>104</v>
      </c>
      <c r="C838">
        <v>420</v>
      </c>
      <c r="D838">
        <v>2</v>
      </c>
      <c r="E838">
        <f t="shared" si="65"/>
        <v>840</v>
      </c>
      <c r="F838" s="30">
        <v>45427</v>
      </c>
      <c r="G838" t="s">
        <v>17</v>
      </c>
      <c r="H838">
        <v>26</v>
      </c>
      <c r="I838" t="str">
        <f>VLOOKUP(B838,товар!$A$1:$C$433,2,FALSE)</f>
        <v>Йогурт</v>
      </c>
      <c r="J838" s="23">
        <f t="shared" si="66"/>
        <v>263.25423728813558</v>
      </c>
      <c r="K838" s="24">
        <f t="shared" si="67"/>
        <v>0.59541591552923001</v>
      </c>
      <c r="L838" t="str">
        <f>VLOOKUP(B838,товар!$A$1:$C$433,3,FALSE)</f>
        <v>Ростагроэкспорт</v>
      </c>
      <c r="M838">
        <f t="shared" si="68"/>
        <v>257.78260869565219</v>
      </c>
      <c r="N838" s="30">
        <f>VLOOKUP(H838,клиенты!$A$1:$G$435,5,FALSE)</f>
        <v>44819</v>
      </c>
      <c r="O838">
        <f t="shared" si="69"/>
        <v>608</v>
      </c>
    </row>
    <row r="839" spans="1:15" x14ac:dyDescent="0.3">
      <c r="A839">
        <v>838</v>
      </c>
      <c r="B839">
        <v>364</v>
      </c>
      <c r="C839">
        <v>496</v>
      </c>
      <c r="D839">
        <v>1</v>
      </c>
      <c r="E839">
        <f t="shared" si="65"/>
        <v>496</v>
      </c>
      <c r="F839" s="30">
        <v>45060</v>
      </c>
      <c r="G839" t="s">
        <v>17</v>
      </c>
      <c r="H839">
        <v>417</v>
      </c>
      <c r="I839" t="str">
        <f>VLOOKUP(B839,товар!$A$1:$C$433,2,FALSE)</f>
        <v>Сахар</v>
      </c>
      <c r="J839" s="23">
        <f t="shared" si="66"/>
        <v>252.76271186440678</v>
      </c>
      <c r="K839" s="24">
        <f t="shared" si="67"/>
        <v>0.96231475893515728</v>
      </c>
      <c r="L839" t="str">
        <f>VLOOKUP(B839,товар!$A$1:$C$433,3,FALSE)</f>
        <v>Русский сахар</v>
      </c>
      <c r="M839">
        <f t="shared" si="68"/>
        <v>293.41176470588238</v>
      </c>
      <c r="N839" s="30">
        <f>VLOOKUP(H839,клиенты!$A$1:$G$435,5,FALSE)</f>
        <v>44608</v>
      </c>
      <c r="O839">
        <f t="shared" si="69"/>
        <v>452</v>
      </c>
    </row>
    <row r="840" spans="1:15" x14ac:dyDescent="0.3">
      <c r="A840">
        <v>839</v>
      </c>
      <c r="B840">
        <v>334</v>
      </c>
      <c r="C840">
        <v>223</v>
      </c>
      <c r="D840">
        <v>2</v>
      </c>
      <c r="E840">
        <f t="shared" si="65"/>
        <v>446</v>
      </c>
      <c r="F840" s="30">
        <v>45234</v>
      </c>
      <c r="G840" t="s">
        <v>19</v>
      </c>
      <c r="H840">
        <v>216</v>
      </c>
      <c r="I840" t="str">
        <f>VLOOKUP(B840,товар!$A$1:$C$433,2,FALSE)</f>
        <v>Молоко</v>
      </c>
      <c r="J840" s="23">
        <f t="shared" si="66"/>
        <v>294.95238095238096</v>
      </c>
      <c r="K840" s="24">
        <f t="shared" si="67"/>
        <v>-0.24394575395544082</v>
      </c>
      <c r="L840" t="str">
        <f>VLOOKUP(B840,товар!$A$1:$C$433,3,FALSE)</f>
        <v>Домик в деревне</v>
      </c>
      <c r="M840">
        <f t="shared" si="68"/>
        <v>274.77777777777777</v>
      </c>
      <c r="N840" s="30">
        <f>VLOOKUP(H840,клиенты!$A$1:$G$435,5,FALSE)</f>
        <v>44655</v>
      </c>
      <c r="O840">
        <f t="shared" si="69"/>
        <v>579</v>
      </c>
    </row>
    <row r="841" spans="1:15" x14ac:dyDescent="0.3">
      <c r="A841">
        <v>840</v>
      </c>
      <c r="B841">
        <v>356</v>
      </c>
      <c r="C841">
        <v>97</v>
      </c>
      <c r="D841">
        <v>2</v>
      </c>
      <c r="E841">
        <f t="shared" si="65"/>
        <v>194</v>
      </c>
      <c r="F841" s="30">
        <v>45032</v>
      </c>
      <c r="G841" t="s">
        <v>18</v>
      </c>
      <c r="H841">
        <v>491</v>
      </c>
      <c r="I841" t="str">
        <f>VLOOKUP(B841,товар!$A$1:$C$433,2,FALSE)</f>
        <v>Печенье</v>
      </c>
      <c r="J841" s="23">
        <f t="shared" si="66"/>
        <v>283.468085106383</v>
      </c>
      <c r="K841" s="24">
        <f t="shared" si="67"/>
        <v>-0.65780980259701272</v>
      </c>
      <c r="L841" t="str">
        <f>VLOOKUP(B841,товар!$A$1:$C$433,3,FALSE)</f>
        <v>Посиделкино</v>
      </c>
      <c r="M841">
        <f t="shared" si="68"/>
        <v>321.63636363636363</v>
      </c>
      <c r="N841" s="30">
        <f>VLOOKUP(H841,клиенты!$A$1:$G$435,5,FALSE)</f>
        <v>44752</v>
      </c>
      <c r="O841">
        <f t="shared" si="69"/>
        <v>280</v>
      </c>
    </row>
    <row r="842" spans="1:15" x14ac:dyDescent="0.3">
      <c r="A842">
        <v>841</v>
      </c>
      <c r="B842">
        <v>446</v>
      </c>
      <c r="C842">
        <v>445</v>
      </c>
      <c r="D842">
        <v>5</v>
      </c>
      <c r="E842">
        <f t="shared" si="65"/>
        <v>2225</v>
      </c>
      <c r="F842" s="30">
        <v>44993</v>
      </c>
      <c r="G842" t="s">
        <v>30</v>
      </c>
      <c r="H842">
        <v>307</v>
      </c>
      <c r="I842" t="str">
        <f>VLOOKUP(B842,товар!$A$1:$C$433,2,FALSE)</f>
        <v>Чипсы</v>
      </c>
      <c r="J842" s="23">
        <f t="shared" si="66"/>
        <v>273.72549019607845</v>
      </c>
      <c r="K842" s="24">
        <f t="shared" si="67"/>
        <v>0.62571633237822333</v>
      </c>
      <c r="L842" t="str">
        <f>VLOOKUP(B842,товар!$A$1:$C$433,3,FALSE)</f>
        <v>Lay's</v>
      </c>
      <c r="M842">
        <f t="shared" si="68"/>
        <v>320.57142857142856</v>
      </c>
      <c r="N842" s="30">
        <f>VLOOKUP(H842,клиенты!$A$1:$G$435,5,FALSE)</f>
        <v>44764</v>
      </c>
      <c r="O842">
        <f t="shared" si="69"/>
        <v>229</v>
      </c>
    </row>
    <row r="843" spans="1:15" x14ac:dyDescent="0.3">
      <c r="A843">
        <v>842</v>
      </c>
      <c r="B843">
        <v>88</v>
      </c>
      <c r="C843">
        <v>206</v>
      </c>
      <c r="D843">
        <v>4</v>
      </c>
      <c r="E843">
        <f t="shared" si="65"/>
        <v>824</v>
      </c>
      <c r="F843" s="30">
        <v>45237</v>
      </c>
      <c r="G843" t="s">
        <v>30</v>
      </c>
      <c r="H843">
        <v>492</v>
      </c>
      <c r="I843" t="str">
        <f>VLOOKUP(B843,товар!$A$1:$C$433,2,FALSE)</f>
        <v>Крупа</v>
      </c>
      <c r="J843" s="23">
        <f t="shared" si="66"/>
        <v>255.11627906976744</v>
      </c>
      <c r="K843" s="24">
        <f t="shared" si="67"/>
        <v>-0.1925250683682771</v>
      </c>
      <c r="L843" t="str">
        <f>VLOOKUP(B843,товар!$A$1:$C$433,3,FALSE)</f>
        <v>Мистраль</v>
      </c>
      <c r="M843">
        <f t="shared" si="68"/>
        <v>250.30769230769232</v>
      </c>
      <c r="N843" s="30">
        <f>VLOOKUP(H843,клиенты!$A$1:$G$435,5,FALSE)</f>
        <v>44688</v>
      </c>
      <c r="O843">
        <f t="shared" si="69"/>
        <v>549</v>
      </c>
    </row>
    <row r="844" spans="1:15" x14ac:dyDescent="0.3">
      <c r="A844">
        <v>843</v>
      </c>
      <c r="B844">
        <v>347</v>
      </c>
      <c r="C844">
        <v>265</v>
      </c>
      <c r="D844">
        <v>1</v>
      </c>
      <c r="E844">
        <f t="shared" si="65"/>
        <v>265</v>
      </c>
      <c r="F844" s="30">
        <v>45390</v>
      </c>
      <c r="G844" t="s">
        <v>26</v>
      </c>
      <c r="H844">
        <v>264</v>
      </c>
      <c r="I844" t="str">
        <f>VLOOKUP(B844,товар!$A$1:$C$433,2,FALSE)</f>
        <v>Макароны</v>
      </c>
      <c r="J844" s="23">
        <f t="shared" si="66"/>
        <v>265.47674418604652</v>
      </c>
      <c r="K844" s="24">
        <f t="shared" si="67"/>
        <v>-1.7958039507687262E-3</v>
      </c>
      <c r="L844" t="str">
        <f>VLOOKUP(B844,товар!$A$1:$C$433,3,FALSE)</f>
        <v>Паста Зара</v>
      </c>
      <c r="M844">
        <f t="shared" si="68"/>
        <v>276.67567567567568</v>
      </c>
      <c r="N844" s="30">
        <f>VLOOKUP(H844,клиенты!$A$1:$G$435,5,FALSE)</f>
        <v>44907</v>
      </c>
      <c r="O844">
        <f t="shared" si="69"/>
        <v>483</v>
      </c>
    </row>
    <row r="845" spans="1:15" x14ac:dyDescent="0.3">
      <c r="A845">
        <v>844</v>
      </c>
      <c r="B845">
        <v>342</v>
      </c>
      <c r="C845">
        <v>269</v>
      </c>
      <c r="D845">
        <v>4</v>
      </c>
      <c r="E845">
        <f t="shared" si="65"/>
        <v>1076</v>
      </c>
      <c r="F845" s="30">
        <v>45093</v>
      </c>
      <c r="G845" t="s">
        <v>28</v>
      </c>
      <c r="H845">
        <v>190</v>
      </c>
      <c r="I845" t="str">
        <f>VLOOKUP(B845,товар!$A$1:$C$433,2,FALSE)</f>
        <v>Овощи</v>
      </c>
      <c r="J845" s="23">
        <f t="shared" si="66"/>
        <v>250.48780487804879</v>
      </c>
      <c r="K845" s="24">
        <f t="shared" si="67"/>
        <v>7.3904576436222058E-2</v>
      </c>
      <c r="L845" t="str">
        <f>VLOOKUP(B845,товар!$A$1:$C$433,3,FALSE)</f>
        <v>Овощной ряд</v>
      </c>
      <c r="M845">
        <f t="shared" si="68"/>
        <v>303.8235294117647</v>
      </c>
      <c r="N845" s="30">
        <f>VLOOKUP(H845,клиенты!$A$1:$G$435,5,FALSE)</f>
        <v>44689</v>
      </c>
      <c r="O845">
        <f t="shared" si="69"/>
        <v>404</v>
      </c>
    </row>
    <row r="846" spans="1:15" x14ac:dyDescent="0.3">
      <c r="A846">
        <v>845</v>
      </c>
      <c r="B846">
        <v>474</v>
      </c>
      <c r="C846">
        <v>405</v>
      </c>
      <c r="D846">
        <v>2</v>
      </c>
      <c r="E846">
        <f t="shared" si="65"/>
        <v>810</v>
      </c>
      <c r="F846" s="30">
        <v>45390</v>
      </c>
      <c r="G846" t="s">
        <v>23</v>
      </c>
      <c r="H846">
        <v>18</v>
      </c>
      <c r="I846" t="str">
        <f>VLOOKUP(B846,товар!$A$1:$C$433,2,FALSE)</f>
        <v>Молоко</v>
      </c>
      <c r="J846" s="23">
        <f t="shared" si="66"/>
        <v>294.95238095238096</v>
      </c>
      <c r="K846" s="24">
        <f t="shared" si="67"/>
        <v>0.37310300290603804</v>
      </c>
      <c r="L846" t="str">
        <f>VLOOKUP(B846,товар!$A$1:$C$433,3,FALSE)</f>
        <v>Простоквашино</v>
      </c>
      <c r="M846">
        <f t="shared" si="68"/>
        <v>318.81818181818181</v>
      </c>
      <c r="N846" s="30">
        <f>VLOOKUP(H846,клиенты!$A$1:$G$435,5,FALSE)</f>
        <v>44578</v>
      </c>
      <c r="O846">
        <f t="shared" si="69"/>
        <v>812</v>
      </c>
    </row>
    <row r="847" spans="1:15" x14ac:dyDescent="0.3">
      <c r="A847">
        <v>846</v>
      </c>
      <c r="B847">
        <v>69</v>
      </c>
      <c r="C847">
        <v>197</v>
      </c>
      <c r="D847">
        <v>2</v>
      </c>
      <c r="E847">
        <f t="shared" si="65"/>
        <v>394</v>
      </c>
      <c r="F847" s="30">
        <v>45195</v>
      </c>
      <c r="G847" t="s">
        <v>28</v>
      </c>
      <c r="H847">
        <v>125</v>
      </c>
      <c r="I847" t="str">
        <f>VLOOKUP(B847,товар!$A$1:$C$433,2,FALSE)</f>
        <v>Чипсы</v>
      </c>
      <c r="J847" s="23">
        <f t="shared" si="66"/>
        <v>273.72549019607845</v>
      </c>
      <c r="K847" s="24">
        <f t="shared" si="67"/>
        <v>-0.28030085959885398</v>
      </c>
      <c r="L847" t="str">
        <f>VLOOKUP(B847,товар!$A$1:$C$433,3,FALSE)</f>
        <v>Estrella</v>
      </c>
      <c r="M847">
        <f t="shared" si="68"/>
        <v>266.27272727272725</v>
      </c>
      <c r="N847" s="30">
        <f>VLOOKUP(H847,клиенты!$A$1:$G$435,5,FALSE)</f>
        <v>44701</v>
      </c>
      <c r="O847">
        <f t="shared" si="69"/>
        <v>494</v>
      </c>
    </row>
    <row r="848" spans="1:15" x14ac:dyDescent="0.3">
      <c r="A848">
        <v>847</v>
      </c>
      <c r="B848">
        <v>206</v>
      </c>
      <c r="C848">
        <v>93</v>
      </c>
      <c r="D848">
        <v>2</v>
      </c>
      <c r="E848">
        <f t="shared" si="65"/>
        <v>186</v>
      </c>
      <c r="F848" s="30">
        <v>45154</v>
      </c>
      <c r="G848" t="s">
        <v>24</v>
      </c>
      <c r="H848">
        <v>155</v>
      </c>
      <c r="I848" t="str">
        <f>VLOOKUP(B848,товар!$A$1:$C$433,2,FALSE)</f>
        <v>Молоко</v>
      </c>
      <c r="J848" s="23">
        <f t="shared" si="66"/>
        <v>294.95238095238096</v>
      </c>
      <c r="K848" s="24">
        <f t="shared" si="67"/>
        <v>-0.68469486599935425</v>
      </c>
      <c r="L848" t="str">
        <f>VLOOKUP(B848,товар!$A$1:$C$433,3,FALSE)</f>
        <v>Домик в деревне</v>
      </c>
      <c r="M848">
        <f t="shared" si="68"/>
        <v>274.77777777777777</v>
      </c>
      <c r="N848" s="30">
        <f>VLOOKUP(H848,клиенты!$A$1:$G$435,5,FALSE)</f>
        <v>44564</v>
      </c>
      <c r="O848">
        <f t="shared" si="69"/>
        <v>590</v>
      </c>
    </row>
    <row r="849" spans="1:15" x14ac:dyDescent="0.3">
      <c r="A849">
        <v>848</v>
      </c>
      <c r="B849">
        <v>319</v>
      </c>
      <c r="C849">
        <v>193</v>
      </c>
      <c r="D849">
        <v>1</v>
      </c>
      <c r="E849">
        <f t="shared" si="65"/>
        <v>193</v>
      </c>
      <c r="F849" s="30">
        <v>45396</v>
      </c>
      <c r="G849" t="s">
        <v>22</v>
      </c>
      <c r="H849">
        <v>43</v>
      </c>
      <c r="I849" t="str">
        <f>VLOOKUP(B849,товар!$A$1:$C$433,2,FALSE)</f>
        <v>Йогурт</v>
      </c>
      <c r="J849" s="23">
        <f t="shared" si="66"/>
        <v>263.25423728813558</v>
      </c>
      <c r="K849" s="24">
        <f t="shared" si="67"/>
        <v>-0.26686840072109197</v>
      </c>
      <c r="L849" t="str">
        <f>VLOOKUP(B849,товар!$A$1:$C$433,3,FALSE)</f>
        <v>Эрманн</v>
      </c>
      <c r="M849">
        <f t="shared" si="68"/>
        <v>248.5</v>
      </c>
      <c r="N849" s="30">
        <f>VLOOKUP(H849,клиенты!$A$1:$G$435,5,FALSE)</f>
        <v>44912</v>
      </c>
      <c r="O849">
        <f t="shared" si="69"/>
        <v>484</v>
      </c>
    </row>
    <row r="850" spans="1:15" x14ac:dyDescent="0.3">
      <c r="A850">
        <v>849</v>
      </c>
      <c r="B850">
        <v>59</v>
      </c>
      <c r="C850">
        <v>150</v>
      </c>
      <c r="D850">
        <v>4</v>
      </c>
      <c r="E850">
        <f t="shared" si="65"/>
        <v>600</v>
      </c>
      <c r="F850" s="30">
        <v>45134</v>
      </c>
      <c r="G850" t="s">
        <v>24</v>
      </c>
      <c r="H850">
        <v>343</v>
      </c>
      <c r="I850" t="str">
        <f>VLOOKUP(B850,товар!$A$1:$C$433,2,FALSE)</f>
        <v>Сахар</v>
      </c>
      <c r="J850" s="23">
        <f t="shared" si="66"/>
        <v>252.76271186440678</v>
      </c>
      <c r="K850" s="24">
        <f t="shared" si="67"/>
        <v>-0.40655803661235168</v>
      </c>
      <c r="L850" t="str">
        <f>VLOOKUP(B850,товар!$A$1:$C$433,3,FALSE)</f>
        <v>Продимекс</v>
      </c>
      <c r="M850">
        <f t="shared" si="68"/>
        <v>240.5</v>
      </c>
      <c r="N850" s="30">
        <f>VLOOKUP(H850,клиенты!$A$1:$G$435,5,FALSE)</f>
        <v>44874</v>
      </c>
      <c r="O850">
        <f t="shared" si="69"/>
        <v>260</v>
      </c>
    </row>
    <row r="851" spans="1:15" x14ac:dyDescent="0.3">
      <c r="A851">
        <v>850</v>
      </c>
      <c r="B851">
        <v>16</v>
      </c>
      <c r="C851">
        <v>207</v>
      </c>
      <c r="D851">
        <v>2</v>
      </c>
      <c r="E851">
        <f t="shared" si="65"/>
        <v>414</v>
      </c>
      <c r="F851" s="30">
        <v>45251</v>
      </c>
      <c r="G851" t="s">
        <v>18</v>
      </c>
      <c r="H851">
        <v>26</v>
      </c>
      <c r="I851" t="str">
        <f>VLOOKUP(B851,товар!$A$1:$C$433,2,FALSE)</f>
        <v>Сыр</v>
      </c>
      <c r="J851" s="23">
        <f t="shared" si="66"/>
        <v>262.63492063492066</v>
      </c>
      <c r="K851" s="24">
        <f t="shared" si="67"/>
        <v>-0.21183367581288537</v>
      </c>
      <c r="L851" t="str">
        <f>VLOOKUP(B851,товар!$A$1:$C$433,3,FALSE)</f>
        <v>Сырная долина</v>
      </c>
      <c r="M851">
        <f t="shared" si="68"/>
        <v>271</v>
      </c>
      <c r="N851" s="30">
        <f>VLOOKUP(H851,клиенты!$A$1:$G$435,5,FALSE)</f>
        <v>44819</v>
      </c>
      <c r="O851">
        <f t="shared" si="69"/>
        <v>432</v>
      </c>
    </row>
    <row r="852" spans="1:15" x14ac:dyDescent="0.3">
      <c r="A852">
        <v>851</v>
      </c>
      <c r="B852">
        <v>220</v>
      </c>
      <c r="C852">
        <v>305</v>
      </c>
      <c r="D852">
        <v>4</v>
      </c>
      <c r="E852">
        <f t="shared" si="65"/>
        <v>1220</v>
      </c>
      <c r="F852" s="30">
        <v>45056</v>
      </c>
      <c r="G852" t="s">
        <v>21</v>
      </c>
      <c r="H852">
        <v>306</v>
      </c>
      <c r="I852" t="str">
        <f>VLOOKUP(B852,товар!$A$1:$C$433,2,FALSE)</f>
        <v>Чай</v>
      </c>
      <c r="J852" s="23">
        <f t="shared" si="66"/>
        <v>271.18181818181819</v>
      </c>
      <c r="K852" s="24">
        <f t="shared" si="67"/>
        <v>0.12470667113643974</v>
      </c>
      <c r="L852" t="str">
        <f>VLOOKUP(B852,товар!$A$1:$C$433,3,FALSE)</f>
        <v>Тесс</v>
      </c>
      <c r="M852">
        <f t="shared" si="68"/>
        <v>281.75</v>
      </c>
      <c r="N852" s="30">
        <f>VLOOKUP(H852,клиенты!$A$1:$G$435,5,FALSE)</f>
        <v>44872</v>
      </c>
      <c r="O852">
        <f t="shared" si="69"/>
        <v>184</v>
      </c>
    </row>
    <row r="853" spans="1:15" x14ac:dyDescent="0.3">
      <c r="A853">
        <v>852</v>
      </c>
      <c r="B853">
        <v>474</v>
      </c>
      <c r="C853">
        <v>171</v>
      </c>
      <c r="D853">
        <v>3</v>
      </c>
      <c r="E853">
        <f t="shared" si="65"/>
        <v>513</v>
      </c>
      <c r="F853" s="30">
        <v>44985</v>
      </c>
      <c r="G853" t="s">
        <v>18</v>
      </c>
      <c r="H853">
        <v>260</v>
      </c>
      <c r="I853" t="str">
        <f>VLOOKUP(B853,товар!$A$1:$C$433,2,FALSE)</f>
        <v>Молоко</v>
      </c>
      <c r="J853" s="23">
        <f t="shared" si="66"/>
        <v>294.95238095238096</v>
      </c>
      <c r="K853" s="24">
        <f t="shared" si="67"/>
        <v>-0.42024539877300615</v>
      </c>
      <c r="L853" t="str">
        <f>VLOOKUP(B853,товар!$A$1:$C$433,3,FALSE)</f>
        <v>Простоквашино</v>
      </c>
      <c r="M853">
        <f t="shared" si="68"/>
        <v>318.81818181818181</v>
      </c>
      <c r="N853" s="30">
        <f>VLOOKUP(H853,клиенты!$A$1:$G$435,5,FALSE)</f>
        <v>44729</v>
      </c>
      <c r="O853">
        <f t="shared" si="69"/>
        <v>256</v>
      </c>
    </row>
    <row r="854" spans="1:15" x14ac:dyDescent="0.3">
      <c r="A854">
        <v>853</v>
      </c>
      <c r="B854">
        <v>118</v>
      </c>
      <c r="C854">
        <v>466</v>
      </c>
      <c r="D854">
        <v>3</v>
      </c>
      <c r="E854">
        <f t="shared" si="65"/>
        <v>1398</v>
      </c>
      <c r="F854" s="30">
        <v>44980</v>
      </c>
      <c r="G854" t="s">
        <v>29</v>
      </c>
      <c r="H854">
        <v>188</v>
      </c>
      <c r="I854" t="str">
        <f>VLOOKUP(B854,товар!$A$1:$C$433,2,FALSE)</f>
        <v>Сахар</v>
      </c>
      <c r="J854" s="23">
        <f t="shared" si="66"/>
        <v>252.76271186440678</v>
      </c>
      <c r="K854" s="24">
        <f t="shared" si="67"/>
        <v>0.84362636625762755</v>
      </c>
      <c r="L854" t="str">
        <f>VLOOKUP(B854,товар!$A$1:$C$433,3,FALSE)</f>
        <v>Продимекс</v>
      </c>
      <c r="M854">
        <f t="shared" si="68"/>
        <v>240.5</v>
      </c>
      <c r="N854" s="30">
        <f>VLOOKUP(H854,клиенты!$A$1:$G$435,5,FALSE)</f>
        <v>44801</v>
      </c>
      <c r="O854">
        <f t="shared" si="69"/>
        <v>179</v>
      </c>
    </row>
    <row r="855" spans="1:15" x14ac:dyDescent="0.3">
      <c r="A855">
        <v>854</v>
      </c>
      <c r="B855">
        <v>207</v>
      </c>
      <c r="C855">
        <v>57</v>
      </c>
      <c r="D855">
        <v>2</v>
      </c>
      <c r="E855">
        <f t="shared" si="65"/>
        <v>114</v>
      </c>
      <c r="F855" s="30">
        <v>45344</v>
      </c>
      <c r="G855" t="s">
        <v>28</v>
      </c>
      <c r="H855">
        <v>152</v>
      </c>
      <c r="I855" t="str">
        <f>VLOOKUP(B855,товар!$A$1:$C$433,2,FALSE)</f>
        <v>Сахар</v>
      </c>
      <c r="J855" s="23">
        <f t="shared" si="66"/>
        <v>252.76271186440678</v>
      </c>
      <c r="K855" s="24">
        <f t="shared" si="67"/>
        <v>-0.7744920539126936</v>
      </c>
      <c r="L855" t="str">
        <f>VLOOKUP(B855,товар!$A$1:$C$433,3,FALSE)</f>
        <v>Агросахар</v>
      </c>
      <c r="M855">
        <f t="shared" si="68"/>
        <v>215.85714285714286</v>
      </c>
      <c r="N855" s="30">
        <f>VLOOKUP(H855,клиенты!$A$1:$G$435,5,FALSE)</f>
        <v>44791</v>
      </c>
      <c r="O855">
        <f t="shared" si="69"/>
        <v>553</v>
      </c>
    </row>
    <row r="856" spans="1:15" x14ac:dyDescent="0.3">
      <c r="A856">
        <v>855</v>
      </c>
      <c r="B856">
        <v>239</v>
      </c>
      <c r="C856">
        <v>397</v>
      </c>
      <c r="D856">
        <v>2</v>
      </c>
      <c r="E856">
        <f t="shared" si="65"/>
        <v>794</v>
      </c>
      <c r="F856" s="30">
        <v>45398</v>
      </c>
      <c r="G856" t="s">
        <v>21</v>
      </c>
      <c r="H856">
        <v>65</v>
      </c>
      <c r="I856" t="str">
        <f>VLOOKUP(B856,товар!$A$1:$C$433,2,FALSE)</f>
        <v>Йогурт</v>
      </c>
      <c r="J856" s="23">
        <f t="shared" si="66"/>
        <v>263.25423728813558</v>
      </c>
      <c r="K856" s="24">
        <f t="shared" si="67"/>
        <v>0.50804790110739129</v>
      </c>
      <c r="L856" t="str">
        <f>VLOOKUP(B856,товар!$A$1:$C$433,3,FALSE)</f>
        <v>Эрманн</v>
      </c>
      <c r="M856">
        <f t="shared" si="68"/>
        <v>248.5</v>
      </c>
      <c r="N856" s="30">
        <f>VLOOKUP(H856,клиенты!$A$1:$G$435,5,FALSE)</f>
        <v>44623</v>
      </c>
      <c r="O856">
        <f t="shared" si="69"/>
        <v>775</v>
      </c>
    </row>
    <row r="857" spans="1:15" x14ac:dyDescent="0.3">
      <c r="A857">
        <v>856</v>
      </c>
      <c r="B857">
        <v>367</v>
      </c>
      <c r="C857">
        <v>289</v>
      </c>
      <c r="D857">
        <v>1</v>
      </c>
      <c r="E857">
        <f t="shared" si="65"/>
        <v>289</v>
      </c>
      <c r="F857" s="30">
        <v>45041</v>
      </c>
      <c r="G857" t="s">
        <v>16</v>
      </c>
      <c r="H857">
        <v>281</v>
      </c>
      <c r="I857" t="str">
        <f>VLOOKUP(B857,товар!$A$1:$C$433,2,FALSE)</f>
        <v>Колбаса</v>
      </c>
      <c r="J857" s="23">
        <f t="shared" si="66"/>
        <v>286.92307692307691</v>
      </c>
      <c r="K857" s="24">
        <f t="shared" si="67"/>
        <v>7.238605898123307E-3</v>
      </c>
      <c r="L857" t="str">
        <f>VLOOKUP(B857,товар!$A$1:$C$433,3,FALSE)</f>
        <v>Окраина</v>
      </c>
      <c r="M857">
        <f t="shared" si="68"/>
        <v>273.58333333333331</v>
      </c>
      <c r="N857" s="30">
        <f>VLOOKUP(H857,клиенты!$A$1:$G$435,5,FALSE)</f>
        <v>44711</v>
      </c>
      <c r="O857">
        <f t="shared" si="69"/>
        <v>330</v>
      </c>
    </row>
    <row r="858" spans="1:15" x14ac:dyDescent="0.3">
      <c r="A858">
        <v>857</v>
      </c>
      <c r="B858">
        <v>87</v>
      </c>
      <c r="C858">
        <v>191</v>
      </c>
      <c r="D858">
        <v>3</v>
      </c>
      <c r="E858">
        <f t="shared" si="65"/>
        <v>573</v>
      </c>
      <c r="F858" s="30">
        <v>45125</v>
      </c>
      <c r="G858" t="s">
        <v>33</v>
      </c>
      <c r="H858">
        <v>430</v>
      </c>
      <c r="I858" t="str">
        <f>VLOOKUP(B858,товар!$A$1:$C$433,2,FALSE)</f>
        <v>Кофе</v>
      </c>
      <c r="J858" s="23">
        <f t="shared" si="66"/>
        <v>249.02380952380952</v>
      </c>
      <c r="K858" s="24">
        <f t="shared" si="67"/>
        <v>-0.23300506740606175</v>
      </c>
      <c r="L858" t="str">
        <f>VLOOKUP(B858,товар!$A$1:$C$433,3,FALSE)</f>
        <v>Jacobs</v>
      </c>
      <c r="M858">
        <f t="shared" si="68"/>
        <v>276.21052631578948</v>
      </c>
      <c r="N858" s="30">
        <f>VLOOKUP(H858,клиенты!$A$1:$G$435,5,FALSE)</f>
        <v>44799</v>
      </c>
      <c r="O858">
        <f t="shared" si="69"/>
        <v>326</v>
      </c>
    </row>
    <row r="859" spans="1:15" x14ac:dyDescent="0.3">
      <c r="A859">
        <v>858</v>
      </c>
      <c r="B859">
        <v>309</v>
      </c>
      <c r="C859">
        <v>244</v>
      </c>
      <c r="D859">
        <v>3</v>
      </c>
      <c r="E859">
        <f t="shared" si="65"/>
        <v>732</v>
      </c>
      <c r="F859" s="30">
        <v>45374</v>
      </c>
      <c r="G859" t="s">
        <v>34</v>
      </c>
      <c r="H859">
        <v>299</v>
      </c>
      <c r="I859" t="str">
        <f>VLOOKUP(B859,товар!$A$1:$C$433,2,FALSE)</f>
        <v>Конфеты</v>
      </c>
      <c r="J859" s="23">
        <f t="shared" si="66"/>
        <v>267.85483870967744</v>
      </c>
      <c r="K859" s="24">
        <f t="shared" si="67"/>
        <v>-8.9058830613596762E-2</v>
      </c>
      <c r="L859" t="str">
        <f>VLOOKUP(B859,товар!$A$1:$C$433,3,FALSE)</f>
        <v>Рот Фронт</v>
      </c>
      <c r="M859">
        <f t="shared" si="68"/>
        <v>288.23809523809524</v>
      </c>
      <c r="N859" s="30">
        <f>VLOOKUP(H859,клиенты!$A$1:$G$435,5,FALSE)</f>
        <v>44666</v>
      </c>
      <c r="O859">
        <f t="shared" si="69"/>
        <v>708</v>
      </c>
    </row>
    <row r="860" spans="1:15" x14ac:dyDescent="0.3">
      <c r="A860">
        <v>859</v>
      </c>
      <c r="B860">
        <v>271</v>
      </c>
      <c r="C860">
        <v>392</v>
      </c>
      <c r="D860">
        <v>3</v>
      </c>
      <c r="E860">
        <f t="shared" si="65"/>
        <v>1176</v>
      </c>
      <c r="F860" s="30">
        <v>45103</v>
      </c>
      <c r="G860" t="s">
        <v>26</v>
      </c>
      <c r="H860">
        <v>132</v>
      </c>
      <c r="I860" t="str">
        <f>VLOOKUP(B860,товар!$A$1:$C$433,2,FALSE)</f>
        <v>Сыр</v>
      </c>
      <c r="J860" s="23">
        <f t="shared" si="66"/>
        <v>262.63492063492066</v>
      </c>
      <c r="K860" s="24">
        <f t="shared" si="67"/>
        <v>0.49256617913695133</v>
      </c>
      <c r="L860" t="str">
        <f>VLOOKUP(B860,товар!$A$1:$C$433,3,FALSE)</f>
        <v>Сырная долина</v>
      </c>
      <c r="M860">
        <f t="shared" si="68"/>
        <v>271</v>
      </c>
      <c r="N860" s="30">
        <f>VLOOKUP(H860,клиенты!$A$1:$G$435,5,FALSE)</f>
        <v>44601</v>
      </c>
      <c r="O860">
        <f t="shared" si="69"/>
        <v>502</v>
      </c>
    </row>
    <row r="861" spans="1:15" x14ac:dyDescent="0.3">
      <c r="A861">
        <v>860</v>
      </c>
      <c r="B861">
        <v>354</v>
      </c>
      <c r="C861">
        <v>493</v>
      </c>
      <c r="D861">
        <v>2</v>
      </c>
      <c r="E861">
        <f t="shared" si="65"/>
        <v>986</v>
      </c>
      <c r="F861" s="30">
        <v>45320</v>
      </c>
      <c r="G861" t="s">
        <v>31</v>
      </c>
      <c r="H861">
        <v>68</v>
      </c>
      <c r="I861" t="str">
        <f>VLOOKUP(B861,товар!$A$1:$C$433,2,FALSE)</f>
        <v>Чай</v>
      </c>
      <c r="J861" s="23">
        <f t="shared" si="66"/>
        <v>271.18181818181819</v>
      </c>
      <c r="K861" s="24">
        <f t="shared" si="67"/>
        <v>0.81796848809922884</v>
      </c>
      <c r="L861" t="str">
        <f>VLOOKUP(B861,товар!$A$1:$C$433,3,FALSE)</f>
        <v>Lipton</v>
      </c>
      <c r="M861">
        <f t="shared" si="68"/>
        <v>260.15789473684208</v>
      </c>
      <c r="N861" s="30">
        <f>VLOOKUP(H861,клиенты!$A$1:$G$435,5,FALSE)</f>
        <v>44882</v>
      </c>
      <c r="O861">
        <f t="shared" si="69"/>
        <v>438</v>
      </c>
    </row>
    <row r="862" spans="1:15" x14ac:dyDescent="0.3">
      <c r="A862">
        <v>861</v>
      </c>
      <c r="B862">
        <v>266</v>
      </c>
      <c r="C862">
        <v>339</v>
      </c>
      <c r="D862">
        <v>5</v>
      </c>
      <c r="E862">
        <f t="shared" si="65"/>
        <v>1695</v>
      </c>
      <c r="F862" s="30">
        <v>45358</v>
      </c>
      <c r="G862" t="s">
        <v>16</v>
      </c>
      <c r="H862">
        <v>42</v>
      </c>
      <c r="I862" t="str">
        <f>VLOOKUP(B862,товар!$A$1:$C$433,2,FALSE)</f>
        <v>Рыба</v>
      </c>
      <c r="J862" s="23">
        <f t="shared" si="66"/>
        <v>258.5128205128205</v>
      </c>
      <c r="K862" s="24">
        <f t="shared" si="67"/>
        <v>0.31134695496925224</v>
      </c>
      <c r="L862" t="str">
        <f>VLOOKUP(B862,товар!$A$1:$C$433,3,FALSE)</f>
        <v>Меридиан</v>
      </c>
      <c r="M862">
        <f t="shared" si="68"/>
        <v>260.64705882352939</v>
      </c>
      <c r="N862" s="30">
        <f>VLOOKUP(H862,клиенты!$A$1:$G$435,5,FALSE)</f>
        <v>44783</v>
      </c>
      <c r="O862">
        <f t="shared" si="69"/>
        <v>575</v>
      </c>
    </row>
    <row r="863" spans="1:15" x14ac:dyDescent="0.3">
      <c r="A863">
        <v>862</v>
      </c>
      <c r="B863">
        <v>441</v>
      </c>
      <c r="C863">
        <v>316</v>
      </c>
      <c r="D863">
        <v>4</v>
      </c>
      <c r="E863">
        <f t="shared" si="65"/>
        <v>1264</v>
      </c>
      <c r="F863" s="30">
        <v>45410</v>
      </c>
      <c r="G863" t="s">
        <v>29</v>
      </c>
      <c r="H863">
        <v>488</v>
      </c>
      <c r="I863" t="str">
        <f>VLOOKUP(B863,товар!$A$1:$C$433,2,FALSE)</f>
        <v>Чай</v>
      </c>
      <c r="J863" s="23">
        <f t="shared" si="66"/>
        <v>271.18181818181819</v>
      </c>
      <c r="K863" s="24">
        <f t="shared" si="67"/>
        <v>0.16526986255447529</v>
      </c>
      <c r="L863" t="str">
        <f>VLOOKUP(B863,товар!$A$1:$C$433,3,FALSE)</f>
        <v>Lipton</v>
      </c>
      <c r="M863">
        <f t="shared" si="68"/>
        <v>260.15789473684208</v>
      </c>
      <c r="N863" s="30">
        <f>VLOOKUP(H863,клиенты!$A$1:$G$435,5,FALSE)</f>
        <v>44738</v>
      </c>
      <c r="O863">
        <f t="shared" si="69"/>
        <v>672</v>
      </c>
    </row>
    <row r="864" spans="1:15" x14ac:dyDescent="0.3">
      <c r="A864">
        <v>863</v>
      </c>
      <c r="B864">
        <v>245</v>
      </c>
      <c r="C864">
        <v>284</v>
      </c>
      <c r="D864">
        <v>4</v>
      </c>
      <c r="E864">
        <f t="shared" si="65"/>
        <v>1136</v>
      </c>
      <c r="F864" s="30">
        <v>45405</v>
      </c>
      <c r="G864" t="s">
        <v>22</v>
      </c>
      <c r="H864">
        <v>324</v>
      </c>
      <c r="I864" t="str">
        <f>VLOOKUP(B864,товар!$A$1:$C$433,2,FALSE)</f>
        <v>Сахар</v>
      </c>
      <c r="J864" s="23">
        <f t="shared" si="66"/>
        <v>252.76271186440678</v>
      </c>
      <c r="K864" s="24">
        <f t="shared" si="67"/>
        <v>0.12358345068061416</v>
      </c>
      <c r="L864" t="str">
        <f>VLOOKUP(B864,товар!$A$1:$C$433,3,FALSE)</f>
        <v>Продимекс</v>
      </c>
      <c r="M864">
        <f t="shared" si="68"/>
        <v>240.5</v>
      </c>
      <c r="N864" s="30">
        <f>VLOOKUP(H864,клиенты!$A$1:$G$435,5,FALSE)</f>
        <v>44761</v>
      </c>
      <c r="O864">
        <f t="shared" si="69"/>
        <v>644</v>
      </c>
    </row>
    <row r="865" spans="1:15" x14ac:dyDescent="0.3">
      <c r="A865">
        <v>864</v>
      </c>
      <c r="B865">
        <v>369</v>
      </c>
      <c r="C865">
        <v>206</v>
      </c>
      <c r="D865">
        <v>4</v>
      </c>
      <c r="E865">
        <f t="shared" si="65"/>
        <v>824</v>
      </c>
      <c r="F865" s="30">
        <v>45132</v>
      </c>
      <c r="G865" t="s">
        <v>24</v>
      </c>
      <c r="H865">
        <v>346</v>
      </c>
      <c r="I865" t="str">
        <f>VLOOKUP(B865,товар!$A$1:$C$433,2,FALSE)</f>
        <v>Молоко</v>
      </c>
      <c r="J865" s="23">
        <f t="shared" si="66"/>
        <v>294.95238095238096</v>
      </c>
      <c r="K865" s="24">
        <f t="shared" si="67"/>
        <v>-0.30158217629964479</v>
      </c>
      <c r="L865" t="str">
        <f>VLOOKUP(B865,товар!$A$1:$C$433,3,FALSE)</f>
        <v>Домик в деревне</v>
      </c>
      <c r="M865">
        <f t="shared" si="68"/>
        <v>274.77777777777777</v>
      </c>
      <c r="N865" s="30">
        <f>VLOOKUP(H865,клиенты!$A$1:$G$435,5,FALSE)</f>
        <v>44636</v>
      </c>
      <c r="O865">
        <f t="shared" si="69"/>
        <v>496</v>
      </c>
    </row>
    <row r="866" spans="1:15" x14ac:dyDescent="0.3">
      <c r="A866">
        <v>865</v>
      </c>
      <c r="B866">
        <v>176</v>
      </c>
      <c r="C866">
        <v>217</v>
      </c>
      <c r="D866">
        <v>4</v>
      </c>
      <c r="E866">
        <f t="shared" si="65"/>
        <v>868</v>
      </c>
      <c r="F866" s="30">
        <v>45135</v>
      </c>
      <c r="G866" t="s">
        <v>19</v>
      </c>
      <c r="H866">
        <v>313</v>
      </c>
      <c r="I866" t="str">
        <f>VLOOKUP(B866,товар!$A$1:$C$433,2,FALSE)</f>
        <v>Сахар</v>
      </c>
      <c r="J866" s="23">
        <f t="shared" si="66"/>
        <v>252.76271186440678</v>
      </c>
      <c r="K866" s="24">
        <f t="shared" si="67"/>
        <v>-0.14148729296586871</v>
      </c>
      <c r="L866" t="str">
        <f>VLOOKUP(B866,товар!$A$1:$C$433,3,FALSE)</f>
        <v>Продимекс</v>
      </c>
      <c r="M866">
        <f t="shared" si="68"/>
        <v>240.5</v>
      </c>
      <c r="N866" s="30">
        <f>VLOOKUP(H866,клиенты!$A$1:$G$435,5,FALSE)</f>
        <v>44896</v>
      </c>
      <c r="O866">
        <f t="shared" si="69"/>
        <v>239</v>
      </c>
    </row>
    <row r="867" spans="1:15" x14ac:dyDescent="0.3">
      <c r="A867">
        <v>866</v>
      </c>
      <c r="B867">
        <v>467</v>
      </c>
      <c r="C867">
        <v>72</v>
      </c>
      <c r="D867">
        <v>2</v>
      </c>
      <c r="E867">
        <f t="shared" si="65"/>
        <v>144</v>
      </c>
      <c r="F867" s="30">
        <v>45050</v>
      </c>
      <c r="G867" t="s">
        <v>20</v>
      </c>
      <c r="H867">
        <v>233</v>
      </c>
      <c r="I867" t="str">
        <f>VLOOKUP(B867,товар!$A$1:$C$433,2,FALSE)</f>
        <v>Макароны</v>
      </c>
      <c r="J867" s="23">
        <f t="shared" si="66"/>
        <v>265.47674418604652</v>
      </c>
      <c r="K867" s="24">
        <f t="shared" si="67"/>
        <v>-0.72878980333756727</v>
      </c>
      <c r="L867" t="str">
        <f>VLOOKUP(B867,товар!$A$1:$C$433,3,FALSE)</f>
        <v>Борилла</v>
      </c>
      <c r="M867">
        <f t="shared" si="68"/>
        <v>236.27586206896552</v>
      </c>
      <c r="N867" s="30">
        <f>VLOOKUP(H867,клиенты!$A$1:$G$435,5,FALSE)</f>
        <v>44616</v>
      </c>
      <c r="O867">
        <f t="shared" si="69"/>
        <v>434</v>
      </c>
    </row>
    <row r="868" spans="1:15" x14ac:dyDescent="0.3">
      <c r="A868">
        <v>867</v>
      </c>
      <c r="B868">
        <v>237</v>
      </c>
      <c r="C868">
        <v>121</v>
      </c>
      <c r="D868">
        <v>3</v>
      </c>
      <c r="E868">
        <f t="shared" si="65"/>
        <v>363</v>
      </c>
      <c r="F868" s="30">
        <v>45240</v>
      </c>
      <c r="G868" t="s">
        <v>33</v>
      </c>
      <c r="H868">
        <v>77</v>
      </c>
      <c r="I868" t="str">
        <f>VLOOKUP(B868,товар!$A$1:$C$433,2,FALSE)</f>
        <v>Конфеты</v>
      </c>
      <c r="J868" s="23">
        <f t="shared" si="66"/>
        <v>267.85483870967744</v>
      </c>
      <c r="K868" s="24">
        <f t="shared" si="67"/>
        <v>-0.54826278075510326</v>
      </c>
      <c r="L868" t="str">
        <f>VLOOKUP(B868,товар!$A$1:$C$433,3,FALSE)</f>
        <v>Рот Фронт</v>
      </c>
      <c r="M868">
        <f t="shared" si="68"/>
        <v>288.23809523809524</v>
      </c>
      <c r="N868" s="30">
        <f>VLOOKUP(H868,клиенты!$A$1:$G$435,5,FALSE)</f>
        <v>44644</v>
      </c>
      <c r="O868">
        <f t="shared" si="69"/>
        <v>596</v>
      </c>
    </row>
    <row r="869" spans="1:15" x14ac:dyDescent="0.3">
      <c r="A869">
        <v>868</v>
      </c>
      <c r="B869">
        <v>300</v>
      </c>
      <c r="C869">
        <v>140</v>
      </c>
      <c r="D869">
        <v>4</v>
      </c>
      <c r="E869">
        <f t="shared" si="65"/>
        <v>560</v>
      </c>
      <c r="F869" s="30">
        <v>45317</v>
      </c>
      <c r="G869" t="s">
        <v>24</v>
      </c>
      <c r="H869">
        <v>107</v>
      </c>
      <c r="I869" t="str">
        <f>VLOOKUP(B869,товар!$A$1:$C$433,2,FALSE)</f>
        <v>Сахар</v>
      </c>
      <c r="J869" s="23">
        <f t="shared" si="66"/>
        <v>252.76271186440678</v>
      </c>
      <c r="K869" s="24">
        <f t="shared" si="67"/>
        <v>-0.44612083417152815</v>
      </c>
      <c r="L869" t="str">
        <f>VLOOKUP(B869,товар!$A$1:$C$433,3,FALSE)</f>
        <v>Продимекс</v>
      </c>
      <c r="M869">
        <f t="shared" si="68"/>
        <v>240.5</v>
      </c>
      <c r="N869" s="30">
        <f>VLOOKUP(H869,клиенты!$A$1:$G$435,5,FALSE)</f>
        <v>44744</v>
      </c>
      <c r="O869">
        <f t="shared" si="69"/>
        <v>573</v>
      </c>
    </row>
    <row r="870" spans="1:15" x14ac:dyDescent="0.3">
      <c r="A870">
        <v>869</v>
      </c>
      <c r="B870">
        <v>137</v>
      </c>
      <c r="C870">
        <v>295</v>
      </c>
      <c r="D870">
        <v>2</v>
      </c>
      <c r="E870">
        <f t="shared" si="65"/>
        <v>590</v>
      </c>
      <c r="F870" s="30">
        <v>45111</v>
      </c>
      <c r="G870" t="s">
        <v>28</v>
      </c>
      <c r="H870">
        <v>375</v>
      </c>
      <c r="I870" t="str">
        <f>VLOOKUP(B870,товар!$A$1:$C$433,2,FALSE)</f>
        <v>Фрукты</v>
      </c>
      <c r="J870" s="23">
        <f t="shared" si="66"/>
        <v>274.16279069767444</v>
      </c>
      <c r="K870" s="24">
        <f t="shared" si="67"/>
        <v>7.6003053694121636E-2</v>
      </c>
      <c r="L870" t="str">
        <f>VLOOKUP(B870,товар!$A$1:$C$433,3,FALSE)</f>
        <v>Экзотик</v>
      </c>
      <c r="M870">
        <f t="shared" si="68"/>
        <v>253.6875</v>
      </c>
      <c r="N870" s="30">
        <f>VLOOKUP(H870,клиенты!$A$1:$G$435,5,FALSE)</f>
        <v>44674</v>
      </c>
      <c r="O870">
        <f t="shared" si="69"/>
        <v>437</v>
      </c>
    </row>
    <row r="871" spans="1:15" x14ac:dyDescent="0.3">
      <c r="A871">
        <v>870</v>
      </c>
      <c r="B871">
        <v>194</v>
      </c>
      <c r="C871">
        <v>325</v>
      </c>
      <c r="D871">
        <v>4</v>
      </c>
      <c r="E871">
        <f t="shared" si="65"/>
        <v>1300</v>
      </c>
      <c r="F871" s="30">
        <v>45319</v>
      </c>
      <c r="G871" t="s">
        <v>27</v>
      </c>
      <c r="H871">
        <v>62</v>
      </c>
      <c r="I871" t="str">
        <f>VLOOKUP(B871,товар!$A$1:$C$433,2,FALSE)</f>
        <v>Соль</v>
      </c>
      <c r="J871" s="23">
        <f t="shared" si="66"/>
        <v>264.8679245283019</v>
      </c>
      <c r="K871" s="24">
        <f t="shared" si="67"/>
        <v>0.22702664197179079</v>
      </c>
      <c r="L871" t="str">
        <f>VLOOKUP(B871,товар!$A$1:$C$433,3,FALSE)</f>
        <v>Салта</v>
      </c>
      <c r="M871">
        <f t="shared" si="68"/>
        <v>273.7</v>
      </c>
      <c r="N871" s="30">
        <f>VLOOKUP(H871,клиенты!$A$1:$G$435,5,FALSE)</f>
        <v>44671</v>
      </c>
      <c r="O871">
        <f t="shared" si="69"/>
        <v>648</v>
      </c>
    </row>
    <row r="872" spans="1:15" x14ac:dyDescent="0.3">
      <c r="A872">
        <v>871</v>
      </c>
      <c r="B872">
        <v>215</v>
      </c>
      <c r="C872">
        <v>147</v>
      </c>
      <c r="D872">
        <v>3</v>
      </c>
      <c r="E872">
        <f t="shared" si="65"/>
        <v>441</v>
      </c>
      <c r="F872" s="30">
        <v>45173</v>
      </c>
      <c r="G872" t="s">
        <v>20</v>
      </c>
      <c r="H872">
        <v>368</v>
      </c>
      <c r="I872" t="str">
        <f>VLOOKUP(B872,товар!$A$1:$C$433,2,FALSE)</f>
        <v>Сок</v>
      </c>
      <c r="J872" s="23">
        <f t="shared" si="66"/>
        <v>268.60344827586209</v>
      </c>
      <c r="K872" s="24">
        <f t="shared" si="67"/>
        <v>-0.45272482187560181</v>
      </c>
      <c r="L872" t="str">
        <f>VLOOKUP(B872,товар!$A$1:$C$433,3,FALSE)</f>
        <v>Фруктовый сад</v>
      </c>
      <c r="M872">
        <f t="shared" si="68"/>
        <v>281.96875</v>
      </c>
      <c r="N872" s="30">
        <f>VLOOKUP(H872,клиенты!$A$1:$G$435,5,FALSE)</f>
        <v>44872</v>
      </c>
      <c r="O872">
        <f t="shared" si="69"/>
        <v>301</v>
      </c>
    </row>
    <row r="873" spans="1:15" x14ac:dyDescent="0.3">
      <c r="A873">
        <v>872</v>
      </c>
      <c r="B873">
        <v>307</v>
      </c>
      <c r="C873">
        <v>419</v>
      </c>
      <c r="D873">
        <v>1</v>
      </c>
      <c r="E873">
        <f t="shared" si="65"/>
        <v>419</v>
      </c>
      <c r="F873" s="30">
        <v>45189</v>
      </c>
      <c r="G873" t="s">
        <v>32</v>
      </c>
      <c r="H873">
        <v>64</v>
      </c>
      <c r="I873" t="str">
        <f>VLOOKUP(B873,товар!$A$1:$C$433,2,FALSE)</f>
        <v>Сыр</v>
      </c>
      <c r="J873" s="23">
        <f t="shared" si="66"/>
        <v>262.63492063492066</v>
      </c>
      <c r="K873" s="24">
        <f t="shared" si="67"/>
        <v>0.59537048229179246</v>
      </c>
      <c r="L873" t="str">
        <f>VLOOKUP(B873,товар!$A$1:$C$433,3,FALSE)</f>
        <v>Карат</v>
      </c>
      <c r="M873">
        <f t="shared" si="68"/>
        <v>311.33333333333331</v>
      </c>
      <c r="N873" s="30">
        <f>VLOOKUP(H873,клиенты!$A$1:$G$435,5,FALSE)</f>
        <v>44707</v>
      </c>
      <c r="O873">
        <f t="shared" si="69"/>
        <v>482</v>
      </c>
    </row>
    <row r="874" spans="1:15" x14ac:dyDescent="0.3">
      <c r="A874">
        <v>873</v>
      </c>
      <c r="B874">
        <v>424</v>
      </c>
      <c r="C874">
        <v>457</v>
      </c>
      <c r="D874">
        <v>1</v>
      </c>
      <c r="E874">
        <f t="shared" si="65"/>
        <v>457</v>
      </c>
      <c r="F874" s="30">
        <v>45099</v>
      </c>
      <c r="G874" t="s">
        <v>25</v>
      </c>
      <c r="H874">
        <v>286</v>
      </c>
      <c r="I874" t="str">
        <f>VLOOKUP(B874,товар!$A$1:$C$433,2,FALSE)</f>
        <v>Печенье</v>
      </c>
      <c r="J874" s="23">
        <f t="shared" si="66"/>
        <v>283.468085106383</v>
      </c>
      <c r="K874" s="24">
        <f t="shared" si="67"/>
        <v>0.61217443518726999</v>
      </c>
      <c r="L874" t="str">
        <f>VLOOKUP(B874,товар!$A$1:$C$433,3,FALSE)</f>
        <v>КДВ</v>
      </c>
      <c r="M874">
        <f t="shared" si="68"/>
        <v>323.07692307692309</v>
      </c>
      <c r="N874" s="30">
        <f>VLOOKUP(H874,клиенты!$A$1:$G$435,5,FALSE)</f>
        <v>44563</v>
      </c>
      <c r="O874">
        <f t="shared" si="69"/>
        <v>536</v>
      </c>
    </row>
    <row r="875" spans="1:15" x14ac:dyDescent="0.3">
      <c r="A875">
        <v>874</v>
      </c>
      <c r="B875">
        <v>439</v>
      </c>
      <c r="C875">
        <v>392</v>
      </c>
      <c r="D875">
        <v>2</v>
      </c>
      <c r="E875">
        <f t="shared" si="65"/>
        <v>784</v>
      </c>
      <c r="F875" s="30">
        <v>45135</v>
      </c>
      <c r="G875" t="s">
        <v>22</v>
      </c>
      <c r="H875">
        <v>74</v>
      </c>
      <c r="I875" t="str">
        <f>VLOOKUP(B875,товар!$A$1:$C$433,2,FALSE)</f>
        <v>Сок</v>
      </c>
      <c r="J875" s="23">
        <f t="shared" si="66"/>
        <v>268.60344827586209</v>
      </c>
      <c r="K875" s="24">
        <f t="shared" si="67"/>
        <v>0.45940047499839509</v>
      </c>
      <c r="L875" t="str">
        <f>VLOOKUP(B875,товар!$A$1:$C$433,3,FALSE)</f>
        <v>Добрый</v>
      </c>
      <c r="M875">
        <f t="shared" si="68"/>
        <v>242.81818181818181</v>
      </c>
      <c r="N875" s="30">
        <f>VLOOKUP(H875,клиенты!$A$1:$G$435,5,FALSE)</f>
        <v>44857</v>
      </c>
      <c r="O875">
        <f t="shared" si="69"/>
        <v>278</v>
      </c>
    </row>
    <row r="876" spans="1:15" x14ac:dyDescent="0.3">
      <c r="A876">
        <v>875</v>
      </c>
      <c r="B876">
        <v>83</v>
      </c>
      <c r="C876">
        <v>282</v>
      </c>
      <c r="D876">
        <v>5</v>
      </c>
      <c r="E876">
        <f t="shared" si="65"/>
        <v>1410</v>
      </c>
      <c r="F876" s="30">
        <v>44970</v>
      </c>
      <c r="G876" t="s">
        <v>19</v>
      </c>
      <c r="H876">
        <v>6</v>
      </c>
      <c r="I876" t="str">
        <f>VLOOKUP(B876,товар!$A$1:$C$433,2,FALSE)</f>
        <v>Сок</v>
      </c>
      <c r="J876" s="23">
        <f t="shared" si="66"/>
        <v>268.60344827586209</v>
      </c>
      <c r="K876" s="24">
        <f t="shared" si="67"/>
        <v>4.9874831503947448E-2</v>
      </c>
      <c r="L876" t="str">
        <f>VLOOKUP(B876,товар!$A$1:$C$433,3,FALSE)</f>
        <v>Сады Придонья</v>
      </c>
      <c r="M876">
        <f t="shared" si="68"/>
        <v>254.18181818181819</v>
      </c>
      <c r="N876" s="30">
        <f>VLOOKUP(H876,клиенты!$A$1:$G$435,5,FALSE)</f>
        <v>44710</v>
      </c>
      <c r="O876">
        <f t="shared" si="69"/>
        <v>260</v>
      </c>
    </row>
    <row r="877" spans="1:15" x14ac:dyDescent="0.3">
      <c r="A877">
        <v>876</v>
      </c>
      <c r="B877">
        <v>329</v>
      </c>
      <c r="C877">
        <v>265</v>
      </c>
      <c r="D877">
        <v>2</v>
      </c>
      <c r="E877">
        <f t="shared" si="65"/>
        <v>530</v>
      </c>
      <c r="F877" s="30">
        <v>45413</v>
      </c>
      <c r="G877" t="s">
        <v>29</v>
      </c>
      <c r="H877">
        <v>258</v>
      </c>
      <c r="I877" t="str">
        <f>VLOOKUP(B877,товар!$A$1:$C$433,2,FALSE)</f>
        <v>Соль</v>
      </c>
      <c r="J877" s="23">
        <f t="shared" si="66"/>
        <v>264.8679245283019</v>
      </c>
      <c r="K877" s="24">
        <f t="shared" si="67"/>
        <v>4.9864653084474853E-4</v>
      </c>
      <c r="L877" t="str">
        <f>VLOOKUP(B877,товар!$A$1:$C$433,3,FALSE)</f>
        <v>Славянская</v>
      </c>
      <c r="M877">
        <f t="shared" si="68"/>
        <v>236.91666666666666</v>
      </c>
      <c r="N877" s="30">
        <f>VLOOKUP(H877,клиенты!$A$1:$G$435,5,FALSE)</f>
        <v>44717</v>
      </c>
      <c r="O877">
        <f t="shared" si="69"/>
        <v>696</v>
      </c>
    </row>
    <row r="878" spans="1:15" x14ac:dyDescent="0.3">
      <c r="A878">
        <v>877</v>
      </c>
      <c r="B878">
        <v>91</v>
      </c>
      <c r="C878">
        <v>146</v>
      </c>
      <c r="D878">
        <v>1</v>
      </c>
      <c r="E878">
        <f t="shared" si="65"/>
        <v>146</v>
      </c>
      <c r="F878" s="30">
        <v>45022</v>
      </c>
      <c r="G878" t="s">
        <v>31</v>
      </c>
      <c r="H878">
        <v>138</v>
      </c>
      <c r="I878" t="str">
        <f>VLOOKUP(B878,товар!$A$1:$C$433,2,FALSE)</f>
        <v>Сыр</v>
      </c>
      <c r="J878" s="23">
        <f t="shared" si="66"/>
        <v>262.63492063492066</v>
      </c>
      <c r="K878" s="24">
        <f t="shared" si="67"/>
        <v>-0.44409524960715585</v>
      </c>
      <c r="L878" t="str">
        <f>VLOOKUP(B878,товар!$A$1:$C$433,3,FALSE)</f>
        <v>Сырная долина</v>
      </c>
      <c r="M878">
        <f t="shared" si="68"/>
        <v>271</v>
      </c>
      <c r="N878" s="30">
        <f>VLOOKUP(H878,клиенты!$A$1:$G$435,5,FALSE)</f>
        <v>44723</v>
      </c>
      <c r="O878">
        <f t="shared" si="69"/>
        <v>299</v>
      </c>
    </row>
    <row r="879" spans="1:15" x14ac:dyDescent="0.3">
      <c r="A879">
        <v>878</v>
      </c>
      <c r="B879">
        <v>296</v>
      </c>
      <c r="C879">
        <v>58</v>
      </c>
      <c r="D879">
        <v>2</v>
      </c>
      <c r="E879">
        <f t="shared" si="65"/>
        <v>116</v>
      </c>
      <c r="F879" s="30">
        <v>45401</v>
      </c>
      <c r="G879" t="s">
        <v>15</v>
      </c>
      <c r="H879">
        <v>419</v>
      </c>
      <c r="I879" t="str">
        <f>VLOOKUP(B879,товар!$A$1:$C$433,2,FALSE)</f>
        <v>Крупа</v>
      </c>
      <c r="J879" s="23">
        <f t="shared" si="66"/>
        <v>255.11627906976744</v>
      </c>
      <c r="K879" s="24">
        <f t="shared" si="67"/>
        <v>-0.7726526891522334</v>
      </c>
      <c r="L879" t="str">
        <f>VLOOKUP(B879,товар!$A$1:$C$433,3,FALSE)</f>
        <v>Мистраль</v>
      </c>
      <c r="M879">
        <f t="shared" si="68"/>
        <v>250.30769230769232</v>
      </c>
      <c r="N879" s="30">
        <f>VLOOKUP(H879,клиенты!$A$1:$G$435,5,FALSE)</f>
        <v>44869</v>
      </c>
      <c r="O879">
        <f t="shared" si="69"/>
        <v>532</v>
      </c>
    </row>
    <row r="880" spans="1:15" x14ac:dyDescent="0.3">
      <c r="A880">
        <v>879</v>
      </c>
      <c r="B880">
        <v>437</v>
      </c>
      <c r="C880">
        <v>379</v>
      </c>
      <c r="D880">
        <v>2</v>
      </c>
      <c r="E880">
        <f t="shared" si="65"/>
        <v>758</v>
      </c>
      <c r="F880" s="30">
        <v>45381</v>
      </c>
      <c r="G880" t="s">
        <v>32</v>
      </c>
      <c r="H880">
        <v>148</v>
      </c>
      <c r="I880" t="str">
        <f>VLOOKUP(B880,товар!$A$1:$C$433,2,FALSE)</f>
        <v>Чай</v>
      </c>
      <c r="J880" s="23">
        <f t="shared" si="66"/>
        <v>271.18181818181819</v>
      </c>
      <c r="K880" s="24">
        <f t="shared" si="67"/>
        <v>0.39758632249413339</v>
      </c>
      <c r="L880" t="str">
        <f>VLOOKUP(B880,товар!$A$1:$C$433,3,FALSE)</f>
        <v>Тесс</v>
      </c>
      <c r="M880">
        <f t="shared" si="68"/>
        <v>281.75</v>
      </c>
      <c r="N880" s="30">
        <f>VLOOKUP(H880,клиенты!$A$1:$G$435,5,FALSE)</f>
        <v>44700</v>
      </c>
      <c r="O880">
        <f t="shared" si="69"/>
        <v>681</v>
      </c>
    </row>
    <row r="881" spans="1:15" x14ac:dyDescent="0.3">
      <c r="A881">
        <v>880</v>
      </c>
      <c r="B881">
        <v>193</v>
      </c>
      <c r="C881">
        <v>201</v>
      </c>
      <c r="D881">
        <v>4</v>
      </c>
      <c r="E881">
        <f t="shared" si="65"/>
        <v>804</v>
      </c>
      <c r="F881" s="30">
        <v>45203</v>
      </c>
      <c r="G881" t="s">
        <v>21</v>
      </c>
      <c r="H881">
        <v>105</v>
      </c>
      <c r="I881" t="str">
        <f>VLOOKUP(B881,товар!$A$1:$C$433,2,FALSE)</f>
        <v>Соль</v>
      </c>
      <c r="J881" s="23">
        <f t="shared" si="66"/>
        <v>264.8679245283019</v>
      </c>
      <c r="K881" s="24">
        <f t="shared" si="67"/>
        <v>-0.24113121527283088</v>
      </c>
      <c r="L881" t="str">
        <f>VLOOKUP(B881,товар!$A$1:$C$433,3,FALSE)</f>
        <v>Салта</v>
      </c>
      <c r="M881">
        <f t="shared" si="68"/>
        <v>273.7</v>
      </c>
      <c r="N881" s="30">
        <f>VLOOKUP(H881,клиенты!$A$1:$G$435,5,FALSE)</f>
        <v>44918</v>
      </c>
      <c r="O881">
        <f t="shared" si="69"/>
        <v>285</v>
      </c>
    </row>
    <row r="882" spans="1:15" x14ac:dyDescent="0.3">
      <c r="A882">
        <v>881</v>
      </c>
      <c r="B882">
        <v>144</v>
      </c>
      <c r="C882">
        <v>337</v>
      </c>
      <c r="D882">
        <v>3</v>
      </c>
      <c r="E882">
        <f t="shared" si="65"/>
        <v>1011</v>
      </c>
      <c r="F882" s="30">
        <v>45039</v>
      </c>
      <c r="G882" t="s">
        <v>31</v>
      </c>
      <c r="H882">
        <v>365</v>
      </c>
      <c r="I882" t="str">
        <f>VLOOKUP(B882,товар!$A$1:$C$433,2,FALSE)</f>
        <v>Макароны</v>
      </c>
      <c r="J882" s="23">
        <f t="shared" si="66"/>
        <v>265.47674418604652</v>
      </c>
      <c r="K882" s="24">
        <f t="shared" si="67"/>
        <v>0.2694143927116639</v>
      </c>
      <c r="L882" t="str">
        <f>VLOOKUP(B882,товар!$A$1:$C$433,3,FALSE)</f>
        <v>Роллтон</v>
      </c>
      <c r="M882">
        <f t="shared" si="68"/>
        <v>235.55555555555554</v>
      </c>
      <c r="N882" s="30">
        <f>VLOOKUP(H882,клиенты!$A$1:$G$435,5,FALSE)</f>
        <v>44841</v>
      </c>
      <c r="O882">
        <f t="shared" si="69"/>
        <v>198</v>
      </c>
    </row>
    <row r="883" spans="1:15" x14ac:dyDescent="0.3">
      <c r="A883">
        <v>882</v>
      </c>
      <c r="B883">
        <v>27</v>
      </c>
      <c r="C883">
        <v>160</v>
      </c>
      <c r="D883">
        <v>1</v>
      </c>
      <c r="E883">
        <f t="shared" si="65"/>
        <v>160</v>
      </c>
      <c r="F883" s="30">
        <v>45276</v>
      </c>
      <c r="G883" t="s">
        <v>23</v>
      </c>
      <c r="H883">
        <v>416</v>
      </c>
      <c r="I883" t="str">
        <f>VLOOKUP(B883,товар!$A$1:$C$433,2,FALSE)</f>
        <v>Макароны</v>
      </c>
      <c r="J883" s="23">
        <f t="shared" si="66"/>
        <v>265.47674418604652</v>
      </c>
      <c r="K883" s="24">
        <f t="shared" si="67"/>
        <v>-0.39731067408348297</v>
      </c>
      <c r="L883" t="str">
        <f>VLOOKUP(B883,товар!$A$1:$C$433,3,FALSE)</f>
        <v>Паста Зара</v>
      </c>
      <c r="M883">
        <f t="shared" si="68"/>
        <v>276.67567567567568</v>
      </c>
      <c r="N883" s="30">
        <f>VLOOKUP(H883,клиенты!$A$1:$G$435,5,FALSE)</f>
        <v>44703</v>
      </c>
      <c r="O883">
        <f t="shared" si="69"/>
        <v>573</v>
      </c>
    </row>
    <row r="884" spans="1:15" x14ac:dyDescent="0.3">
      <c r="A884">
        <v>883</v>
      </c>
      <c r="B884">
        <v>375</v>
      </c>
      <c r="C884">
        <v>197</v>
      </c>
      <c r="D884">
        <v>5</v>
      </c>
      <c r="E884">
        <f t="shared" si="65"/>
        <v>985</v>
      </c>
      <c r="F884" s="30">
        <v>45368</v>
      </c>
      <c r="G884" t="s">
        <v>22</v>
      </c>
      <c r="H884">
        <v>315</v>
      </c>
      <c r="I884" t="str">
        <f>VLOOKUP(B884,товар!$A$1:$C$433,2,FALSE)</f>
        <v>Макароны</v>
      </c>
      <c r="J884" s="23">
        <f t="shared" si="66"/>
        <v>265.47674418604652</v>
      </c>
      <c r="K884" s="24">
        <f t="shared" si="67"/>
        <v>-0.25793876746528843</v>
      </c>
      <c r="L884" t="str">
        <f>VLOOKUP(B884,товар!$A$1:$C$433,3,FALSE)</f>
        <v>Борилла</v>
      </c>
      <c r="M884">
        <f t="shared" si="68"/>
        <v>236.27586206896552</v>
      </c>
      <c r="N884" s="30">
        <f>VLOOKUP(H884,клиенты!$A$1:$G$435,5,FALSE)</f>
        <v>44747</v>
      </c>
      <c r="O884">
        <f t="shared" si="69"/>
        <v>621</v>
      </c>
    </row>
    <row r="885" spans="1:15" x14ac:dyDescent="0.3">
      <c r="A885">
        <v>884</v>
      </c>
      <c r="B885">
        <v>453</v>
      </c>
      <c r="C885">
        <v>437</v>
      </c>
      <c r="D885">
        <v>2</v>
      </c>
      <c r="E885">
        <f t="shared" si="65"/>
        <v>874</v>
      </c>
      <c r="F885" s="30">
        <v>45394</v>
      </c>
      <c r="G885" t="s">
        <v>32</v>
      </c>
      <c r="H885">
        <v>81</v>
      </c>
      <c r="I885" t="str">
        <f>VLOOKUP(B885,товар!$A$1:$C$433,2,FALSE)</f>
        <v>Макароны</v>
      </c>
      <c r="J885" s="23">
        <f t="shared" si="66"/>
        <v>265.47674418604652</v>
      </c>
      <c r="K885" s="24">
        <f t="shared" si="67"/>
        <v>0.64609522140948705</v>
      </c>
      <c r="L885" t="str">
        <f>VLOOKUP(B885,товар!$A$1:$C$433,3,FALSE)</f>
        <v>Макфа</v>
      </c>
      <c r="M885">
        <f t="shared" si="68"/>
        <v>329.27272727272725</v>
      </c>
      <c r="N885" s="30">
        <f>VLOOKUP(H885,клиенты!$A$1:$G$435,5,FALSE)</f>
        <v>44825</v>
      </c>
      <c r="O885">
        <f t="shared" si="69"/>
        <v>569</v>
      </c>
    </row>
    <row r="886" spans="1:15" x14ac:dyDescent="0.3">
      <c r="A886">
        <v>885</v>
      </c>
      <c r="B886">
        <v>388</v>
      </c>
      <c r="C886">
        <v>205</v>
      </c>
      <c r="D886">
        <v>2</v>
      </c>
      <c r="E886">
        <f t="shared" si="65"/>
        <v>410</v>
      </c>
      <c r="F886" s="30">
        <v>45404</v>
      </c>
      <c r="G886" t="s">
        <v>28</v>
      </c>
      <c r="H886">
        <v>262</v>
      </c>
      <c r="I886" t="str">
        <f>VLOOKUP(B886,товар!$A$1:$C$433,2,FALSE)</f>
        <v>Рыба</v>
      </c>
      <c r="J886" s="23">
        <f t="shared" si="66"/>
        <v>258.5128205128205</v>
      </c>
      <c r="K886" s="24">
        <f t="shared" si="67"/>
        <v>-0.20700257885340201</v>
      </c>
      <c r="L886" t="str">
        <f>VLOOKUP(B886,товар!$A$1:$C$433,3,FALSE)</f>
        <v>Меридиан</v>
      </c>
      <c r="M886">
        <f t="shared" si="68"/>
        <v>260.64705882352939</v>
      </c>
      <c r="N886" s="30">
        <f>VLOOKUP(H886,клиенты!$A$1:$G$435,5,FALSE)</f>
        <v>44778</v>
      </c>
      <c r="O886">
        <f t="shared" si="69"/>
        <v>626</v>
      </c>
    </row>
    <row r="887" spans="1:15" x14ac:dyDescent="0.3">
      <c r="A887">
        <v>886</v>
      </c>
      <c r="B887">
        <v>312</v>
      </c>
      <c r="C887">
        <v>476</v>
      </c>
      <c r="D887">
        <v>2</v>
      </c>
      <c r="E887">
        <f t="shared" si="65"/>
        <v>952</v>
      </c>
      <c r="F887" s="30">
        <v>45113</v>
      </c>
      <c r="G887" t="s">
        <v>31</v>
      </c>
      <c r="H887">
        <v>239</v>
      </c>
      <c r="I887" t="str">
        <f>VLOOKUP(B887,товар!$A$1:$C$433,2,FALSE)</f>
        <v>Хлеб</v>
      </c>
      <c r="J887" s="23">
        <f t="shared" si="66"/>
        <v>300.31818181818181</v>
      </c>
      <c r="K887" s="24">
        <f t="shared" si="67"/>
        <v>0.58498562131073117</v>
      </c>
      <c r="L887" t="str">
        <f>VLOOKUP(B887,товар!$A$1:$C$433,3,FALSE)</f>
        <v>Каравай</v>
      </c>
      <c r="M887">
        <f t="shared" si="68"/>
        <v>331.16666666666669</v>
      </c>
      <c r="N887" s="30">
        <f>VLOOKUP(H887,клиенты!$A$1:$G$435,5,FALSE)</f>
        <v>44767</v>
      </c>
      <c r="O887">
        <f t="shared" si="69"/>
        <v>346</v>
      </c>
    </row>
    <row r="888" spans="1:15" x14ac:dyDescent="0.3">
      <c r="A888">
        <v>887</v>
      </c>
      <c r="B888">
        <v>486</v>
      </c>
      <c r="C888">
        <v>230</v>
      </c>
      <c r="D888">
        <v>2</v>
      </c>
      <c r="E888">
        <f t="shared" si="65"/>
        <v>460</v>
      </c>
      <c r="F888" s="30">
        <v>45207</v>
      </c>
      <c r="G888" t="s">
        <v>16</v>
      </c>
      <c r="H888">
        <v>358</v>
      </c>
      <c r="I888" t="str">
        <f>VLOOKUP(B888,товар!$A$1:$C$433,2,FALSE)</f>
        <v>Соль</v>
      </c>
      <c r="J888" s="23">
        <f t="shared" si="66"/>
        <v>264.8679245283019</v>
      </c>
      <c r="K888" s="24">
        <f t="shared" si="67"/>
        <v>-0.13164268414304037</v>
      </c>
      <c r="L888" t="str">
        <f>VLOOKUP(B888,товар!$A$1:$C$433,3,FALSE)</f>
        <v>Илецкая</v>
      </c>
      <c r="M888">
        <f t="shared" si="68"/>
        <v>238.16666666666666</v>
      </c>
      <c r="N888" s="30">
        <f>VLOOKUP(H888,клиенты!$A$1:$G$435,5,FALSE)</f>
        <v>44771</v>
      </c>
      <c r="O888">
        <f t="shared" si="69"/>
        <v>436</v>
      </c>
    </row>
    <row r="889" spans="1:15" x14ac:dyDescent="0.3">
      <c r="A889">
        <v>888</v>
      </c>
      <c r="B889">
        <v>295</v>
      </c>
      <c r="C889">
        <v>219</v>
      </c>
      <c r="D889">
        <v>5</v>
      </c>
      <c r="E889">
        <f t="shared" si="65"/>
        <v>1095</v>
      </c>
      <c r="F889" s="30">
        <v>45165</v>
      </c>
      <c r="G889" t="s">
        <v>26</v>
      </c>
      <c r="H889">
        <v>331</v>
      </c>
      <c r="I889" t="str">
        <f>VLOOKUP(B889,товар!$A$1:$C$433,2,FALSE)</f>
        <v>Печенье</v>
      </c>
      <c r="J889" s="23">
        <f t="shared" si="66"/>
        <v>283.468085106383</v>
      </c>
      <c r="K889" s="24">
        <f t="shared" si="67"/>
        <v>-0.22742625534789462</v>
      </c>
      <c r="L889" t="str">
        <f>VLOOKUP(B889,товар!$A$1:$C$433,3,FALSE)</f>
        <v>Белогорье</v>
      </c>
      <c r="M889">
        <f t="shared" si="68"/>
        <v>249.5</v>
      </c>
      <c r="N889" s="30">
        <f>VLOOKUP(H889,клиенты!$A$1:$G$435,5,FALSE)</f>
        <v>44813</v>
      </c>
      <c r="O889">
        <f t="shared" si="69"/>
        <v>352</v>
      </c>
    </row>
    <row r="890" spans="1:15" x14ac:dyDescent="0.3">
      <c r="A890">
        <v>889</v>
      </c>
      <c r="B890">
        <v>1</v>
      </c>
      <c r="C890">
        <v>206</v>
      </c>
      <c r="D890">
        <v>3</v>
      </c>
      <c r="E890">
        <f t="shared" si="65"/>
        <v>618</v>
      </c>
      <c r="F890" s="30">
        <v>44986</v>
      </c>
      <c r="G890" t="s">
        <v>20</v>
      </c>
      <c r="H890">
        <v>31</v>
      </c>
      <c r="I890" t="str">
        <f>VLOOKUP(B890,товар!$A$1:$C$433,2,FALSE)</f>
        <v>Крупа</v>
      </c>
      <c r="J890" s="23">
        <f t="shared" si="66"/>
        <v>255.11627906976744</v>
      </c>
      <c r="K890" s="24">
        <f t="shared" si="67"/>
        <v>-0.1925250683682771</v>
      </c>
      <c r="L890" t="str">
        <f>VLOOKUP(B890,товар!$A$1:$C$433,3,FALSE)</f>
        <v>Ярмарка</v>
      </c>
      <c r="M890">
        <f t="shared" si="68"/>
        <v>252.09090909090909</v>
      </c>
      <c r="N890" s="30">
        <f>VLOOKUP(H890,клиенты!$A$1:$G$435,5,FALSE)</f>
        <v>44580</v>
      </c>
      <c r="O890">
        <f t="shared" si="69"/>
        <v>406</v>
      </c>
    </row>
    <row r="891" spans="1:15" x14ac:dyDescent="0.3">
      <c r="A891">
        <v>890</v>
      </c>
      <c r="B891">
        <v>347</v>
      </c>
      <c r="C891">
        <v>343</v>
      </c>
      <c r="D891">
        <v>3</v>
      </c>
      <c r="E891">
        <f t="shared" si="65"/>
        <v>1029</v>
      </c>
      <c r="F891" s="30">
        <v>44937</v>
      </c>
      <c r="G891" t="s">
        <v>17</v>
      </c>
      <c r="H891">
        <v>74</v>
      </c>
      <c r="I891" t="str">
        <f>VLOOKUP(B891,товар!$A$1:$C$433,2,FALSE)</f>
        <v>Макароны</v>
      </c>
      <c r="J891" s="23">
        <f t="shared" si="66"/>
        <v>265.47674418604652</v>
      </c>
      <c r="K891" s="24">
        <f t="shared" si="67"/>
        <v>0.29201524243353338</v>
      </c>
      <c r="L891" t="str">
        <f>VLOOKUP(B891,товар!$A$1:$C$433,3,FALSE)</f>
        <v>Паста Зара</v>
      </c>
      <c r="M891">
        <f t="shared" si="68"/>
        <v>276.67567567567568</v>
      </c>
      <c r="N891" s="30">
        <f>VLOOKUP(H891,клиенты!$A$1:$G$435,5,FALSE)</f>
        <v>44857</v>
      </c>
      <c r="O891">
        <f t="shared" si="69"/>
        <v>80</v>
      </c>
    </row>
    <row r="892" spans="1:15" x14ac:dyDescent="0.3">
      <c r="A892">
        <v>891</v>
      </c>
      <c r="B892">
        <v>308</v>
      </c>
      <c r="C892">
        <v>147</v>
      </c>
      <c r="D892">
        <v>2</v>
      </c>
      <c r="E892">
        <f t="shared" si="65"/>
        <v>294</v>
      </c>
      <c r="F892" s="30">
        <v>45261</v>
      </c>
      <c r="G892" t="s">
        <v>26</v>
      </c>
      <c r="H892">
        <v>80</v>
      </c>
      <c r="I892" t="str">
        <f>VLOOKUP(B892,товар!$A$1:$C$433,2,FALSE)</f>
        <v>Конфеты</v>
      </c>
      <c r="J892" s="23">
        <f t="shared" si="66"/>
        <v>267.85483870967744</v>
      </c>
      <c r="K892" s="24">
        <f t="shared" si="67"/>
        <v>-0.45119527909917512</v>
      </c>
      <c r="L892" t="str">
        <f>VLOOKUP(B892,товар!$A$1:$C$433,3,FALSE)</f>
        <v>Бабаевский</v>
      </c>
      <c r="M892">
        <f t="shared" si="68"/>
        <v>250.25925925925927</v>
      </c>
      <c r="N892" s="30">
        <f>VLOOKUP(H892,клиенты!$A$1:$G$435,5,FALSE)</f>
        <v>44623</v>
      </c>
      <c r="O892">
        <f t="shared" si="69"/>
        <v>638</v>
      </c>
    </row>
    <row r="893" spans="1:15" x14ac:dyDescent="0.3">
      <c r="A893">
        <v>892</v>
      </c>
      <c r="B893">
        <v>52</v>
      </c>
      <c r="C893">
        <v>423</v>
      </c>
      <c r="D893">
        <v>3</v>
      </c>
      <c r="E893">
        <f t="shared" si="65"/>
        <v>1269</v>
      </c>
      <c r="F893" s="30">
        <v>45378</v>
      </c>
      <c r="G893" t="s">
        <v>21</v>
      </c>
      <c r="H893">
        <v>496</v>
      </c>
      <c r="I893" t="str">
        <f>VLOOKUP(B893,товар!$A$1:$C$433,2,FALSE)</f>
        <v>Соль</v>
      </c>
      <c r="J893" s="23">
        <f t="shared" si="66"/>
        <v>264.8679245283019</v>
      </c>
      <c r="K893" s="24">
        <f t="shared" si="67"/>
        <v>0.59702236785866925</v>
      </c>
      <c r="L893" t="str">
        <f>VLOOKUP(B893,товар!$A$1:$C$433,3,FALSE)</f>
        <v>Илецкая</v>
      </c>
      <c r="M893">
        <f t="shared" si="68"/>
        <v>238.16666666666666</v>
      </c>
      <c r="N893" s="30">
        <f>VLOOKUP(H893,клиенты!$A$1:$G$435,5,FALSE)</f>
        <v>44867</v>
      </c>
      <c r="O893">
        <f t="shared" si="69"/>
        <v>511</v>
      </c>
    </row>
    <row r="894" spans="1:15" x14ac:dyDescent="0.3">
      <c r="A894">
        <v>893</v>
      </c>
      <c r="B894">
        <v>75</v>
      </c>
      <c r="C894">
        <v>494</v>
      </c>
      <c r="D894">
        <v>4</v>
      </c>
      <c r="E894">
        <f t="shared" si="65"/>
        <v>1976</v>
      </c>
      <c r="F894" s="30">
        <v>45030</v>
      </c>
      <c r="G894" t="s">
        <v>18</v>
      </c>
      <c r="H894">
        <v>477</v>
      </c>
      <c r="I894" t="str">
        <f>VLOOKUP(B894,товар!$A$1:$C$433,2,FALSE)</f>
        <v>Печенье</v>
      </c>
      <c r="J894" s="23">
        <f t="shared" si="66"/>
        <v>283.468085106383</v>
      </c>
      <c r="K894" s="24">
        <f t="shared" si="67"/>
        <v>0.7427005929595436</v>
      </c>
      <c r="L894" t="str">
        <f>VLOOKUP(B894,товар!$A$1:$C$433,3,FALSE)</f>
        <v>Белогорье</v>
      </c>
      <c r="M894">
        <f t="shared" si="68"/>
        <v>249.5</v>
      </c>
      <c r="N894" s="30">
        <f>VLOOKUP(H894,клиенты!$A$1:$G$435,5,FALSE)</f>
        <v>44738</v>
      </c>
      <c r="O894">
        <f t="shared" si="69"/>
        <v>292</v>
      </c>
    </row>
    <row r="895" spans="1:15" x14ac:dyDescent="0.3">
      <c r="A895">
        <v>894</v>
      </c>
      <c r="B895">
        <v>148</v>
      </c>
      <c r="C895">
        <v>270</v>
      </c>
      <c r="D895">
        <v>2</v>
      </c>
      <c r="E895">
        <f t="shared" si="65"/>
        <v>540</v>
      </c>
      <c r="F895" s="30">
        <v>45206</v>
      </c>
      <c r="G895" t="s">
        <v>20</v>
      </c>
      <c r="H895">
        <v>196</v>
      </c>
      <c r="I895" t="str">
        <f>VLOOKUP(B895,товар!$A$1:$C$433,2,FALSE)</f>
        <v>Сок</v>
      </c>
      <c r="J895" s="23">
        <f t="shared" si="66"/>
        <v>268.60344827586209</v>
      </c>
      <c r="K895" s="24">
        <f t="shared" si="67"/>
        <v>5.199306759098743E-3</v>
      </c>
      <c r="L895" t="str">
        <f>VLOOKUP(B895,товар!$A$1:$C$433,3,FALSE)</f>
        <v>Фруктовый сад</v>
      </c>
      <c r="M895">
        <f t="shared" si="68"/>
        <v>281.96875</v>
      </c>
      <c r="N895" s="30">
        <f>VLOOKUP(H895,клиенты!$A$1:$G$435,5,FALSE)</f>
        <v>44835</v>
      </c>
      <c r="O895">
        <f t="shared" si="69"/>
        <v>371</v>
      </c>
    </row>
    <row r="896" spans="1:15" x14ac:dyDescent="0.3">
      <c r="A896">
        <v>895</v>
      </c>
      <c r="B896">
        <v>481</v>
      </c>
      <c r="C896">
        <v>470</v>
      </c>
      <c r="D896">
        <v>2</v>
      </c>
      <c r="E896">
        <f t="shared" si="65"/>
        <v>940</v>
      </c>
      <c r="F896" s="30">
        <v>45101</v>
      </c>
      <c r="G896" t="s">
        <v>16</v>
      </c>
      <c r="H896">
        <v>400</v>
      </c>
      <c r="I896" t="str">
        <f>VLOOKUP(B896,товар!$A$1:$C$433,2,FALSE)</f>
        <v>Чипсы</v>
      </c>
      <c r="J896" s="23">
        <f t="shared" si="66"/>
        <v>273.72549019607845</v>
      </c>
      <c r="K896" s="24">
        <f t="shared" si="67"/>
        <v>0.71704871060171915</v>
      </c>
      <c r="L896" t="str">
        <f>VLOOKUP(B896,товар!$A$1:$C$433,3,FALSE)</f>
        <v>Pringles</v>
      </c>
      <c r="M896">
        <f t="shared" si="68"/>
        <v>280.23809523809524</v>
      </c>
      <c r="N896" s="30">
        <f>VLOOKUP(H896,клиенты!$A$1:$G$435,5,FALSE)</f>
        <v>44765</v>
      </c>
      <c r="O896">
        <f t="shared" si="69"/>
        <v>336</v>
      </c>
    </row>
    <row r="897" spans="1:15" x14ac:dyDescent="0.3">
      <c r="A897">
        <v>896</v>
      </c>
      <c r="B897">
        <v>194</v>
      </c>
      <c r="C897">
        <v>278</v>
      </c>
      <c r="D897">
        <v>4</v>
      </c>
      <c r="E897">
        <f t="shared" si="65"/>
        <v>1112</v>
      </c>
      <c r="F897" s="30">
        <v>45286</v>
      </c>
      <c r="G897" t="s">
        <v>24</v>
      </c>
      <c r="H897">
        <v>271</v>
      </c>
      <c r="I897" t="str">
        <f>VLOOKUP(B897,товар!$A$1:$C$433,2,FALSE)</f>
        <v>Соль</v>
      </c>
      <c r="J897" s="23">
        <f t="shared" si="66"/>
        <v>264.8679245283019</v>
      </c>
      <c r="K897" s="24">
        <f t="shared" si="67"/>
        <v>4.9579712209716353E-2</v>
      </c>
      <c r="L897" t="str">
        <f>VLOOKUP(B897,товар!$A$1:$C$433,3,FALSE)</f>
        <v>Салта</v>
      </c>
      <c r="M897">
        <f t="shared" si="68"/>
        <v>273.7</v>
      </c>
      <c r="N897" s="30">
        <f>VLOOKUP(H897,клиенты!$A$1:$G$435,5,FALSE)</f>
        <v>44892</v>
      </c>
      <c r="O897">
        <f t="shared" si="69"/>
        <v>394</v>
      </c>
    </row>
    <row r="898" spans="1:15" x14ac:dyDescent="0.3">
      <c r="A898">
        <v>897</v>
      </c>
      <c r="B898">
        <v>422</v>
      </c>
      <c r="C898">
        <v>244</v>
      </c>
      <c r="D898">
        <v>3</v>
      </c>
      <c r="E898">
        <f t="shared" ref="E898:E961" si="70">C898*D898</f>
        <v>732</v>
      </c>
      <c r="F898" s="30">
        <v>45370</v>
      </c>
      <c r="G898" t="s">
        <v>20</v>
      </c>
      <c r="H898">
        <v>265</v>
      </c>
      <c r="I898" t="str">
        <f>VLOOKUP(B898,товар!$A$1:$C$433,2,FALSE)</f>
        <v>Кофе</v>
      </c>
      <c r="J898" s="23">
        <f t="shared" ref="J898:J961" si="71">AVERAGEIF($I$2:$I$1001,I898,$C$2:$C$1001)</f>
        <v>249.02380952380952</v>
      </c>
      <c r="K898" s="24">
        <f t="shared" ref="K898:K961" si="72">C898/J898-1</f>
        <v>-2.0174012811932318E-2</v>
      </c>
      <c r="L898" t="str">
        <f>VLOOKUP(B898,товар!$A$1:$C$433,3,FALSE)</f>
        <v>Nescafe</v>
      </c>
      <c r="M898">
        <f t="shared" ref="M898:M961" si="73">AVERAGEIFS($C$2:$C$1001,$I$2:$I$1001,I898,$L$2:$L$1001,L898)</f>
        <v>256.89999999999998</v>
      </c>
      <c r="N898" s="30">
        <f>VLOOKUP(H898,клиенты!$A$1:$G$435,5,FALSE)</f>
        <v>44756</v>
      </c>
      <c r="O898">
        <f t="shared" ref="O898:O961" si="74">F898-N898</f>
        <v>614</v>
      </c>
    </row>
    <row r="899" spans="1:15" x14ac:dyDescent="0.3">
      <c r="A899">
        <v>898</v>
      </c>
      <c r="B899">
        <v>52</v>
      </c>
      <c r="C899">
        <v>142</v>
      </c>
      <c r="D899">
        <v>3</v>
      </c>
      <c r="E899">
        <f t="shared" si="70"/>
        <v>426</v>
      </c>
      <c r="F899" s="30">
        <v>44929</v>
      </c>
      <c r="G899" t="s">
        <v>25</v>
      </c>
      <c r="H899">
        <v>366</v>
      </c>
      <c r="I899" t="str">
        <f>VLOOKUP(B899,товар!$A$1:$C$433,2,FALSE)</f>
        <v>Соль</v>
      </c>
      <c r="J899" s="23">
        <f t="shared" si="71"/>
        <v>264.8679245283019</v>
      </c>
      <c r="K899" s="24">
        <f t="shared" si="72"/>
        <v>-0.46388374412309452</v>
      </c>
      <c r="L899" t="str">
        <f>VLOOKUP(B899,товар!$A$1:$C$433,3,FALSE)</f>
        <v>Илецкая</v>
      </c>
      <c r="M899">
        <f t="shared" si="73"/>
        <v>238.16666666666666</v>
      </c>
      <c r="N899" s="30">
        <f>VLOOKUP(H899,клиенты!$A$1:$G$435,5,FALSE)</f>
        <v>44827</v>
      </c>
      <c r="O899">
        <f t="shared" si="74"/>
        <v>102</v>
      </c>
    </row>
    <row r="900" spans="1:15" x14ac:dyDescent="0.3">
      <c r="A900">
        <v>899</v>
      </c>
      <c r="B900">
        <v>73</v>
      </c>
      <c r="C900">
        <v>160</v>
      </c>
      <c r="D900">
        <v>4</v>
      </c>
      <c r="E900">
        <f t="shared" si="70"/>
        <v>640</v>
      </c>
      <c r="F900" s="30">
        <v>45163</v>
      </c>
      <c r="G900" t="s">
        <v>19</v>
      </c>
      <c r="H900">
        <v>302</v>
      </c>
      <c r="I900" t="str">
        <f>VLOOKUP(B900,товар!$A$1:$C$433,2,FALSE)</f>
        <v>Хлеб</v>
      </c>
      <c r="J900" s="23">
        <f t="shared" si="71"/>
        <v>300.31818181818181</v>
      </c>
      <c r="K900" s="24">
        <f t="shared" si="72"/>
        <v>-0.46723172392916601</v>
      </c>
      <c r="L900" t="str">
        <f>VLOOKUP(B900,товар!$A$1:$C$433,3,FALSE)</f>
        <v>Дарница</v>
      </c>
      <c r="M900">
        <f t="shared" si="73"/>
        <v>264</v>
      </c>
      <c r="N900" s="30">
        <f>VLOOKUP(H900,клиенты!$A$1:$G$435,5,FALSE)</f>
        <v>44859</v>
      </c>
      <c r="O900">
        <f t="shared" si="74"/>
        <v>304</v>
      </c>
    </row>
    <row r="901" spans="1:15" x14ac:dyDescent="0.3">
      <c r="A901">
        <v>900</v>
      </c>
      <c r="B901">
        <v>208</v>
      </c>
      <c r="C901">
        <v>476</v>
      </c>
      <c r="D901">
        <v>5</v>
      </c>
      <c r="E901">
        <f t="shared" si="70"/>
        <v>2380</v>
      </c>
      <c r="F901" s="30">
        <v>45262</v>
      </c>
      <c r="G901" t="s">
        <v>33</v>
      </c>
      <c r="H901">
        <v>326</v>
      </c>
      <c r="I901" t="str">
        <f>VLOOKUP(B901,товар!$A$1:$C$433,2,FALSE)</f>
        <v>Конфеты</v>
      </c>
      <c r="J901" s="23">
        <f t="shared" si="71"/>
        <v>267.85483870967744</v>
      </c>
      <c r="K901" s="24">
        <f t="shared" si="72"/>
        <v>0.77708195339314745</v>
      </c>
      <c r="L901" t="str">
        <f>VLOOKUP(B901,товар!$A$1:$C$433,3,FALSE)</f>
        <v>Славянка</v>
      </c>
      <c r="M901">
        <f t="shared" si="73"/>
        <v>268</v>
      </c>
      <c r="N901" s="30">
        <f>VLOOKUP(H901,клиенты!$A$1:$G$435,5,FALSE)</f>
        <v>44655</v>
      </c>
      <c r="O901">
        <f t="shared" si="74"/>
        <v>607</v>
      </c>
    </row>
    <row r="902" spans="1:15" x14ac:dyDescent="0.3">
      <c r="A902">
        <v>901</v>
      </c>
      <c r="B902">
        <v>458</v>
      </c>
      <c r="C902">
        <v>343</v>
      </c>
      <c r="D902">
        <v>3</v>
      </c>
      <c r="E902">
        <f t="shared" si="70"/>
        <v>1029</v>
      </c>
      <c r="F902" s="30">
        <v>45005</v>
      </c>
      <c r="G902" t="s">
        <v>27</v>
      </c>
      <c r="H902">
        <v>282</v>
      </c>
      <c r="I902" t="str">
        <f>VLOOKUP(B902,товар!$A$1:$C$433,2,FALSE)</f>
        <v>Макароны</v>
      </c>
      <c r="J902" s="23">
        <f t="shared" si="71"/>
        <v>265.47674418604652</v>
      </c>
      <c r="K902" s="24">
        <f t="shared" si="72"/>
        <v>0.29201524243353338</v>
      </c>
      <c r="L902" t="str">
        <f>VLOOKUP(B902,товар!$A$1:$C$433,3,FALSE)</f>
        <v>Борилла</v>
      </c>
      <c r="M902">
        <f t="shared" si="73"/>
        <v>236.27586206896552</v>
      </c>
      <c r="N902" s="30">
        <f>VLOOKUP(H902,клиенты!$A$1:$G$435,5,FALSE)</f>
        <v>44735</v>
      </c>
      <c r="O902">
        <f t="shared" si="74"/>
        <v>270</v>
      </c>
    </row>
    <row r="903" spans="1:15" x14ac:dyDescent="0.3">
      <c r="A903">
        <v>902</v>
      </c>
      <c r="B903">
        <v>444</v>
      </c>
      <c r="C903">
        <v>328</v>
      </c>
      <c r="D903">
        <v>3</v>
      </c>
      <c r="E903">
        <f t="shared" si="70"/>
        <v>984</v>
      </c>
      <c r="F903" s="30">
        <v>45102</v>
      </c>
      <c r="G903" t="s">
        <v>34</v>
      </c>
      <c r="H903">
        <v>292</v>
      </c>
      <c r="I903" t="str">
        <f>VLOOKUP(B903,товар!$A$1:$C$433,2,FALSE)</f>
        <v>Йогурт</v>
      </c>
      <c r="J903" s="23">
        <f t="shared" si="71"/>
        <v>263.25423728813558</v>
      </c>
      <c r="K903" s="24">
        <f t="shared" si="72"/>
        <v>0.24594385784187489</v>
      </c>
      <c r="L903" t="str">
        <f>VLOOKUP(B903,товар!$A$1:$C$433,3,FALSE)</f>
        <v>Эрманн</v>
      </c>
      <c r="M903">
        <f t="shared" si="73"/>
        <v>248.5</v>
      </c>
      <c r="N903" s="30">
        <f>VLOOKUP(H903,клиенты!$A$1:$G$435,5,FALSE)</f>
        <v>44608</v>
      </c>
      <c r="O903">
        <f t="shared" si="74"/>
        <v>494</v>
      </c>
    </row>
    <row r="904" spans="1:15" x14ac:dyDescent="0.3">
      <c r="A904">
        <v>903</v>
      </c>
      <c r="B904">
        <v>369</v>
      </c>
      <c r="C904">
        <v>379</v>
      </c>
      <c r="D904">
        <v>5</v>
      </c>
      <c r="E904">
        <f t="shared" si="70"/>
        <v>1895</v>
      </c>
      <c r="F904" s="30">
        <v>45189</v>
      </c>
      <c r="G904" t="s">
        <v>31</v>
      </c>
      <c r="H904">
        <v>267</v>
      </c>
      <c r="I904" t="str">
        <f>VLOOKUP(B904,товар!$A$1:$C$433,2,FALSE)</f>
        <v>Молоко</v>
      </c>
      <c r="J904" s="23">
        <f t="shared" si="71"/>
        <v>294.95238095238096</v>
      </c>
      <c r="K904" s="24">
        <f t="shared" si="72"/>
        <v>0.28495318049725538</v>
      </c>
      <c r="L904" t="str">
        <f>VLOOKUP(B904,товар!$A$1:$C$433,3,FALSE)</f>
        <v>Домик в деревне</v>
      </c>
      <c r="M904">
        <f t="shared" si="73"/>
        <v>274.77777777777777</v>
      </c>
      <c r="N904" s="30">
        <f>VLOOKUP(H904,клиенты!$A$1:$G$435,5,FALSE)</f>
        <v>44910</v>
      </c>
      <c r="O904">
        <f t="shared" si="74"/>
        <v>279</v>
      </c>
    </row>
    <row r="905" spans="1:15" x14ac:dyDescent="0.3">
      <c r="A905">
        <v>904</v>
      </c>
      <c r="B905">
        <v>6</v>
      </c>
      <c r="C905">
        <v>70</v>
      </c>
      <c r="D905">
        <v>5</v>
      </c>
      <c r="E905">
        <f t="shared" si="70"/>
        <v>350</v>
      </c>
      <c r="F905" s="30">
        <v>45364</v>
      </c>
      <c r="G905" t="s">
        <v>19</v>
      </c>
      <c r="H905">
        <v>433</v>
      </c>
      <c r="I905" t="str">
        <f>VLOOKUP(B905,товар!$A$1:$C$433,2,FALSE)</f>
        <v>Фрукты</v>
      </c>
      <c r="J905" s="23">
        <f t="shared" si="71"/>
        <v>274.16279069767444</v>
      </c>
      <c r="K905" s="24">
        <f t="shared" si="72"/>
        <v>-0.74467724149631009</v>
      </c>
      <c r="L905" t="str">
        <f>VLOOKUP(B905,товар!$A$1:$C$433,3,FALSE)</f>
        <v>Фрукты-Ягоды</v>
      </c>
      <c r="M905">
        <f t="shared" si="73"/>
        <v>280.66666666666669</v>
      </c>
      <c r="N905" s="30">
        <f>VLOOKUP(H905,клиенты!$A$1:$G$435,5,FALSE)</f>
        <v>44832</v>
      </c>
      <c r="O905">
        <f t="shared" si="74"/>
        <v>532</v>
      </c>
    </row>
    <row r="906" spans="1:15" x14ac:dyDescent="0.3">
      <c r="A906">
        <v>905</v>
      </c>
      <c r="B906">
        <v>318</v>
      </c>
      <c r="C906">
        <v>280</v>
      </c>
      <c r="D906">
        <v>1</v>
      </c>
      <c r="E906">
        <f t="shared" si="70"/>
        <v>280</v>
      </c>
      <c r="F906" s="30">
        <v>45213</v>
      </c>
      <c r="G906" t="s">
        <v>16</v>
      </c>
      <c r="H906">
        <v>382</v>
      </c>
      <c r="I906" t="str">
        <f>VLOOKUP(B906,товар!$A$1:$C$433,2,FALSE)</f>
        <v>Молоко</v>
      </c>
      <c r="J906" s="23">
        <f t="shared" si="71"/>
        <v>294.95238095238096</v>
      </c>
      <c r="K906" s="24">
        <f t="shared" si="72"/>
        <v>-5.0694220213109542E-2</v>
      </c>
      <c r="L906" t="str">
        <f>VLOOKUP(B906,товар!$A$1:$C$433,3,FALSE)</f>
        <v>Домик в деревне</v>
      </c>
      <c r="M906">
        <f t="shared" si="73"/>
        <v>274.77777777777777</v>
      </c>
      <c r="N906" s="30">
        <f>VLOOKUP(H906,клиенты!$A$1:$G$435,5,FALSE)</f>
        <v>44850</v>
      </c>
      <c r="O906">
        <f t="shared" si="74"/>
        <v>363</v>
      </c>
    </row>
    <row r="907" spans="1:15" x14ac:dyDescent="0.3">
      <c r="A907">
        <v>906</v>
      </c>
      <c r="B907">
        <v>269</v>
      </c>
      <c r="C907">
        <v>315</v>
      </c>
      <c r="D907">
        <v>1</v>
      </c>
      <c r="E907">
        <f t="shared" si="70"/>
        <v>315</v>
      </c>
      <c r="F907" s="30">
        <v>45355</v>
      </c>
      <c r="G907" t="s">
        <v>17</v>
      </c>
      <c r="H907">
        <v>41</v>
      </c>
      <c r="I907" t="str">
        <f>VLOOKUP(B907,товар!$A$1:$C$433,2,FALSE)</f>
        <v>Сахар</v>
      </c>
      <c r="J907" s="23">
        <f t="shared" si="71"/>
        <v>252.76271186440678</v>
      </c>
      <c r="K907" s="24">
        <f t="shared" si="72"/>
        <v>0.2462281231140615</v>
      </c>
      <c r="L907" t="str">
        <f>VLOOKUP(B907,товар!$A$1:$C$433,3,FALSE)</f>
        <v>Русский сахар</v>
      </c>
      <c r="M907">
        <f t="shared" si="73"/>
        <v>293.41176470588238</v>
      </c>
      <c r="N907" s="30">
        <f>VLOOKUP(H907,клиенты!$A$1:$G$435,5,FALSE)</f>
        <v>44842</v>
      </c>
      <c r="O907">
        <f t="shared" si="74"/>
        <v>513</v>
      </c>
    </row>
    <row r="908" spans="1:15" x14ac:dyDescent="0.3">
      <c r="A908">
        <v>907</v>
      </c>
      <c r="B908">
        <v>55</v>
      </c>
      <c r="C908">
        <v>353</v>
      </c>
      <c r="D908">
        <v>1</v>
      </c>
      <c r="E908">
        <f t="shared" si="70"/>
        <v>353</v>
      </c>
      <c r="F908" s="30">
        <v>45413</v>
      </c>
      <c r="G908" t="s">
        <v>34</v>
      </c>
      <c r="H908">
        <v>129</v>
      </c>
      <c r="I908" t="str">
        <f>VLOOKUP(B908,товар!$A$1:$C$433,2,FALSE)</f>
        <v>Крупа</v>
      </c>
      <c r="J908" s="23">
        <f t="shared" si="71"/>
        <v>255.11627906976744</v>
      </c>
      <c r="K908" s="24">
        <f t="shared" si="72"/>
        <v>0.38368277119416594</v>
      </c>
      <c r="L908" t="str">
        <f>VLOOKUP(B908,товар!$A$1:$C$433,3,FALSE)</f>
        <v>Националь</v>
      </c>
      <c r="M908">
        <f t="shared" si="73"/>
        <v>274.28571428571428</v>
      </c>
      <c r="N908" s="30">
        <f>VLOOKUP(H908,клиенты!$A$1:$G$435,5,FALSE)</f>
        <v>44868</v>
      </c>
      <c r="O908">
        <f t="shared" si="74"/>
        <v>545</v>
      </c>
    </row>
    <row r="909" spans="1:15" x14ac:dyDescent="0.3">
      <c r="A909">
        <v>908</v>
      </c>
      <c r="B909">
        <v>327</v>
      </c>
      <c r="C909">
        <v>342</v>
      </c>
      <c r="D909">
        <v>2</v>
      </c>
      <c r="E909">
        <f t="shared" si="70"/>
        <v>684</v>
      </c>
      <c r="F909" s="30">
        <v>45284</v>
      </c>
      <c r="G909" t="s">
        <v>16</v>
      </c>
      <c r="H909">
        <v>335</v>
      </c>
      <c r="I909" t="str">
        <f>VLOOKUP(B909,товар!$A$1:$C$433,2,FALSE)</f>
        <v>Колбаса</v>
      </c>
      <c r="J909" s="23">
        <f t="shared" si="71"/>
        <v>286.92307692307691</v>
      </c>
      <c r="K909" s="24">
        <f t="shared" si="72"/>
        <v>0.19195710455764092</v>
      </c>
      <c r="L909" t="str">
        <f>VLOOKUP(B909,товар!$A$1:$C$433,3,FALSE)</f>
        <v>Черкизово</v>
      </c>
      <c r="M909">
        <f t="shared" si="73"/>
        <v>320.25</v>
      </c>
      <c r="N909" s="30">
        <f>VLOOKUP(H909,клиенты!$A$1:$G$435,5,FALSE)</f>
        <v>44619</v>
      </c>
      <c r="O909">
        <f t="shared" si="74"/>
        <v>665</v>
      </c>
    </row>
    <row r="910" spans="1:15" x14ac:dyDescent="0.3">
      <c r="A910">
        <v>909</v>
      </c>
      <c r="B910">
        <v>364</v>
      </c>
      <c r="C910">
        <v>299</v>
      </c>
      <c r="D910">
        <v>3</v>
      </c>
      <c r="E910">
        <f t="shared" si="70"/>
        <v>897</v>
      </c>
      <c r="F910" s="30">
        <v>44932</v>
      </c>
      <c r="G910" t="s">
        <v>29</v>
      </c>
      <c r="H910">
        <v>194</v>
      </c>
      <c r="I910" t="str">
        <f>VLOOKUP(B910,товар!$A$1:$C$433,2,FALSE)</f>
        <v>Сахар</v>
      </c>
      <c r="J910" s="23">
        <f t="shared" si="71"/>
        <v>252.76271186440678</v>
      </c>
      <c r="K910" s="24">
        <f t="shared" si="72"/>
        <v>0.18292764701937902</v>
      </c>
      <c r="L910" t="str">
        <f>VLOOKUP(B910,товар!$A$1:$C$433,3,FALSE)</f>
        <v>Русский сахар</v>
      </c>
      <c r="M910">
        <f t="shared" si="73"/>
        <v>293.41176470588238</v>
      </c>
      <c r="N910" s="30">
        <f>VLOOKUP(H910,клиенты!$A$1:$G$435,5,FALSE)</f>
        <v>44924</v>
      </c>
      <c r="O910">
        <f t="shared" si="74"/>
        <v>8</v>
      </c>
    </row>
    <row r="911" spans="1:15" x14ac:dyDescent="0.3">
      <c r="A911">
        <v>910</v>
      </c>
      <c r="B911">
        <v>378</v>
      </c>
      <c r="C911">
        <v>397</v>
      </c>
      <c r="D911">
        <v>1</v>
      </c>
      <c r="E911">
        <f t="shared" si="70"/>
        <v>397</v>
      </c>
      <c r="F911" s="30">
        <v>45000</v>
      </c>
      <c r="G911" t="s">
        <v>20</v>
      </c>
      <c r="H911">
        <v>56</v>
      </c>
      <c r="I911" t="str">
        <f>VLOOKUP(B911,товар!$A$1:$C$433,2,FALSE)</f>
        <v>Сок</v>
      </c>
      <c r="J911" s="23">
        <f t="shared" si="71"/>
        <v>268.60344827586209</v>
      </c>
      <c r="K911" s="24">
        <f t="shared" si="72"/>
        <v>0.47801527697541557</v>
      </c>
      <c r="L911" t="str">
        <f>VLOOKUP(B911,товар!$A$1:$C$433,3,FALSE)</f>
        <v>Фруктовый сад</v>
      </c>
      <c r="M911">
        <f t="shared" si="73"/>
        <v>281.96875</v>
      </c>
      <c r="N911" s="30">
        <f>VLOOKUP(H911,клиенты!$A$1:$G$435,5,FALSE)</f>
        <v>44662</v>
      </c>
      <c r="O911">
        <f t="shared" si="74"/>
        <v>338</v>
      </c>
    </row>
    <row r="912" spans="1:15" x14ac:dyDescent="0.3">
      <c r="A912">
        <v>911</v>
      </c>
      <c r="B912">
        <v>462</v>
      </c>
      <c r="C912">
        <v>231</v>
      </c>
      <c r="D912">
        <v>2</v>
      </c>
      <c r="E912">
        <f t="shared" si="70"/>
        <v>462</v>
      </c>
      <c r="F912" s="30">
        <v>44950</v>
      </c>
      <c r="G912" t="s">
        <v>33</v>
      </c>
      <c r="H912">
        <v>493</v>
      </c>
      <c r="I912" t="str">
        <f>VLOOKUP(B912,товар!$A$1:$C$433,2,FALSE)</f>
        <v>Рис</v>
      </c>
      <c r="J912" s="23">
        <f t="shared" si="71"/>
        <v>258.375</v>
      </c>
      <c r="K912" s="24">
        <f t="shared" si="72"/>
        <v>-0.10595065312046448</v>
      </c>
      <c r="L912" t="str">
        <f>VLOOKUP(B912,товар!$A$1:$C$433,3,FALSE)</f>
        <v>Белый Злат</v>
      </c>
      <c r="M912">
        <f t="shared" si="73"/>
        <v>269.70588235294116</v>
      </c>
      <c r="N912" s="30">
        <f>VLOOKUP(H912,клиенты!$A$1:$G$435,5,FALSE)</f>
        <v>44855</v>
      </c>
      <c r="O912">
        <f t="shared" si="74"/>
        <v>95</v>
      </c>
    </row>
    <row r="913" spans="1:15" x14ac:dyDescent="0.3">
      <c r="A913">
        <v>912</v>
      </c>
      <c r="B913">
        <v>89</v>
      </c>
      <c r="C913">
        <v>120</v>
      </c>
      <c r="D913">
        <v>5</v>
      </c>
      <c r="E913">
        <f t="shared" si="70"/>
        <v>600</v>
      </c>
      <c r="F913" s="30">
        <v>44962</v>
      </c>
      <c r="G913" t="s">
        <v>34</v>
      </c>
      <c r="H913">
        <v>222</v>
      </c>
      <c r="I913" t="str">
        <f>VLOOKUP(B913,товар!$A$1:$C$433,2,FALSE)</f>
        <v>Конфеты</v>
      </c>
      <c r="J913" s="23">
        <f t="shared" si="71"/>
        <v>267.85483870967744</v>
      </c>
      <c r="K913" s="24">
        <f t="shared" si="72"/>
        <v>-0.5519961462034082</v>
      </c>
      <c r="L913" t="str">
        <f>VLOOKUP(B913,товар!$A$1:$C$433,3,FALSE)</f>
        <v>Рот Фронт</v>
      </c>
      <c r="M913">
        <f t="shared" si="73"/>
        <v>288.23809523809524</v>
      </c>
      <c r="N913" s="30">
        <f>VLOOKUP(H913,клиенты!$A$1:$G$435,5,FALSE)</f>
        <v>44694</v>
      </c>
      <c r="O913">
        <f t="shared" si="74"/>
        <v>268</v>
      </c>
    </row>
    <row r="914" spans="1:15" x14ac:dyDescent="0.3">
      <c r="A914">
        <v>913</v>
      </c>
      <c r="B914">
        <v>465</v>
      </c>
      <c r="C914">
        <v>177</v>
      </c>
      <c r="D914">
        <v>1</v>
      </c>
      <c r="E914">
        <f t="shared" si="70"/>
        <v>177</v>
      </c>
      <c r="F914" s="30">
        <v>45122</v>
      </c>
      <c r="G914" t="s">
        <v>23</v>
      </c>
      <c r="H914">
        <v>167</v>
      </c>
      <c r="I914" t="str">
        <f>VLOOKUP(B914,товар!$A$1:$C$433,2,FALSE)</f>
        <v>Йогурт</v>
      </c>
      <c r="J914" s="23">
        <f t="shared" si="71"/>
        <v>263.25423728813558</v>
      </c>
      <c r="K914" s="24">
        <f t="shared" si="72"/>
        <v>-0.32764614988411023</v>
      </c>
      <c r="L914" t="str">
        <f>VLOOKUP(B914,товар!$A$1:$C$433,3,FALSE)</f>
        <v>Ростагроэкспорт</v>
      </c>
      <c r="M914">
        <f t="shared" si="73"/>
        <v>257.78260869565219</v>
      </c>
      <c r="N914" s="30">
        <f>VLOOKUP(H914,клиенты!$A$1:$G$435,5,FALSE)</f>
        <v>44563</v>
      </c>
      <c r="O914">
        <f t="shared" si="74"/>
        <v>559</v>
      </c>
    </row>
    <row r="915" spans="1:15" x14ac:dyDescent="0.3">
      <c r="A915">
        <v>914</v>
      </c>
      <c r="B915">
        <v>208</v>
      </c>
      <c r="C915">
        <v>412</v>
      </c>
      <c r="D915">
        <v>4</v>
      </c>
      <c r="E915">
        <f t="shared" si="70"/>
        <v>1648</v>
      </c>
      <c r="F915" s="30">
        <v>45319</v>
      </c>
      <c r="G915" t="s">
        <v>21</v>
      </c>
      <c r="H915">
        <v>212</v>
      </c>
      <c r="I915" t="str">
        <f>VLOOKUP(B915,товар!$A$1:$C$433,2,FALSE)</f>
        <v>Конфеты</v>
      </c>
      <c r="J915" s="23">
        <f t="shared" si="71"/>
        <v>267.85483870967744</v>
      </c>
      <c r="K915" s="24">
        <f t="shared" si="72"/>
        <v>0.53814656470163169</v>
      </c>
      <c r="L915" t="str">
        <f>VLOOKUP(B915,товар!$A$1:$C$433,3,FALSE)</f>
        <v>Славянка</v>
      </c>
      <c r="M915">
        <f t="shared" si="73"/>
        <v>268</v>
      </c>
      <c r="N915" s="30">
        <f>VLOOKUP(H915,клиенты!$A$1:$G$435,5,FALSE)</f>
        <v>44815</v>
      </c>
      <c r="O915">
        <f t="shared" si="74"/>
        <v>504</v>
      </c>
    </row>
    <row r="916" spans="1:15" x14ac:dyDescent="0.3">
      <c r="A916">
        <v>915</v>
      </c>
      <c r="B916">
        <v>357</v>
      </c>
      <c r="C916">
        <v>279</v>
      </c>
      <c r="D916">
        <v>2</v>
      </c>
      <c r="E916">
        <f t="shared" si="70"/>
        <v>558</v>
      </c>
      <c r="F916" s="30">
        <v>45266</v>
      </c>
      <c r="G916" t="s">
        <v>30</v>
      </c>
      <c r="H916">
        <v>499</v>
      </c>
      <c r="I916" t="str">
        <f>VLOOKUP(B916,товар!$A$1:$C$433,2,FALSE)</f>
        <v>Мясо</v>
      </c>
      <c r="J916" s="23">
        <f t="shared" si="71"/>
        <v>271.74545454545455</v>
      </c>
      <c r="K916" s="24">
        <f t="shared" si="72"/>
        <v>2.6696105981533602E-2</v>
      </c>
      <c r="L916" t="str">
        <f>VLOOKUP(B916,товар!$A$1:$C$433,3,FALSE)</f>
        <v>Снежана</v>
      </c>
      <c r="M916">
        <f t="shared" si="73"/>
        <v>272.35294117647061</v>
      </c>
      <c r="N916" s="30">
        <f>VLOOKUP(H916,клиенты!$A$1:$G$435,5,FALSE)</f>
        <v>44798</v>
      </c>
      <c r="O916">
        <f t="shared" si="74"/>
        <v>468</v>
      </c>
    </row>
    <row r="917" spans="1:15" x14ac:dyDescent="0.3">
      <c r="A917">
        <v>916</v>
      </c>
      <c r="B917">
        <v>416</v>
      </c>
      <c r="C917">
        <v>472</v>
      </c>
      <c r="D917">
        <v>1</v>
      </c>
      <c r="E917">
        <f t="shared" si="70"/>
        <v>472</v>
      </c>
      <c r="F917" s="30">
        <v>45339</v>
      </c>
      <c r="G917" t="s">
        <v>34</v>
      </c>
      <c r="H917">
        <v>401</v>
      </c>
      <c r="I917" t="str">
        <f>VLOOKUP(B917,товар!$A$1:$C$433,2,FALSE)</f>
        <v>Рыба</v>
      </c>
      <c r="J917" s="23">
        <f t="shared" si="71"/>
        <v>258.5128205128205</v>
      </c>
      <c r="K917" s="24">
        <f t="shared" si="72"/>
        <v>0.82582820868875229</v>
      </c>
      <c r="L917" t="str">
        <f>VLOOKUP(B917,товар!$A$1:$C$433,3,FALSE)</f>
        <v>Меридиан</v>
      </c>
      <c r="M917">
        <f t="shared" si="73"/>
        <v>260.64705882352939</v>
      </c>
      <c r="N917" s="30">
        <f>VLOOKUP(H917,клиенты!$A$1:$G$435,5,FALSE)</f>
        <v>44856</v>
      </c>
      <c r="O917">
        <f t="shared" si="74"/>
        <v>483</v>
      </c>
    </row>
    <row r="918" spans="1:15" x14ac:dyDescent="0.3">
      <c r="A918">
        <v>917</v>
      </c>
      <c r="B918">
        <v>374</v>
      </c>
      <c r="C918">
        <v>52</v>
      </c>
      <c r="D918">
        <v>3</v>
      </c>
      <c r="E918">
        <f t="shared" si="70"/>
        <v>156</v>
      </c>
      <c r="F918" s="30">
        <v>45026</v>
      </c>
      <c r="G918" t="s">
        <v>33</v>
      </c>
      <c r="H918">
        <v>463</v>
      </c>
      <c r="I918" t="str">
        <f>VLOOKUP(B918,товар!$A$1:$C$433,2,FALSE)</f>
        <v>Кофе</v>
      </c>
      <c r="J918" s="23">
        <f t="shared" si="71"/>
        <v>249.02380952380952</v>
      </c>
      <c r="K918" s="24">
        <f t="shared" si="72"/>
        <v>-0.79118462568123149</v>
      </c>
      <c r="L918" t="str">
        <f>VLOOKUP(B918,товар!$A$1:$C$433,3,FALSE)</f>
        <v>Tchibo</v>
      </c>
      <c r="M918">
        <f t="shared" si="73"/>
        <v>140</v>
      </c>
      <c r="N918" s="30">
        <f>VLOOKUP(H918,клиенты!$A$1:$G$435,5,FALSE)</f>
        <v>44869</v>
      </c>
      <c r="O918">
        <f t="shared" si="74"/>
        <v>157</v>
      </c>
    </row>
    <row r="919" spans="1:15" x14ac:dyDescent="0.3">
      <c r="A919">
        <v>918</v>
      </c>
      <c r="B919">
        <v>145</v>
      </c>
      <c r="C919">
        <v>144</v>
      </c>
      <c r="D919">
        <v>5</v>
      </c>
      <c r="E919">
        <f t="shared" si="70"/>
        <v>720</v>
      </c>
      <c r="F919" s="30">
        <v>45312</v>
      </c>
      <c r="G919" t="s">
        <v>15</v>
      </c>
      <c r="H919">
        <v>347</v>
      </c>
      <c r="I919" t="str">
        <f>VLOOKUP(B919,товар!$A$1:$C$433,2,FALSE)</f>
        <v>Овощи</v>
      </c>
      <c r="J919" s="23">
        <f t="shared" si="71"/>
        <v>250.48780487804879</v>
      </c>
      <c r="K919" s="24">
        <f t="shared" si="72"/>
        <v>-0.42512171372930874</v>
      </c>
      <c r="L919" t="str">
        <f>VLOOKUP(B919,товар!$A$1:$C$433,3,FALSE)</f>
        <v>Семко</v>
      </c>
      <c r="M919">
        <f t="shared" si="73"/>
        <v>208</v>
      </c>
      <c r="N919" s="30">
        <f>VLOOKUP(H919,клиенты!$A$1:$G$435,5,FALSE)</f>
        <v>44588</v>
      </c>
      <c r="O919">
        <f t="shared" si="74"/>
        <v>724</v>
      </c>
    </row>
    <row r="920" spans="1:15" x14ac:dyDescent="0.3">
      <c r="A920">
        <v>919</v>
      </c>
      <c r="B920">
        <v>289</v>
      </c>
      <c r="C920">
        <v>258</v>
      </c>
      <c r="D920">
        <v>2</v>
      </c>
      <c r="E920">
        <f t="shared" si="70"/>
        <v>516</v>
      </c>
      <c r="F920" s="30">
        <v>45392</v>
      </c>
      <c r="G920" t="s">
        <v>16</v>
      </c>
      <c r="H920">
        <v>54</v>
      </c>
      <c r="I920" t="str">
        <f>VLOOKUP(B920,товар!$A$1:$C$433,2,FALSE)</f>
        <v>Сок</v>
      </c>
      <c r="J920" s="23">
        <f t="shared" si="71"/>
        <v>268.60344827586209</v>
      </c>
      <c r="K920" s="24">
        <f t="shared" si="72"/>
        <v>-3.9476217985750184E-2</v>
      </c>
      <c r="L920" t="str">
        <f>VLOOKUP(B920,товар!$A$1:$C$433,3,FALSE)</f>
        <v>Добрый</v>
      </c>
      <c r="M920">
        <f t="shared" si="73"/>
        <v>242.81818181818181</v>
      </c>
      <c r="N920" s="30">
        <f>VLOOKUP(H920,клиенты!$A$1:$G$435,5,FALSE)</f>
        <v>44847</v>
      </c>
      <c r="O920">
        <f t="shared" si="74"/>
        <v>545</v>
      </c>
    </row>
    <row r="921" spans="1:15" x14ac:dyDescent="0.3">
      <c r="A921">
        <v>920</v>
      </c>
      <c r="B921">
        <v>173</v>
      </c>
      <c r="C921">
        <v>173</v>
      </c>
      <c r="D921">
        <v>2</v>
      </c>
      <c r="E921">
        <f t="shared" si="70"/>
        <v>346</v>
      </c>
      <c r="F921" s="30">
        <v>45097</v>
      </c>
      <c r="G921" t="s">
        <v>33</v>
      </c>
      <c r="H921">
        <v>246</v>
      </c>
      <c r="I921" t="str">
        <f>VLOOKUP(B921,товар!$A$1:$C$433,2,FALSE)</f>
        <v>Сок</v>
      </c>
      <c r="J921" s="23">
        <f t="shared" si="71"/>
        <v>268.60344827586209</v>
      </c>
      <c r="K921" s="24">
        <f t="shared" si="72"/>
        <v>-0.35592785159509599</v>
      </c>
      <c r="L921" t="str">
        <f>VLOOKUP(B921,товар!$A$1:$C$433,3,FALSE)</f>
        <v>Фруктовый сад</v>
      </c>
      <c r="M921">
        <f t="shared" si="73"/>
        <v>281.96875</v>
      </c>
      <c r="N921" s="30">
        <f>VLOOKUP(H921,клиенты!$A$1:$G$435,5,FALSE)</f>
        <v>44805</v>
      </c>
      <c r="O921">
        <f t="shared" si="74"/>
        <v>292</v>
      </c>
    </row>
    <row r="922" spans="1:15" x14ac:dyDescent="0.3">
      <c r="A922">
        <v>921</v>
      </c>
      <c r="B922">
        <v>390</v>
      </c>
      <c r="C922">
        <v>494</v>
      </c>
      <c r="D922">
        <v>3</v>
      </c>
      <c r="E922">
        <f t="shared" si="70"/>
        <v>1482</v>
      </c>
      <c r="F922" s="30">
        <v>45196</v>
      </c>
      <c r="G922" t="s">
        <v>26</v>
      </c>
      <c r="H922">
        <v>65</v>
      </c>
      <c r="I922" t="str">
        <f>VLOOKUP(B922,товар!$A$1:$C$433,2,FALSE)</f>
        <v>Сок</v>
      </c>
      <c r="J922" s="23">
        <f t="shared" si="71"/>
        <v>268.60344827586209</v>
      </c>
      <c r="K922" s="24">
        <f t="shared" si="72"/>
        <v>0.83914243532961019</v>
      </c>
      <c r="L922" t="str">
        <f>VLOOKUP(B922,товар!$A$1:$C$433,3,FALSE)</f>
        <v>Сады Придонья</v>
      </c>
      <c r="M922">
        <f t="shared" si="73"/>
        <v>254.18181818181819</v>
      </c>
      <c r="N922" s="30">
        <f>VLOOKUP(H922,клиенты!$A$1:$G$435,5,FALSE)</f>
        <v>44623</v>
      </c>
      <c r="O922">
        <f t="shared" si="74"/>
        <v>573</v>
      </c>
    </row>
    <row r="923" spans="1:15" x14ac:dyDescent="0.3">
      <c r="A923">
        <v>922</v>
      </c>
      <c r="B923">
        <v>482</v>
      </c>
      <c r="C923">
        <v>198</v>
      </c>
      <c r="D923">
        <v>2</v>
      </c>
      <c r="E923">
        <f t="shared" si="70"/>
        <v>396</v>
      </c>
      <c r="F923" s="30">
        <v>45197</v>
      </c>
      <c r="G923" t="s">
        <v>33</v>
      </c>
      <c r="H923">
        <v>44</v>
      </c>
      <c r="I923" t="str">
        <f>VLOOKUP(B923,товар!$A$1:$C$433,2,FALSE)</f>
        <v>Крупа</v>
      </c>
      <c r="J923" s="23">
        <f t="shared" si="71"/>
        <v>255.11627906976744</v>
      </c>
      <c r="K923" s="24">
        <f t="shared" si="72"/>
        <v>-0.22388331814038287</v>
      </c>
      <c r="L923" t="str">
        <f>VLOOKUP(B923,товар!$A$1:$C$433,3,FALSE)</f>
        <v>Мистраль</v>
      </c>
      <c r="M923">
        <f t="shared" si="73"/>
        <v>250.30769230769232</v>
      </c>
      <c r="N923" s="30">
        <f>VLOOKUP(H923,клиенты!$A$1:$G$435,5,FALSE)</f>
        <v>44701</v>
      </c>
      <c r="O923">
        <f t="shared" si="74"/>
        <v>496</v>
      </c>
    </row>
    <row r="924" spans="1:15" x14ac:dyDescent="0.3">
      <c r="A924">
        <v>923</v>
      </c>
      <c r="B924">
        <v>465</v>
      </c>
      <c r="C924">
        <v>71</v>
      </c>
      <c r="D924">
        <v>5</v>
      </c>
      <c r="E924">
        <f t="shared" si="70"/>
        <v>355</v>
      </c>
      <c r="F924" s="30">
        <v>45253</v>
      </c>
      <c r="G924" t="s">
        <v>23</v>
      </c>
      <c r="H924">
        <v>321</v>
      </c>
      <c r="I924" t="str">
        <f>VLOOKUP(B924,товар!$A$1:$C$433,2,FALSE)</f>
        <v>Йогурт</v>
      </c>
      <c r="J924" s="23">
        <f t="shared" si="71"/>
        <v>263.25423728813558</v>
      </c>
      <c r="K924" s="24">
        <f t="shared" si="72"/>
        <v>-0.73029873808910639</v>
      </c>
      <c r="L924" t="str">
        <f>VLOOKUP(B924,товар!$A$1:$C$433,3,FALSE)</f>
        <v>Ростагроэкспорт</v>
      </c>
      <c r="M924">
        <f t="shared" si="73"/>
        <v>257.78260869565219</v>
      </c>
      <c r="N924" s="30">
        <f>VLOOKUP(H924,клиенты!$A$1:$G$435,5,FALSE)</f>
        <v>44756</v>
      </c>
      <c r="O924">
        <f t="shared" si="74"/>
        <v>497</v>
      </c>
    </row>
    <row r="925" spans="1:15" x14ac:dyDescent="0.3">
      <c r="A925">
        <v>924</v>
      </c>
      <c r="B925">
        <v>114</v>
      </c>
      <c r="C925">
        <v>228</v>
      </c>
      <c r="D925">
        <v>2</v>
      </c>
      <c r="E925">
        <f t="shared" si="70"/>
        <v>456</v>
      </c>
      <c r="F925" s="30">
        <v>45175</v>
      </c>
      <c r="G925" t="s">
        <v>29</v>
      </c>
      <c r="H925">
        <v>50</v>
      </c>
      <c r="I925" t="str">
        <f>VLOOKUP(B925,товар!$A$1:$C$433,2,FALSE)</f>
        <v>Сыр</v>
      </c>
      <c r="J925" s="23">
        <f t="shared" si="71"/>
        <v>262.63492063492066</v>
      </c>
      <c r="K925" s="24">
        <f t="shared" si="72"/>
        <v>-0.13187477335912012</v>
      </c>
      <c r="L925" t="str">
        <f>VLOOKUP(B925,товар!$A$1:$C$433,3,FALSE)</f>
        <v>Сырная долина</v>
      </c>
      <c r="M925">
        <f t="shared" si="73"/>
        <v>271</v>
      </c>
      <c r="N925" s="30">
        <f>VLOOKUP(H925,клиенты!$A$1:$G$435,5,FALSE)</f>
        <v>44576</v>
      </c>
      <c r="O925">
        <f t="shared" si="74"/>
        <v>599</v>
      </c>
    </row>
    <row r="926" spans="1:15" x14ac:dyDescent="0.3">
      <c r="A926">
        <v>925</v>
      </c>
      <c r="B926">
        <v>46</v>
      </c>
      <c r="C926">
        <v>290</v>
      </c>
      <c r="D926">
        <v>3</v>
      </c>
      <c r="E926">
        <f t="shared" si="70"/>
        <v>870</v>
      </c>
      <c r="F926" s="30">
        <v>45059</v>
      </c>
      <c r="G926" t="s">
        <v>20</v>
      </c>
      <c r="H926">
        <v>460</v>
      </c>
      <c r="I926" t="str">
        <f>VLOOKUP(B926,товар!$A$1:$C$433,2,FALSE)</f>
        <v>Йогурт</v>
      </c>
      <c r="J926" s="23">
        <f t="shared" si="71"/>
        <v>263.25423728813558</v>
      </c>
      <c r="K926" s="24">
        <f t="shared" si="72"/>
        <v>0.10159670357970652</v>
      </c>
      <c r="L926" t="str">
        <f>VLOOKUP(B926,товар!$A$1:$C$433,3,FALSE)</f>
        <v>Активиа</v>
      </c>
      <c r="M926">
        <f t="shared" si="73"/>
        <v>293.66666666666669</v>
      </c>
      <c r="N926" s="30">
        <f>VLOOKUP(H926,клиенты!$A$1:$G$435,5,FALSE)</f>
        <v>44821</v>
      </c>
      <c r="O926">
        <f t="shared" si="74"/>
        <v>238</v>
      </c>
    </row>
    <row r="927" spans="1:15" x14ac:dyDescent="0.3">
      <c r="A927">
        <v>926</v>
      </c>
      <c r="B927">
        <v>222</v>
      </c>
      <c r="C927">
        <v>168</v>
      </c>
      <c r="D927">
        <v>3</v>
      </c>
      <c r="E927">
        <f t="shared" si="70"/>
        <v>504</v>
      </c>
      <c r="F927" s="30">
        <v>45313</v>
      </c>
      <c r="G927" t="s">
        <v>28</v>
      </c>
      <c r="H927">
        <v>79</v>
      </c>
      <c r="I927" t="str">
        <f>VLOOKUP(B927,товар!$A$1:$C$433,2,FALSE)</f>
        <v>Молоко</v>
      </c>
      <c r="J927" s="23">
        <f t="shared" si="71"/>
        <v>294.95238095238096</v>
      </c>
      <c r="K927" s="24">
        <f t="shared" si="72"/>
        <v>-0.43041653212786568</v>
      </c>
      <c r="L927" t="str">
        <f>VLOOKUP(B927,товар!$A$1:$C$433,3,FALSE)</f>
        <v>Простоквашино</v>
      </c>
      <c r="M927">
        <f t="shared" si="73"/>
        <v>318.81818181818181</v>
      </c>
      <c r="N927" s="30">
        <f>VLOOKUP(H927,клиенты!$A$1:$G$435,5,FALSE)</f>
        <v>44716</v>
      </c>
      <c r="O927">
        <f t="shared" si="74"/>
        <v>597</v>
      </c>
    </row>
    <row r="928" spans="1:15" x14ac:dyDescent="0.3">
      <c r="A928">
        <v>927</v>
      </c>
      <c r="B928">
        <v>210</v>
      </c>
      <c r="C928">
        <v>374</v>
      </c>
      <c r="D928">
        <v>2</v>
      </c>
      <c r="E928">
        <f t="shared" si="70"/>
        <v>748</v>
      </c>
      <c r="F928" s="30">
        <v>45052</v>
      </c>
      <c r="G928" t="s">
        <v>23</v>
      </c>
      <c r="H928">
        <v>209</v>
      </c>
      <c r="I928" t="str">
        <f>VLOOKUP(B928,товар!$A$1:$C$433,2,FALSE)</f>
        <v>Колбаса</v>
      </c>
      <c r="J928" s="23">
        <f t="shared" si="71"/>
        <v>286.92307692307691</v>
      </c>
      <c r="K928" s="24">
        <f t="shared" si="72"/>
        <v>0.30348525469168908</v>
      </c>
      <c r="L928" t="str">
        <f>VLOOKUP(B928,товар!$A$1:$C$433,3,FALSE)</f>
        <v>Окраина</v>
      </c>
      <c r="M928">
        <f t="shared" si="73"/>
        <v>273.58333333333331</v>
      </c>
      <c r="N928" s="30">
        <f>VLOOKUP(H928,клиенты!$A$1:$G$435,5,FALSE)</f>
        <v>44628</v>
      </c>
      <c r="O928">
        <f t="shared" si="74"/>
        <v>424</v>
      </c>
    </row>
    <row r="929" spans="1:15" x14ac:dyDescent="0.3">
      <c r="A929">
        <v>928</v>
      </c>
      <c r="B929">
        <v>399</v>
      </c>
      <c r="C929">
        <v>67</v>
      </c>
      <c r="D929">
        <v>2</v>
      </c>
      <c r="E929">
        <f t="shared" si="70"/>
        <v>134</v>
      </c>
      <c r="F929" s="30">
        <v>44951</v>
      </c>
      <c r="G929" t="s">
        <v>33</v>
      </c>
      <c r="H929">
        <v>451</v>
      </c>
      <c r="I929" t="str">
        <f>VLOOKUP(B929,товар!$A$1:$C$433,2,FALSE)</f>
        <v>Хлеб</v>
      </c>
      <c r="J929" s="23">
        <f t="shared" si="71"/>
        <v>300.31818181818181</v>
      </c>
      <c r="K929" s="24">
        <f t="shared" si="72"/>
        <v>-0.77690328439533829</v>
      </c>
      <c r="L929" t="str">
        <f>VLOOKUP(B929,товар!$A$1:$C$433,3,FALSE)</f>
        <v>Хлебный Дом</v>
      </c>
      <c r="M929">
        <f t="shared" si="73"/>
        <v>281.73333333333335</v>
      </c>
      <c r="N929" s="30">
        <f>VLOOKUP(H929,клиенты!$A$1:$G$435,5,FALSE)</f>
        <v>44584</v>
      </c>
      <c r="O929">
        <f t="shared" si="74"/>
        <v>367</v>
      </c>
    </row>
    <row r="930" spans="1:15" x14ac:dyDescent="0.3">
      <c r="A930">
        <v>929</v>
      </c>
      <c r="B930">
        <v>498</v>
      </c>
      <c r="C930">
        <v>244</v>
      </c>
      <c r="D930">
        <v>2</v>
      </c>
      <c r="E930">
        <f t="shared" si="70"/>
        <v>488</v>
      </c>
      <c r="F930" s="30">
        <v>45238</v>
      </c>
      <c r="G930" t="s">
        <v>18</v>
      </c>
      <c r="H930">
        <v>49</v>
      </c>
      <c r="I930" t="str">
        <f>VLOOKUP(B930,товар!$A$1:$C$433,2,FALSE)</f>
        <v>Молоко</v>
      </c>
      <c r="J930" s="23">
        <f t="shared" si="71"/>
        <v>294.95238095238096</v>
      </c>
      <c r="K930" s="24">
        <f t="shared" si="72"/>
        <v>-0.17274782047142401</v>
      </c>
      <c r="L930" t="str">
        <f>VLOOKUP(B930,товар!$A$1:$C$433,3,FALSE)</f>
        <v>Домик в деревне</v>
      </c>
      <c r="M930">
        <f t="shared" si="73"/>
        <v>274.77777777777777</v>
      </c>
      <c r="N930" s="30">
        <f>VLOOKUP(H930,клиенты!$A$1:$G$435,5,FALSE)</f>
        <v>44672</v>
      </c>
      <c r="O930">
        <f t="shared" si="74"/>
        <v>566</v>
      </c>
    </row>
    <row r="931" spans="1:15" x14ac:dyDescent="0.3">
      <c r="A931">
        <v>930</v>
      </c>
      <c r="B931">
        <v>170</v>
      </c>
      <c r="C931">
        <v>312</v>
      </c>
      <c r="D931">
        <v>1</v>
      </c>
      <c r="E931">
        <f t="shared" si="70"/>
        <v>312</v>
      </c>
      <c r="F931" s="30">
        <v>45072</v>
      </c>
      <c r="G931" t="s">
        <v>26</v>
      </c>
      <c r="H931">
        <v>162</v>
      </c>
      <c r="I931" t="str">
        <f>VLOOKUP(B931,товар!$A$1:$C$433,2,FALSE)</f>
        <v>Конфеты</v>
      </c>
      <c r="J931" s="23">
        <f t="shared" si="71"/>
        <v>267.85483870967744</v>
      </c>
      <c r="K931" s="24">
        <f t="shared" si="72"/>
        <v>0.16481001987113864</v>
      </c>
      <c r="L931" t="str">
        <f>VLOOKUP(B931,товар!$A$1:$C$433,3,FALSE)</f>
        <v>Славянка</v>
      </c>
      <c r="M931">
        <f t="shared" si="73"/>
        <v>268</v>
      </c>
      <c r="N931" s="30">
        <f>VLOOKUP(H931,клиенты!$A$1:$G$435,5,FALSE)</f>
        <v>44639</v>
      </c>
      <c r="O931">
        <f t="shared" si="74"/>
        <v>433</v>
      </c>
    </row>
    <row r="932" spans="1:15" x14ac:dyDescent="0.3">
      <c r="A932">
        <v>931</v>
      </c>
      <c r="B932">
        <v>205</v>
      </c>
      <c r="C932">
        <v>212</v>
      </c>
      <c r="D932">
        <v>4</v>
      </c>
      <c r="E932">
        <f t="shared" si="70"/>
        <v>848</v>
      </c>
      <c r="F932" s="30">
        <v>45020</v>
      </c>
      <c r="G932" t="s">
        <v>24</v>
      </c>
      <c r="H932">
        <v>414</v>
      </c>
      <c r="I932" t="str">
        <f>VLOOKUP(B932,товар!$A$1:$C$433,2,FALSE)</f>
        <v>Макароны</v>
      </c>
      <c r="J932" s="23">
        <f t="shared" si="71"/>
        <v>265.47674418604652</v>
      </c>
      <c r="K932" s="24">
        <f t="shared" si="72"/>
        <v>-0.20143664316061494</v>
      </c>
      <c r="L932" t="str">
        <f>VLOOKUP(B932,товар!$A$1:$C$433,3,FALSE)</f>
        <v>Борилла</v>
      </c>
      <c r="M932">
        <f t="shared" si="73"/>
        <v>236.27586206896552</v>
      </c>
      <c r="N932" s="30">
        <f>VLOOKUP(H932,клиенты!$A$1:$G$435,5,FALSE)</f>
        <v>44794</v>
      </c>
      <c r="O932">
        <f t="shared" si="74"/>
        <v>226</v>
      </c>
    </row>
    <row r="933" spans="1:15" x14ac:dyDescent="0.3">
      <c r="A933">
        <v>932</v>
      </c>
      <c r="B933">
        <v>188</v>
      </c>
      <c r="C933">
        <v>233</v>
      </c>
      <c r="D933">
        <v>2</v>
      </c>
      <c r="E933">
        <f t="shared" si="70"/>
        <v>466</v>
      </c>
      <c r="F933" s="30">
        <v>45214</v>
      </c>
      <c r="G933" t="s">
        <v>25</v>
      </c>
      <c r="H933">
        <v>445</v>
      </c>
      <c r="I933" t="str">
        <f>VLOOKUP(B933,товар!$A$1:$C$433,2,FALSE)</f>
        <v>Молоко</v>
      </c>
      <c r="J933" s="23">
        <f t="shared" si="71"/>
        <v>294.95238095238096</v>
      </c>
      <c r="K933" s="24">
        <f t="shared" si="72"/>
        <v>-0.21004197610590902</v>
      </c>
      <c r="L933" t="str">
        <f>VLOOKUP(B933,товар!$A$1:$C$433,3,FALSE)</f>
        <v>Вимм-Билль-Данн</v>
      </c>
      <c r="M933">
        <f t="shared" si="73"/>
        <v>193.5</v>
      </c>
      <c r="N933" s="30">
        <f>VLOOKUP(H933,клиенты!$A$1:$G$435,5,FALSE)</f>
        <v>44676</v>
      </c>
      <c r="O933">
        <f t="shared" si="74"/>
        <v>538</v>
      </c>
    </row>
    <row r="934" spans="1:15" x14ac:dyDescent="0.3">
      <c r="A934">
        <v>933</v>
      </c>
      <c r="B934">
        <v>246</v>
      </c>
      <c r="C934">
        <v>400</v>
      </c>
      <c r="D934">
        <v>4</v>
      </c>
      <c r="E934">
        <f t="shared" si="70"/>
        <v>1600</v>
      </c>
      <c r="F934" s="30">
        <v>45376</v>
      </c>
      <c r="G934" t="s">
        <v>30</v>
      </c>
      <c r="H934">
        <v>191</v>
      </c>
      <c r="I934" t="str">
        <f>VLOOKUP(B934,товар!$A$1:$C$433,2,FALSE)</f>
        <v>Сыр</v>
      </c>
      <c r="J934" s="23">
        <f t="shared" si="71"/>
        <v>262.63492063492066</v>
      </c>
      <c r="K934" s="24">
        <f t="shared" si="72"/>
        <v>0.52302671340505236</v>
      </c>
      <c r="L934" t="str">
        <f>VLOOKUP(B934,товар!$A$1:$C$433,3,FALSE)</f>
        <v>President</v>
      </c>
      <c r="M934">
        <f t="shared" si="73"/>
        <v>238.72222222222223</v>
      </c>
      <c r="N934" s="30">
        <f>VLOOKUP(H934,клиенты!$A$1:$G$435,5,FALSE)</f>
        <v>44866</v>
      </c>
      <c r="O934">
        <f t="shared" si="74"/>
        <v>510</v>
      </c>
    </row>
    <row r="935" spans="1:15" x14ac:dyDescent="0.3">
      <c r="A935">
        <v>934</v>
      </c>
      <c r="B935">
        <v>187</v>
      </c>
      <c r="C935">
        <v>168</v>
      </c>
      <c r="D935">
        <v>3</v>
      </c>
      <c r="E935">
        <f t="shared" si="70"/>
        <v>504</v>
      </c>
      <c r="F935" s="30">
        <v>44946</v>
      </c>
      <c r="G935" t="s">
        <v>29</v>
      </c>
      <c r="H935">
        <v>126</v>
      </c>
      <c r="I935" t="str">
        <f>VLOOKUP(B935,товар!$A$1:$C$433,2,FALSE)</f>
        <v>Макароны</v>
      </c>
      <c r="J935" s="23">
        <f t="shared" si="71"/>
        <v>265.47674418604652</v>
      </c>
      <c r="K935" s="24">
        <f t="shared" si="72"/>
        <v>-0.36717620778765714</v>
      </c>
      <c r="L935" t="str">
        <f>VLOOKUP(B935,товар!$A$1:$C$433,3,FALSE)</f>
        <v>Паста Зара</v>
      </c>
      <c r="M935">
        <f t="shared" si="73"/>
        <v>276.67567567567568</v>
      </c>
      <c r="N935" s="30">
        <f>VLOOKUP(H935,клиенты!$A$1:$G$435,5,FALSE)</f>
        <v>44822</v>
      </c>
      <c r="O935">
        <f t="shared" si="74"/>
        <v>124</v>
      </c>
    </row>
    <row r="936" spans="1:15" x14ac:dyDescent="0.3">
      <c r="A936">
        <v>935</v>
      </c>
      <c r="B936">
        <v>9</v>
      </c>
      <c r="C936">
        <v>321</v>
      </c>
      <c r="D936">
        <v>1</v>
      </c>
      <c r="E936">
        <f t="shared" si="70"/>
        <v>321</v>
      </c>
      <c r="F936" s="30">
        <v>45173</v>
      </c>
      <c r="G936" t="s">
        <v>30</v>
      </c>
      <c r="H936">
        <v>217</v>
      </c>
      <c r="I936" t="str">
        <f>VLOOKUP(B936,товар!$A$1:$C$433,2,FALSE)</f>
        <v>Йогурт</v>
      </c>
      <c r="J936" s="23">
        <f t="shared" si="71"/>
        <v>263.25423728813558</v>
      </c>
      <c r="K936" s="24">
        <f t="shared" si="72"/>
        <v>0.21935359258305431</v>
      </c>
      <c r="L936" t="str">
        <f>VLOOKUP(B936,товар!$A$1:$C$433,3,FALSE)</f>
        <v>Чудо</v>
      </c>
      <c r="M936">
        <f t="shared" si="73"/>
        <v>287.10000000000002</v>
      </c>
      <c r="N936" s="30">
        <f>VLOOKUP(H936,клиенты!$A$1:$G$435,5,FALSE)</f>
        <v>44826</v>
      </c>
      <c r="O936">
        <f t="shared" si="74"/>
        <v>347</v>
      </c>
    </row>
    <row r="937" spans="1:15" x14ac:dyDescent="0.3">
      <c r="A937">
        <v>936</v>
      </c>
      <c r="B937">
        <v>302</v>
      </c>
      <c r="C937">
        <v>229</v>
      </c>
      <c r="D937">
        <v>5</v>
      </c>
      <c r="E937">
        <f t="shared" si="70"/>
        <v>1145</v>
      </c>
      <c r="F937" s="30">
        <v>45372</v>
      </c>
      <c r="G937" t="s">
        <v>19</v>
      </c>
      <c r="H937">
        <v>42</v>
      </c>
      <c r="I937" t="str">
        <f>VLOOKUP(B937,товар!$A$1:$C$433,2,FALSE)</f>
        <v>Молоко</v>
      </c>
      <c r="J937" s="23">
        <f t="shared" si="71"/>
        <v>294.95238095238096</v>
      </c>
      <c r="K937" s="24">
        <f t="shared" si="72"/>
        <v>-0.22360348724572165</v>
      </c>
      <c r="L937" t="str">
        <f>VLOOKUP(B937,товар!$A$1:$C$433,3,FALSE)</f>
        <v>Домик в деревне</v>
      </c>
      <c r="M937">
        <f t="shared" si="73"/>
        <v>274.77777777777777</v>
      </c>
      <c r="N937" s="30">
        <f>VLOOKUP(H937,клиенты!$A$1:$G$435,5,FALSE)</f>
        <v>44783</v>
      </c>
      <c r="O937">
        <f t="shared" si="74"/>
        <v>589</v>
      </c>
    </row>
    <row r="938" spans="1:15" x14ac:dyDescent="0.3">
      <c r="A938">
        <v>937</v>
      </c>
      <c r="B938">
        <v>166</v>
      </c>
      <c r="C938">
        <v>166</v>
      </c>
      <c r="D938">
        <v>5</v>
      </c>
      <c r="E938">
        <f t="shared" si="70"/>
        <v>830</v>
      </c>
      <c r="F938" s="30">
        <v>45252</v>
      </c>
      <c r="G938" t="s">
        <v>19</v>
      </c>
      <c r="H938">
        <v>407</v>
      </c>
      <c r="I938" t="str">
        <f>VLOOKUP(B938,товар!$A$1:$C$433,2,FALSE)</f>
        <v>Сок</v>
      </c>
      <c r="J938" s="23">
        <f t="shared" si="71"/>
        <v>268.60344827586209</v>
      </c>
      <c r="K938" s="24">
        <f t="shared" si="72"/>
        <v>-0.38198857436292455</v>
      </c>
      <c r="L938" t="str">
        <f>VLOOKUP(B938,товар!$A$1:$C$433,3,FALSE)</f>
        <v>Добрый</v>
      </c>
      <c r="M938">
        <f t="shared" si="73"/>
        <v>242.81818181818181</v>
      </c>
      <c r="N938" s="30">
        <f>VLOOKUP(H938,клиенты!$A$1:$G$435,5,FALSE)</f>
        <v>44621</v>
      </c>
      <c r="O938">
        <f t="shared" si="74"/>
        <v>631</v>
      </c>
    </row>
    <row r="939" spans="1:15" x14ac:dyDescent="0.3">
      <c r="A939">
        <v>938</v>
      </c>
      <c r="B939">
        <v>329</v>
      </c>
      <c r="C939">
        <v>71</v>
      </c>
      <c r="D939">
        <v>2</v>
      </c>
      <c r="E939">
        <f t="shared" si="70"/>
        <v>142</v>
      </c>
      <c r="F939" s="30">
        <v>45138</v>
      </c>
      <c r="G939" t="s">
        <v>19</v>
      </c>
      <c r="H939">
        <v>117</v>
      </c>
      <c r="I939" t="str">
        <f>VLOOKUP(B939,товар!$A$1:$C$433,2,FALSE)</f>
        <v>Соль</v>
      </c>
      <c r="J939" s="23">
        <f t="shared" si="71"/>
        <v>264.8679245283019</v>
      </c>
      <c r="K939" s="24">
        <f t="shared" si="72"/>
        <v>-0.73194187206154726</v>
      </c>
      <c r="L939" t="str">
        <f>VLOOKUP(B939,товар!$A$1:$C$433,3,FALSE)</f>
        <v>Славянская</v>
      </c>
      <c r="M939">
        <f t="shared" si="73"/>
        <v>236.91666666666666</v>
      </c>
      <c r="N939" s="30">
        <f>VLOOKUP(H939,клиенты!$A$1:$G$435,5,FALSE)</f>
        <v>44706</v>
      </c>
      <c r="O939">
        <f t="shared" si="74"/>
        <v>432</v>
      </c>
    </row>
    <row r="940" spans="1:15" x14ac:dyDescent="0.3">
      <c r="A940">
        <v>939</v>
      </c>
      <c r="B940">
        <v>35</v>
      </c>
      <c r="C940">
        <v>345</v>
      </c>
      <c r="D940">
        <v>2</v>
      </c>
      <c r="E940">
        <f t="shared" si="70"/>
        <v>690</v>
      </c>
      <c r="F940" s="30">
        <v>45078</v>
      </c>
      <c r="G940" t="s">
        <v>26</v>
      </c>
      <c r="H940">
        <v>91</v>
      </c>
      <c r="I940" t="str">
        <f>VLOOKUP(B940,товар!$A$1:$C$433,2,FALSE)</f>
        <v>Крупа</v>
      </c>
      <c r="J940" s="23">
        <f t="shared" si="71"/>
        <v>255.11627906976744</v>
      </c>
      <c r="K940" s="24">
        <f t="shared" si="72"/>
        <v>0.35232452142206006</v>
      </c>
      <c r="L940" t="str">
        <f>VLOOKUP(B940,товар!$A$1:$C$433,3,FALSE)</f>
        <v>Мистраль</v>
      </c>
      <c r="M940">
        <f t="shared" si="73"/>
        <v>250.30769230769232</v>
      </c>
      <c r="N940" s="30">
        <f>VLOOKUP(H940,клиенты!$A$1:$G$435,5,FALSE)</f>
        <v>44687</v>
      </c>
      <c r="O940">
        <f t="shared" si="74"/>
        <v>391</v>
      </c>
    </row>
    <row r="941" spans="1:15" x14ac:dyDescent="0.3">
      <c r="A941">
        <v>940</v>
      </c>
      <c r="B941">
        <v>342</v>
      </c>
      <c r="C941">
        <v>259</v>
      </c>
      <c r="D941">
        <v>5</v>
      </c>
      <c r="E941">
        <f t="shared" si="70"/>
        <v>1295</v>
      </c>
      <c r="F941" s="30">
        <v>45349</v>
      </c>
      <c r="G941" t="s">
        <v>24</v>
      </c>
      <c r="H941">
        <v>380</v>
      </c>
      <c r="I941" t="str">
        <f>VLOOKUP(B941,товар!$A$1:$C$433,2,FALSE)</f>
        <v>Овощи</v>
      </c>
      <c r="J941" s="23">
        <f t="shared" si="71"/>
        <v>250.48780487804879</v>
      </c>
      <c r="K941" s="24">
        <f t="shared" si="72"/>
        <v>3.3982473222979426E-2</v>
      </c>
      <c r="L941" t="str">
        <f>VLOOKUP(B941,товар!$A$1:$C$433,3,FALSE)</f>
        <v>Овощной ряд</v>
      </c>
      <c r="M941">
        <f t="shared" si="73"/>
        <v>303.8235294117647</v>
      </c>
      <c r="N941" s="30">
        <f>VLOOKUP(H941,клиенты!$A$1:$G$435,5,FALSE)</f>
        <v>44563</v>
      </c>
      <c r="O941">
        <f t="shared" si="74"/>
        <v>786</v>
      </c>
    </row>
    <row r="942" spans="1:15" x14ac:dyDescent="0.3">
      <c r="A942">
        <v>941</v>
      </c>
      <c r="B942">
        <v>44</v>
      </c>
      <c r="C942">
        <v>439</v>
      </c>
      <c r="D942">
        <v>5</v>
      </c>
      <c r="E942">
        <f t="shared" si="70"/>
        <v>2195</v>
      </c>
      <c r="F942" s="30">
        <v>45008</v>
      </c>
      <c r="G942" t="s">
        <v>21</v>
      </c>
      <c r="H942">
        <v>469</v>
      </c>
      <c r="I942" t="str">
        <f>VLOOKUP(B942,товар!$A$1:$C$433,2,FALSE)</f>
        <v>Молоко</v>
      </c>
      <c r="J942" s="23">
        <f t="shared" si="71"/>
        <v>294.95238095238096</v>
      </c>
      <c r="K942" s="24">
        <f t="shared" si="72"/>
        <v>0.48837584759444619</v>
      </c>
      <c r="L942" t="str">
        <f>VLOOKUP(B942,товар!$A$1:$C$433,3,FALSE)</f>
        <v>Беллакт</v>
      </c>
      <c r="M942">
        <f t="shared" si="73"/>
        <v>322.54545454545456</v>
      </c>
      <c r="N942" s="30">
        <f>VLOOKUP(H942,клиенты!$A$1:$G$435,5,FALSE)</f>
        <v>44659</v>
      </c>
      <c r="O942">
        <f t="shared" si="74"/>
        <v>349</v>
      </c>
    </row>
    <row r="943" spans="1:15" x14ac:dyDescent="0.3">
      <c r="A943">
        <v>942</v>
      </c>
      <c r="B943">
        <v>128</v>
      </c>
      <c r="C943">
        <v>246</v>
      </c>
      <c r="D943">
        <v>4</v>
      </c>
      <c r="E943">
        <f t="shared" si="70"/>
        <v>984</v>
      </c>
      <c r="F943" s="30">
        <v>45310</v>
      </c>
      <c r="G943" t="s">
        <v>17</v>
      </c>
      <c r="H943">
        <v>479</v>
      </c>
      <c r="I943" t="str">
        <f>VLOOKUP(B943,товар!$A$1:$C$433,2,FALSE)</f>
        <v>Мясо</v>
      </c>
      <c r="J943" s="23">
        <f t="shared" si="71"/>
        <v>271.74545454545455</v>
      </c>
      <c r="K943" s="24">
        <f t="shared" si="72"/>
        <v>-9.4741067844239302E-2</v>
      </c>
      <c r="L943" t="str">
        <f>VLOOKUP(B943,товар!$A$1:$C$433,3,FALSE)</f>
        <v>Мираторг</v>
      </c>
      <c r="M943">
        <f t="shared" si="73"/>
        <v>316.58333333333331</v>
      </c>
      <c r="N943" s="30">
        <f>VLOOKUP(H943,клиенты!$A$1:$G$435,5,FALSE)</f>
        <v>44793</v>
      </c>
      <c r="O943">
        <f t="shared" si="74"/>
        <v>517</v>
      </c>
    </row>
    <row r="944" spans="1:15" x14ac:dyDescent="0.3">
      <c r="A944">
        <v>943</v>
      </c>
      <c r="B944">
        <v>447</v>
      </c>
      <c r="C944">
        <v>118</v>
      </c>
      <c r="D944">
        <v>3</v>
      </c>
      <c r="E944">
        <f t="shared" si="70"/>
        <v>354</v>
      </c>
      <c r="F944" s="30">
        <v>45337</v>
      </c>
      <c r="G944" t="s">
        <v>23</v>
      </c>
      <c r="H944">
        <v>9</v>
      </c>
      <c r="I944" t="str">
        <f>VLOOKUP(B944,товар!$A$1:$C$433,2,FALSE)</f>
        <v>Йогурт</v>
      </c>
      <c r="J944" s="23">
        <f t="shared" si="71"/>
        <v>263.25423728813558</v>
      </c>
      <c r="K944" s="24">
        <f t="shared" si="72"/>
        <v>-0.55176409992274011</v>
      </c>
      <c r="L944" t="str">
        <f>VLOOKUP(B944,товар!$A$1:$C$433,3,FALSE)</f>
        <v>Эрманн</v>
      </c>
      <c r="M944">
        <f t="shared" si="73"/>
        <v>248.5</v>
      </c>
      <c r="N944" s="30">
        <f>VLOOKUP(H944,клиенты!$A$1:$G$435,5,FALSE)</f>
        <v>44900</v>
      </c>
      <c r="O944">
        <f t="shared" si="74"/>
        <v>437</v>
      </c>
    </row>
    <row r="945" spans="1:15" x14ac:dyDescent="0.3">
      <c r="A945">
        <v>944</v>
      </c>
      <c r="B945">
        <v>48</v>
      </c>
      <c r="C945">
        <v>116</v>
      </c>
      <c r="D945">
        <v>5</v>
      </c>
      <c r="E945">
        <f t="shared" si="70"/>
        <v>580</v>
      </c>
      <c r="F945" s="30">
        <v>45034</v>
      </c>
      <c r="G945" t="s">
        <v>32</v>
      </c>
      <c r="H945">
        <v>477</v>
      </c>
      <c r="I945" t="str">
        <f>VLOOKUP(B945,товар!$A$1:$C$433,2,FALSE)</f>
        <v>Фрукты</v>
      </c>
      <c r="J945" s="23">
        <f t="shared" si="71"/>
        <v>274.16279069767444</v>
      </c>
      <c r="K945" s="24">
        <f t="shared" si="72"/>
        <v>-0.57689371447959958</v>
      </c>
      <c r="L945" t="str">
        <f>VLOOKUP(B945,товар!$A$1:$C$433,3,FALSE)</f>
        <v>Фруктовый Рай</v>
      </c>
      <c r="M945">
        <f t="shared" si="73"/>
        <v>258.30769230769232</v>
      </c>
      <c r="N945" s="30">
        <f>VLOOKUP(H945,клиенты!$A$1:$G$435,5,FALSE)</f>
        <v>44738</v>
      </c>
      <c r="O945">
        <f t="shared" si="74"/>
        <v>296</v>
      </c>
    </row>
    <row r="946" spans="1:15" x14ac:dyDescent="0.3">
      <c r="A946">
        <v>945</v>
      </c>
      <c r="B946">
        <v>415</v>
      </c>
      <c r="C946">
        <v>307</v>
      </c>
      <c r="D946">
        <v>3</v>
      </c>
      <c r="E946">
        <f t="shared" si="70"/>
        <v>921</v>
      </c>
      <c r="F946" s="30">
        <v>45290</v>
      </c>
      <c r="G946" t="s">
        <v>33</v>
      </c>
      <c r="H946">
        <v>498</v>
      </c>
      <c r="I946" t="str">
        <f>VLOOKUP(B946,товар!$A$1:$C$433,2,FALSE)</f>
        <v>Чипсы</v>
      </c>
      <c r="J946" s="23">
        <f t="shared" si="71"/>
        <v>273.72549019607845</v>
      </c>
      <c r="K946" s="24">
        <f t="shared" si="72"/>
        <v>0.12156160458452714</v>
      </c>
      <c r="L946" t="str">
        <f>VLOOKUP(B946,товар!$A$1:$C$433,3,FALSE)</f>
        <v>Pringles</v>
      </c>
      <c r="M946">
        <f t="shared" si="73"/>
        <v>280.23809523809524</v>
      </c>
      <c r="N946" s="30">
        <f>VLOOKUP(H946,клиенты!$A$1:$G$435,5,FALSE)</f>
        <v>44721</v>
      </c>
      <c r="O946">
        <f t="shared" si="74"/>
        <v>569</v>
      </c>
    </row>
    <row r="947" spans="1:15" x14ac:dyDescent="0.3">
      <c r="A947">
        <v>946</v>
      </c>
      <c r="B947">
        <v>298</v>
      </c>
      <c r="C947">
        <v>84</v>
      </c>
      <c r="D947">
        <v>5</v>
      </c>
      <c r="E947">
        <f t="shared" si="70"/>
        <v>420</v>
      </c>
      <c r="F947" s="30">
        <v>45335</v>
      </c>
      <c r="G947" t="s">
        <v>17</v>
      </c>
      <c r="H947">
        <v>93</v>
      </c>
      <c r="I947" t="str">
        <f>VLOOKUP(B947,товар!$A$1:$C$433,2,FALSE)</f>
        <v>Крупа</v>
      </c>
      <c r="J947" s="23">
        <f t="shared" si="71"/>
        <v>255.11627906976744</v>
      </c>
      <c r="K947" s="24">
        <f t="shared" si="72"/>
        <v>-0.67073837739288966</v>
      </c>
      <c r="L947" t="str">
        <f>VLOOKUP(B947,товар!$A$1:$C$433,3,FALSE)</f>
        <v>Увелка</v>
      </c>
      <c r="M947">
        <f t="shared" si="73"/>
        <v>251.91666666666666</v>
      </c>
      <c r="N947" s="30">
        <f>VLOOKUP(H947,клиенты!$A$1:$G$435,5,FALSE)</f>
        <v>44905</v>
      </c>
      <c r="O947">
        <f t="shared" si="74"/>
        <v>430</v>
      </c>
    </row>
    <row r="948" spans="1:15" x14ac:dyDescent="0.3">
      <c r="A948">
        <v>947</v>
      </c>
      <c r="B948">
        <v>3</v>
      </c>
      <c r="C948">
        <v>180</v>
      </c>
      <c r="D948">
        <v>3</v>
      </c>
      <c r="E948">
        <f t="shared" si="70"/>
        <v>540</v>
      </c>
      <c r="F948" s="30">
        <v>44940</v>
      </c>
      <c r="G948" t="s">
        <v>25</v>
      </c>
      <c r="H948">
        <v>200</v>
      </c>
      <c r="I948" t="str">
        <f>VLOOKUP(B948,товар!$A$1:$C$433,2,FALSE)</f>
        <v>Крупа</v>
      </c>
      <c r="J948" s="23">
        <f t="shared" si="71"/>
        <v>255.11627906976744</v>
      </c>
      <c r="K948" s="24">
        <f t="shared" si="72"/>
        <v>-0.29443938012762083</v>
      </c>
      <c r="L948" t="str">
        <f>VLOOKUP(B948,товар!$A$1:$C$433,3,FALSE)</f>
        <v>Ярмарка</v>
      </c>
      <c r="M948">
        <f t="shared" si="73"/>
        <v>252.09090909090909</v>
      </c>
      <c r="N948" s="30">
        <f>VLOOKUP(H948,клиенты!$A$1:$G$435,5,FALSE)</f>
        <v>44783</v>
      </c>
      <c r="O948">
        <f t="shared" si="74"/>
        <v>157</v>
      </c>
    </row>
    <row r="949" spans="1:15" x14ac:dyDescent="0.3">
      <c r="A949">
        <v>948</v>
      </c>
      <c r="B949">
        <v>60</v>
      </c>
      <c r="C949">
        <v>334</v>
      </c>
      <c r="D949">
        <v>1</v>
      </c>
      <c r="E949">
        <f t="shared" si="70"/>
        <v>334</v>
      </c>
      <c r="F949" s="30">
        <v>45196</v>
      </c>
      <c r="G949" t="s">
        <v>32</v>
      </c>
      <c r="H949">
        <v>381</v>
      </c>
      <c r="I949" t="str">
        <f>VLOOKUP(B949,товар!$A$1:$C$433,2,FALSE)</f>
        <v>Кофе</v>
      </c>
      <c r="J949" s="23">
        <f t="shared" si="71"/>
        <v>249.02380952380952</v>
      </c>
      <c r="K949" s="24">
        <f t="shared" si="72"/>
        <v>0.34123721197055179</v>
      </c>
      <c r="L949" t="str">
        <f>VLOOKUP(B949,товар!$A$1:$C$433,3,FALSE)</f>
        <v>Jacobs</v>
      </c>
      <c r="M949">
        <f t="shared" si="73"/>
        <v>276.21052631578948</v>
      </c>
      <c r="N949" s="30">
        <f>VLOOKUP(H949,клиенты!$A$1:$G$435,5,FALSE)</f>
        <v>44714</v>
      </c>
      <c r="O949">
        <f t="shared" si="74"/>
        <v>482</v>
      </c>
    </row>
    <row r="950" spans="1:15" x14ac:dyDescent="0.3">
      <c r="A950">
        <v>949</v>
      </c>
      <c r="B950">
        <v>59</v>
      </c>
      <c r="C950">
        <v>234</v>
      </c>
      <c r="D950">
        <v>2</v>
      </c>
      <c r="E950">
        <f t="shared" si="70"/>
        <v>468</v>
      </c>
      <c r="F950" s="30">
        <v>45101</v>
      </c>
      <c r="G950" t="s">
        <v>21</v>
      </c>
      <c r="H950">
        <v>18</v>
      </c>
      <c r="I950" t="str">
        <f>VLOOKUP(B950,товар!$A$1:$C$433,2,FALSE)</f>
        <v>Сахар</v>
      </c>
      <c r="J950" s="23">
        <f t="shared" si="71"/>
        <v>252.76271186440678</v>
      </c>
      <c r="K950" s="24">
        <f t="shared" si="72"/>
        <v>-7.4230537115268613E-2</v>
      </c>
      <c r="L950" t="str">
        <f>VLOOKUP(B950,товар!$A$1:$C$433,3,FALSE)</f>
        <v>Продимекс</v>
      </c>
      <c r="M950">
        <f t="shared" si="73"/>
        <v>240.5</v>
      </c>
      <c r="N950" s="30">
        <f>VLOOKUP(H950,клиенты!$A$1:$G$435,5,FALSE)</f>
        <v>44578</v>
      </c>
      <c r="O950">
        <f t="shared" si="74"/>
        <v>523</v>
      </c>
    </row>
    <row r="951" spans="1:15" x14ac:dyDescent="0.3">
      <c r="A951">
        <v>950</v>
      </c>
      <c r="B951">
        <v>119</v>
      </c>
      <c r="C951">
        <v>426</v>
      </c>
      <c r="D951">
        <v>1</v>
      </c>
      <c r="E951">
        <f t="shared" si="70"/>
        <v>426</v>
      </c>
      <c r="F951" s="30">
        <v>45094</v>
      </c>
      <c r="G951" t="s">
        <v>22</v>
      </c>
      <c r="H951">
        <v>327</v>
      </c>
      <c r="I951" t="str">
        <f>VLOOKUP(B951,товар!$A$1:$C$433,2,FALSE)</f>
        <v>Печенье</v>
      </c>
      <c r="J951" s="23">
        <f t="shared" si="71"/>
        <v>283.468085106383</v>
      </c>
      <c r="K951" s="24">
        <f t="shared" si="72"/>
        <v>0.50281468137806784</v>
      </c>
      <c r="L951" t="str">
        <f>VLOOKUP(B951,товар!$A$1:$C$433,3,FALSE)</f>
        <v>КДВ</v>
      </c>
      <c r="M951">
        <f t="shared" si="73"/>
        <v>323.07692307692309</v>
      </c>
      <c r="N951" s="30">
        <f>VLOOKUP(H951,клиенты!$A$1:$G$435,5,FALSE)</f>
        <v>44565</v>
      </c>
      <c r="O951">
        <f t="shared" si="74"/>
        <v>529</v>
      </c>
    </row>
    <row r="952" spans="1:15" x14ac:dyDescent="0.3">
      <c r="A952">
        <v>951</v>
      </c>
      <c r="B952">
        <v>199</v>
      </c>
      <c r="C952">
        <v>494</v>
      </c>
      <c r="D952">
        <v>1</v>
      </c>
      <c r="E952">
        <f t="shared" si="70"/>
        <v>494</v>
      </c>
      <c r="F952" s="30">
        <v>45252</v>
      </c>
      <c r="G952" t="s">
        <v>17</v>
      </c>
      <c r="H952">
        <v>340</v>
      </c>
      <c r="I952" t="str">
        <f>VLOOKUP(B952,товар!$A$1:$C$433,2,FALSE)</f>
        <v>Макароны</v>
      </c>
      <c r="J952" s="23">
        <f t="shared" si="71"/>
        <v>265.47674418604652</v>
      </c>
      <c r="K952" s="24">
        <f t="shared" si="72"/>
        <v>0.86080329376724629</v>
      </c>
      <c r="L952" t="str">
        <f>VLOOKUP(B952,товар!$A$1:$C$433,3,FALSE)</f>
        <v>Борилла</v>
      </c>
      <c r="M952">
        <f t="shared" si="73"/>
        <v>236.27586206896552</v>
      </c>
      <c r="N952" s="30">
        <f>VLOOKUP(H952,клиенты!$A$1:$G$435,5,FALSE)</f>
        <v>44896</v>
      </c>
      <c r="O952">
        <f t="shared" si="74"/>
        <v>356</v>
      </c>
    </row>
    <row r="953" spans="1:15" x14ac:dyDescent="0.3">
      <c r="A953">
        <v>952</v>
      </c>
      <c r="B953">
        <v>272</v>
      </c>
      <c r="C953">
        <v>353</v>
      </c>
      <c r="D953">
        <v>3</v>
      </c>
      <c r="E953">
        <f t="shared" si="70"/>
        <v>1059</v>
      </c>
      <c r="F953" s="30">
        <v>44989</v>
      </c>
      <c r="G953" t="s">
        <v>30</v>
      </c>
      <c r="H953">
        <v>490</v>
      </c>
      <c r="I953" t="str">
        <f>VLOOKUP(B953,товар!$A$1:$C$433,2,FALSE)</f>
        <v>Крупа</v>
      </c>
      <c r="J953" s="23">
        <f t="shared" si="71"/>
        <v>255.11627906976744</v>
      </c>
      <c r="K953" s="24">
        <f t="shared" si="72"/>
        <v>0.38368277119416594</v>
      </c>
      <c r="L953" t="str">
        <f>VLOOKUP(B953,товар!$A$1:$C$433,3,FALSE)</f>
        <v>Ярмарка</v>
      </c>
      <c r="M953">
        <f t="shared" si="73"/>
        <v>252.09090909090909</v>
      </c>
      <c r="N953" s="30">
        <f>VLOOKUP(H953,клиенты!$A$1:$G$435,5,FALSE)</f>
        <v>44603</v>
      </c>
      <c r="O953">
        <f t="shared" si="74"/>
        <v>386</v>
      </c>
    </row>
    <row r="954" spans="1:15" x14ac:dyDescent="0.3">
      <c r="A954">
        <v>953</v>
      </c>
      <c r="B954">
        <v>386</v>
      </c>
      <c r="C954">
        <v>288</v>
      </c>
      <c r="D954">
        <v>2</v>
      </c>
      <c r="E954">
        <f t="shared" si="70"/>
        <v>576</v>
      </c>
      <c r="F954" s="30">
        <v>45285</v>
      </c>
      <c r="G954" t="s">
        <v>29</v>
      </c>
      <c r="H954">
        <v>67</v>
      </c>
      <c r="I954" t="str">
        <f>VLOOKUP(B954,товар!$A$1:$C$433,2,FALSE)</f>
        <v>Крупа</v>
      </c>
      <c r="J954" s="23">
        <f t="shared" si="71"/>
        <v>255.11627906976744</v>
      </c>
      <c r="K954" s="24">
        <f t="shared" si="72"/>
        <v>0.12889699179580671</v>
      </c>
      <c r="L954" t="str">
        <f>VLOOKUP(B954,товар!$A$1:$C$433,3,FALSE)</f>
        <v>Увелка</v>
      </c>
      <c r="M954">
        <f t="shared" si="73"/>
        <v>251.91666666666666</v>
      </c>
      <c r="N954" s="30">
        <f>VLOOKUP(H954,клиенты!$A$1:$G$435,5,FALSE)</f>
        <v>44731</v>
      </c>
      <c r="O954">
        <f t="shared" si="74"/>
        <v>554</v>
      </c>
    </row>
    <row r="955" spans="1:15" x14ac:dyDescent="0.3">
      <c r="A955">
        <v>954</v>
      </c>
      <c r="B955">
        <v>464</v>
      </c>
      <c r="C955">
        <v>430</v>
      </c>
      <c r="D955">
        <v>2</v>
      </c>
      <c r="E955">
        <f t="shared" si="70"/>
        <v>860</v>
      </c>
      <c r="F955" s="30">
        <v>45148</v>
      </c>
      <c r="G955" t="s">
        <v>33</v>
      </c>
      <c r="H955">
        <v>132</v>
      </c>
      <c r="I955" t="str">
        <f>VLOOKUP(B955,товар!$A$1:$C$433,2,FALSE)</f>
        <v>Сыр</v>
      </c>
      <c r="J955" s="23">
        <f t="shared" si="71"/>
        <v>262.63492063492066</v>
      </c>
      <c r="K955" s="24">
        <f t="shared" si="72"/>
        <v>0.63725371691043131</v>
      </c>
      <c r="L955" t="str">
        <f>VLOOKUP(B955,товар!$A$1:$C$433,3,FALSE)</f>
        <v>Сырная долина</v>
      </c>
      <c r="M955">
        <f t="shared" si="73"/>
        <v>271</v>
      </c>
      <c r="N955" s="30">
        <f>VLOOKUP(H955,клиенты!$A$1:$G$435,5,FALSE)</f>
        <v>44601</v>
      </c>
      <c r="O955">
        <f t="shared" si="74"/>
        <v>547</v>
      </c>
    </row>
    <row r="956" spans="1:15" x14ac:dyDescent="0.3">
      <c r="A956">
        <v>955</v>
      </c>
      <c r="B956">
        <v>494</v>
      </c>
      <c r="C956">
        <v>471</v>
      </c>
      <c r="D956">
        <v>5</v>
      </c>
      <c r="E956">
        <f t="shared" si="70"/>
        <v>2355</v>
      </c>
      <c r="F956" s="30">
        <v>45289</v>
      </c>
      <c r="G956" t="s">
        <v>15</v>
      </c>
      <c r="H956">
        <v>95</v>
      </c>
      <c r="I956" t="str">
        <f>VLOOKUP(B956,товар!$A$1:$C$433,2,FALSE)</f>
        <v>Сыр</v>
      </c>
      <c r="J956" s="23">
        <f t="shared" si="71"/>
        <v>262.63492063492066</v>
      </c>
      <c r="K956" s="24">
        <f t="shared" si="72"/>
        <v>0.79336395503444934</v>
      </c>
      <c r="L956" t="str">
        <f>VLOOKUP(B956,товар!$A$1:$C$433,3,FALSE)</f>
        <v>Сырная долина</v>
      </c>
      <c r="M956">
        <f t="shared" si="73"/>
        <v>271</v>
      </c>
      <c r="N956" s="30">
        <f>VLOOKUP(H956,клиенты!$A$1:$G$435,5,FALSE)</f>
        <v>44704</v>
      </c>
      <c r="O956">
        <f t="shared" si="74"/>
        <v>585</v>
      </c>
    </row>
    <row r="957" spans="1:15" x14ac:dyDescent="0.3">
      <c r="A957">
        <v>956</v>
      </c>
      <c r="B957">
        <v>242</v>
      </c>
      <c r="C957">
        <v>313</v>
      </c>
      <c r="D957">
        <v>3</v>
      </c>
      <c r="E957">
        <f t="shared" si="70"/>
        <v>939</v>
      </c>
      <c r="F957" s="30">
        <v>45249</v>
      </c>
      <c r="G957" t="s">
        <v>32</v>
      </c>
      <c r="H957">
        <v>75</v>
      </c>
      <c r="I957" t="str">
        <f>VLOOKUP(B957,товар!$A$1:$C$433,2,FALSE)</f>
        <v>Овощи</v>
      </c>
      <c r="J957" s="23">
        <f t="shared" si="71"/>
        <v>250.48780487804879</v>
      </c>
      <c r="K957" s="24">
        <f t="shared" si="72"/>
        <v>0.24956183057448866</v>
      </c>
      <c r="L957" t="str">
        <f>VLOOKUP(B957,товар!$A$1:$C$433,3,FALSE)</f>
        <v>Овощной ряд</v>
      </c>
      <c r="M957">
        <f t="shared" si="73"/>
        <v>303.8235294117647</v>
      </c>
      <c r="N957" s="30">
        <f>VLOOKUP(H957,клиенты!$A$1:$G$435,5,FALSE)</f>
        <v>44796</v>
      </c>
      <c r="O957">
        <f t="shared" si="74"/>
        <v>453</v>
      </c>
    </row>
    <row r="958" spans="1:15" x14ac:dyDescent="0.3">
      <c r="A958">
        <v>957</v>
      </c>
      <c r="B958">
        <v>434</v>
      </c>
      <c r="C958">
        <v>340</v>
      </c>
      <c r="D958">
        <v>4</v>
      </c>
      <c r="E958">
        <f t="shared" si="70"/>
        <v>1360</v>
      </c>
      <c r="F958" s="30">
        <v>44937</v>
      </c>
      <c r="G958" t="s">
        <v>24</v>
      </c>
      <c r="H958">
        <v>419</v>
      </c>
      <c r="I958" t="str">
        <f>VLOOKUP(B958,товар!$A$1:$C$433,2,FALSE)</f>
        <v>Сыр</v>
      </c>
      <c r="J958" s="23">
        <f t="shared" si="71"/>
        <v>262.63492063492066</v>
      </c>
      <c r="K958" s="24">
        <f t="shared" si="72"/>
        <v>0.29457270639429467</v>
      </c>
      <c r="L958" t="str">
        <f>VLOOKUP(B958,товар!$A$1:$C$433,3,FALSE)</f>
        <v>Сырная долина</v>
      </c>
      <c r="M958">
        <f t="shared" si="73"/>
        <v>271</v>
      </c>
      <c r="N958" s="30">
        <f>VLOOKUP(H958,клиенты!$A$1:$G$435,5,FALSE)</f>
        <v>44869</v>
      </c>
      <c r="O958">
        <f t="shared" si="74"/>
        <v>68</v>
      </c>
    </row>
    <row r="959" spans="1:15" x14ac:dyDescent="0.3">
      <c r="A959">
        <v>958</v>
      </c>
      <c r="B959">
        <v>110</v>
      </c>
      <c r="C959">
        <v>148</v>
      </c>
      <c r="D959">
        <v>2</v>
      </c>
      <c r="E959">
        <f t="shared" si="70"/>
        <v>296</v>
      </c>
      <c r="F959" s="30">
        <v>44995</v>
      </c>
      <c r="G959" t="s">
        <v>17</v>
      </c>
      <c r="H959">
        <v>42</v>
      </c>
      <c r="I959" t="str">
        <f>VLOOKUP(B959,товар!$A$1:$C$433,2,FALSE)</f>
        <v>Макароны</v>
      </c>
      <c r="J959" s="23">
        <f t="shared" si="71"/>
        <v>265.47674418604652</v>
      </c>
      <c r="K959" s="24">
        <f t="shared" si="72"/>
        <v>-0.44251237352722173</v>
      </c>
      <c r="L959" t="str">
        <f>VLOOKUP(B959,товар!$A$1:$C$433,3,FALSE)</f>
        <v>Паста Зара</v>
      </c>
      <c r="M959">
        <f t="shared" si="73"/>
        <v>276.67567567567568</v>
      </c>
      <c r="N959" s="30">
        <f>VLOOKUP(H959,клиенты!$A$1:$G$435,5,FALSE)</f>
        <v>44783</v>
      </c>
      <c r="O959">
        <f t="shared" si="74"/>
        <v>212</v>
      </c>
    </row>
    <row r="960" spans="1:15" x14ac:dyDescent="0.3">
      <c r="A960">
        <v>959</v>
      </c>
      <c r="B960">
        <v>168</v>
      </c>
      <c r="C960">
        <v>391</v>
      </c>
      <c r="D960">
        <v>2</v>
      </c>
      <c r="E960">
        <f t="shared" si="70"/>
        <v>782</v>
      </c>
      <c r="F960" s="30">
        <v>45143</v>
      </c>
      <c r="G960" t="s">
        <v>33</v>
      </c>
      <c r="H960">
        <v>316</v>
      </c>
      <c r="I960" t="str">
        <f>VLOOKUP(B960,товар!$A$1:$C$433,2,FALSE)</f>
        <v>Крупа</v>
      </c>
      <c r="J960" s="23">
        <f t="shared" si="71"/>
        <v>255.11627906976744</v>
      </c>
      <c r="K960" s="24">
        <f t="shared" si="72"/>
        <v>0.53263445761166817</v>
      </c>
      <c r="L960" t="str">
        <f>VLOOKUP(B960,товар!$A$1:$C$433,3,FALSE)</f>
        <v>Ярмарка</v>
      </c>
      <c r="M960">
        <f t="shared" si="73"/>
        <v>252.09090909090909</v>
      </c>
      <c r="N960" s="30">
        <f>VLOOKUP(H960,клиенты!$A$1:$G$435,5,FALSE)</f>
        <v>44787</v>
      </c>
      <c r="O960">
        <f t="shared" si="74"/>
        <v>356</v>
      </c>
    </row>
    <row r="961" spans="1:15" x14ac:dyDescent="0.3">
      <c r="A961">
        <v>960</v>
      </c>
      <c r="B961">
        <v>13</v>
      </c>
      <c r="C961">
        <v>181</v>
      </c>
      <c r="D961">
        <v>4</v>
      </c>
      <c r="E961">
        <f t="shared" si="70"/>
        <v>724</v>
      </c>
      <c r="F961" s="30">
        <v>45398</v>
      </c>
      <c r="G961" t="s">
        <v>30</v>
      </c>
      <c r="H961">
        <v>117</v>
      </c>
      <c r="I961" t="str">
        <f>VLOOKUP(B961,товар!$A$1:$C$433,2,FALSE)</f>
        <v>Макароны</v>
      </c>
      <c r="J961" s="23">
        <f t="shared" si="71"/>
        <v>265.47674418604652</v>
      </c>
      <c r="K961" s="24">
        <f t="shared" si="72"/>
        <v>-0.3182077000569401</v>
      </c>
      <c r="L961" t="str">
        <f>VLOOKUP(B961,товар!$A$1:$C$433,3,FALSE)</f>
        <v>Паста Зара</v>
      </c>
      <c r="M961">
        <f t="shared" si="73"/>
        <v>276.67567567567568</v>
      </c>
      <c r="N961" s="30">
        <f>VLOOKUP(H961,клиенты!$A$1:$G$435,5,FALSE)</f>
        <v>44706</v>
      </c>
      <c r="O961">
        <f t="shared" si="74"/>
        <v>692</v>
      </c>
    </row>
    <row r="962" spans="1:15" x14ac:dyDescent="0.3">
      <c r="A962">
        <v>961</v>
      </c>
      <c r="B962">
        <v>141</v>
      </c>
      <c r="C962">
        <v>279</v>
      </c>
      <c r="D962">
        <v>1</v>
      </c>
      <c r="E962">
        <f t="shared" ref="E962:E1025" si="75">C962*D962</f>
        <v>279</v>
      </c>
      <c r="F962" s="30">
        <v>45324</v>
      </c>
      <c r="G962" t="s">
        <v>17</v>
      </c>
      <c r="H962">
        <v>243</v>
      </c>
      <c r="I962" t="str">
        <f>VLOOKUP(B962,товар!$A$1:$C$433,2,FALSE)</f>
        <v>Фрукты</v>
      </c>
      <c r="J962" s="23">
        <f t="shared" ref="J962:J1025" si="76">AVERAGEIF($I$2:$I$1001,I962,$C$2:$C$1001)</f>
        <v>274.16279069767444</v>
      </c>
      <c r="K962" s="24">
        <f t="shared" ref="K962:K1025" si="77">C962/J962-1</f>
        <v>1.7643566036135372E-2</v>
      </c>
      <c r="L962" t="str">
        <f>VLOOKUP(B962,товар!$A$1:$C$433,3,FALSE)</f>
        <v>Фруктовый Рай</v>
      </c>
      <c r="M962">
        <f t="shared" ref="M962:M1025" si="78">AVERAGEIFS($C$2:$C$1001,$I$2:$I$1001,I962,$L$2:$L$1001,L962)</f>
        <v>258.30769230769232</v>
      </c>
      <c r="N962" s="30">
        <f>VLOOKUP(H962,клиенты!$A$1:$G$435,5,FALSE)</f>
        <v>44681</v>
      </c>
      <c r="O962">
        <f t="shared" ref="O962:O1025" si="79">F962-N962</f>
        <v>643</v>
      </c>
    </row>
    <row r="963" spans="1:15" x14ac:dyDescent="0.3">
      <c r="A963">
        <v>962</v>
      </c>
      <c r="B963">
        <v>120</v>
      </c>
      <c r="C963">
        <v>229</v>
      </c>
      <c r="D963">
        <v>5</v>
      </c>
      <c r="E963">
        <f t="shared" si="75"/>
        <v>1145</v>
      </c>
      <c r="F963" s="30">
        <v>44930</v>
      </c>
      <c r="G963" t="s">
        <v>32</v>
      </c>
      <c r="H963">
        <v>6</v>
      </c>
      <c r="I963" t="str">
        <f>VLOOKUP(B963,товар!$A$1:$C$433,2,FALSE)</f>
        <v>Хлеб</v>
      </c>
      <c r="J963" s="23">
        <f t="shared" si="76"/>
        <v>300.31818181818181</v>
      </c>
      <c r="K963" s="24">
        <f t="shared" si="77"/>
        <v>-0.23747540487361884</v>
      </c>
      <c r="L963" t="str">
        <f>VLOOKUP(B963,товар!$A$1:$C$433,3,FALSE)</f>
        <v>Дарница</v>
      </c>
      <c r="M963">
        <f t="shared" si="78"/>
        <v>264</v>
      </c>
      <c r="N963" s="30">
        <f>VLOOKUP(H963,клиенты!$A$1:$G$435,5,FALSE)</f>
        <v>44710</v>
      </c>
      <c r="O963">
        <f t="shared" si="79"/>
        <v>220</v>
      </c>
    </row>
    <row r="964" spans="1:15" x14ac:dyDescent="0.3">
      <c r="A964">
        <v>963</v>
      </c>
      <c r="B964">
        <v>316</v>
      </c>
      <c r="C964">
        <v>97</v>
      </c>
      <c r="D964">
        <v>4</v>
      </c>
      <c r="E964">
        <f t="shared" si="75"/>
        <v>388</v>
      </c>
      <c r="F964" s="30">
        <v>44932</v>
      </c>
      <c r="G964" t="s">
        <v>24</v>
      </c>
      <c r="H964">
        <v>283</v>
      </c>
      <c r="I964" t="str">
        <f>VLOOKUP(B964,товар!$A$1:$C$433,2,FALSE)</f>
        <v>Макароны</v>
      </c>
      <c r="J964" s="23">
        <f t="shared" si="76"/>
        <v>265.47674418604652</v>
      </c>
      <c r="K964" s="24">
        <f t="shared" si="77"/>
        <v>-0.63461959616311159</v>
      </c>
      <c r="L964" t="str">
        <f>VLOOKUP(B964,товар!$A$1:$C$433,3,FALSE)</f>
        <v>Борилла</v>
      </c>
      <c r="M964">
        <f t="shared" si="78"/>
        <v>236.27586206896552</v>
      </c>
      <c r="N964" s="30">
        <f>VLOOKUP(H964,клиенты!$A$1:$G$435,5,FALSE)</f>
        <v>44889</v>
      </c>
      <c r="O964">
        <f t="shared" si="79"/>
        <v>43</v>
      </c>
    </row>
    <row r="965" spans="1:15" x14ac:dyDescent="0.3">
      <c r="A965">
        <v>964</v>
      </c>
      <c r="B965">
        <v>448</v>
      </c>
      <c r="C965">
        <v>484</v>
      </c>
      <c r="D965">
        <v>1</v>
      </c>
      <c r="E965">
        <f t="shared" si="75"/>
        <v>484</v>
      </c>
      <c r="F965" s="30">
        <v>45301</v>
      </c>
      <c r="G965" t="s">
        <v>17</v>
      </c>
      <c r="H965">
        <v>404</v>
      </c>
      <c r="I965" t="str">
        <f>VLOOKUP(B965,товар!$A$1:$C$433,2,FALSE)</f>
        <v>Йогурт</v>
      </c>
      <c r="J965" s="23">
        <f t="shared" si="76"/>
        <v>263.25423728813558</v>
      </c>
      <c r="K965" s="24">
        <f t="shared" si="77"/>
        <v>0.83852691218130326</v>
      </c>
      <c r="L965" t="str">
        <f>VLOOKUP(B965,товар!$A$1:$C$433,3,FALSE)</f>
        <v>Ростагроэкспорт</v>
      </c>
      <c r="M965">
        <f t="shared" si="78"/>
        <v>257.78260869565219</v>
      </c>
      <c r="N965" s="30">
        <f>VLOOKUP(H965,клиенты!$A$1:$G$435,5,FALSE)</f>
        <v>44913</v>
      </c>
      <c r="O965">
        <f t="shared" si="79"/>
        <v>388</v>
      </c>
    </row>
    <row r="966" spans="1:15" x14ac:dyDescent="0.3">
      <c r="A966">
        <v>965</v>
      </c>
      <c r="B966">
        <v>143</v>
      </c>
      <c r="C966">
        <v>200</v>
      </c>
      <c r="D966">
        <v>4</v>
      </c>
      <c r="E966">
        <f t="shared" si="75"/>
        <v>800</v>
      </c>
      <c r="F966" s="30">
        <v>45306</v>
      </c>
      <c r="G966" t="s">
        <v>15</v>
      </c>
      <c r="H966">
        <v>379</v>
      </c>
      <c r="I966" t="str">
        <f>VLOOKUP(B966,товар!$A$1:$C$433,2,FALSE)</f>
        <v>Сахар</v>
      </c>
      <c r="J966" s="23">
        <f t="shared" si="76"/>
        <v>252.76271186440678</v>
      </c>
      <c r="K966" s="24">
        <f t="shared" si="77"/>
        <v>-0.20874404881646891</v>
      </c>
      <c r="L966" t="str">
        <f>VLOOKUP(B966,товар!$A$1:$C$433,3,FALSE)</f>
        <v>Агросахар</v>
      </c>
      <c r="M966">
        <f t="shared" si="78"/>
        <v>215.85714285714286</v>
      </c>
      <c r="N966" s="30">
        <f>VLOOKUP(H966,клиенты!$A$1:$G$435,5,FALSE)</f>
        <v>44581</v>
      </c>
      <c r="O966">
        <f t="shared" si="79"/>
        <v>725</v>
      </c>
    </row>
    <row r="967" spans="1:15" x14ac:dyDescent="0.3">
      <c r="A967">
        <v>966</v>
      </c>
      <c r="B967">
        <v>168</v>
      </c>
      <c r="C967">
        <v>206</v>
      </c>
      <c r="D967">
        <v>4</v>
      </c>
      <c r="E967">
        <f t="shared" si="75"/>
        <v>824</v>
      </c>
      <c r="F967" s="30">
        <v>45243</v>
      </c>
      <c r="G967" t="s">
        <v>29</v>
      </c>
      <c r="H967">
        <v>136</v>
      </c>
      <c r="I967" t="str">
        <f>VLOOKUP(B967,товар!$A$1:$C$433,2,FALSE)</f>
        <v>Крупа</v>
      </c>
      <c r="J967" s="23">
        <f t="shared" si="76"/>
        <v>255.11627906976744</v>
      </c>
      <c r="K967" s="24">
        <f t="shared" si="77"/>
        <v>-0.1925250683682771</v>
      </c>
      <c r="L967" t="str">
        <f>VLOOKUP(B967,товар!$A$1:$C$433,3,FALSE)</f>
        <v>Ярмарка</v>
      </c>
      <c r="M967">
        <f t="shared" si="78"/>
        <v>252.09090909090909</v>
      </c>
      <c r="N967" s="30">
        <f>VLOOKUP(H967,клиенты!$A$1:$G$435,5,FALSE)</f>
        <v>44860</v>
      </c>
      <c r="O967">
        <f t="shared" si="79"/>
        <v>383</v>
      </c>
    </row>
    <row r="968" spans="1:15" x14ac:dyDescent="0.3">
      <c r="A968">
        <v>967</v>
      </c>
      <c r="B968">
        <v>435</v>
      </c>
      <c r="C968">
        <v>116</v>
      </c>
      <c r="D968">
        <v>4</v>
      </c>
      <c r="E968">
        <f t="shared" si="75"/>
        <v>464</v>
      </c>
      <c r="F968" s="30">
        <v>45037</v>
      </c>
      <c r="G968" t="s">
        <v>29</v>
      </c>
      <c r="H968">
        <v>20</v>
      </c>
      <c r="I968" t="str">
        <f>VLOOKUP(B968,товар!$A$1:$C$433,2,FALSE)</f>
        <v>Мясо</v>
      </c>
      <c r="J968" s="23">
        <f t="shared" si="76"/>
        <v>271.74545454545455</v>
      </c>
      <c r="K968" s="24">
        <f t="shared" si="77"/>
        <v>-0.57312993443061688</v>
      </c>
      <c r="L968" t="str">
        <f>VLOOKUP(B968,товар!$A$1:$C$433,3,FALSE)</f>
        <v>Снежана</v>
      </c>
      <c r="M968">
        <f t="shared" si="78"/>
        <v>272.35294117647061</v>
      </c>
      <c r="N968" s="30">
        <f>VLOOKUP(H968,клиенты!$A$1:$G$435,5,FALSE)</f>
        <v>44691</v>
      </c>
      <c r="O968">
        <f t="shared" si="79"/>
        <v>346</v>
      </c>
    </row>
    <row r="969" spans="1:15" x14ac:dyDescent="0.3">
      <c r="A969">
        <v>968</v>
      </c>
      <c r="B969">
        <v>375</v>
      </c>
      <c r="C969">
        <v>212</v>
      </c>
      <c r="D969">
        <v>3</v>
      </c>
      <c r="E969">
        <f t="shared" si="75"/>
        <v>636</v>
      </c>
      <c r="F969" s="30">
        <v>45009</v>
      </c>
      <c r="G969" t="s">
        <v>34</v>
      </c>
      <c r="H969">
        <v>369</v>
      </c>
      <c r="I969" t="str">
        <f>VLOOKUP(B969,товар!$A$1:$C$433,2,FALSE)</f>
        <v>Макароны</v>
      </c>
      <c r="J969" s="23">
        <f t="shared" si="76"/>
        <v>265.47674418604652</v>
      </c>
      <c r="K969" s="24">
        <f t="shared" si="77"/>
        <v>-0.20143664316061494</v>
      </c>
      <c r="L969" t="str">
        <f>VLOOKUP(B969,товар!$A$1:$C$433,3,FALSE)</f>
        <v>Борилла</v>
      </c>
      <c r="M969">
        <f t="shared" si="78"/>
        <v>236.27586206896552</v>
      </c>
      <c r="N969" s="30">
        <f>VLOOKUP(H969,клиенты!$A$1:$G$435,5,FALSE)</f>
        <v>44678</v>
      </c>
      <c r="O969">
        <f t="shared" si="79"/>
        <v>331</v>
      </c>
    </row>
    <row r="970" spans="1:15" x14ac:dyDescent="0.3">
      <c r="A970">
        <v>969</v>
      </c>
      <c r="B970">
        <v>416</v>
      </c>
      <c r="C970">
        <v>202</v>
      </c>
      <c r="D970">
        <v>4</v>
      </c>
      <c r="E970">
        <f t="shared" si="75"/>
        <v>808</v>
      </c>
      <c r="F970" s="30">
        <v>45285</v>
      </c>
      <c r="G970" t="s">
        <v>18</v>
      </c>
      <c r="H970">
        <v>499</v>
      </c>
      <c r="I970" t="str">
        <f>VLOOKUP(B970,товар!$A$1:$C$433,2,FALSE)</f>
        <v>Рыба</v>
      </c>
      <c r="J970" s="23">
        <f t="shared" si="76"/>
        <v>258.5128205128205</v>
      </c>
      <c r="K970" s="24">
        <f t="shared" si="77"/>
        <v>-0.21860741916286441</v>
      </c>
      <c r="L970" t="str">
        <f>VLOOKUP(B970,товар!$A$1:$C$433,3,FALSE)</f>
        <v>Меридиан</v>
      </c>
      <c r="M970">
        <f t="shared" si="78"/>
        <v>260.64705882352939</v>
      </c>
      <c r="N970" s="30">
        <f>VLOOKUP(H970,клиенты!$A$1:$G$435,5,FALSE)</f>
        <v>44798</v>
      </c>
      <c r="O970">
        <f t="shared" si="79"/>
        <v>487</v>
      </c>
    </row>
    <row r="971" spans="1:15" x14ac:dyDescent="0.3">
      <c r="A971">
        <v>970</v>
      </c>
      <c r="B971">
        <v>25</v>
      </c>
      <c r="C971">
        <v>332</v>
      </c>
      <c r="D971">
        <v>3</v>
      </c>
      <c r="E971">
        <f t="shared" si="75"/>
        <v>996</v>
      </c>
      <c r="F971" s="30">
        <v>45164</v>
      </c>
      <c r="G971" t="s">
        <v>24</v>
      </c>
      <c r="H971">
        <v>153</v>
      </c>
      <c r="I971" t="str">
        <f>VLOOKUP(B971,товар!$A$1:$C$433,2,FALSE)</f>
        <v>Чипсы</v>
      </c>
      <c r="J971" s="23">
        <f t="shared" si="76"/>
        <v>273.72549019607845</v>
      </c>
      <c r="K971" s="24">
        <f t="shared" si="77"/>
        <v>0.21289398280802274</v>
      </c>
      <c r="L971" t="str">
        <f>VLOOKUP(B971,товар!$A$1:$C$433,3,FALSE)</f>
        <v>Русская картошка</v>
      </c>
      <c r="M971">
        <f t="shared" si="78"/>
        <v>241.83333333333334</v>
      </c>
      <c r="N971" s="30">
        <f>VLOOKUP(H971,клиенты!$A$1:$G$435,5,FALSE)</f>
        <v>44802</v>
      </c>
      <c r="O971">
        <f t="shared" si="79"/>
        <v>362</v>
      </c>
    </row>
    <row r="972" spans="1:15" x14ac:dyDescent="0.3">
      <c r="A972">
        <v>971</v>
      </c>
      <c r="B972">
        <v>236</v>
      </c>
      <c r="C972">
        <v>420</v>
      </c>
      <c r="D972">
        <v>5</v>
      </c>
      <c r="E972">
        <f t="shared" si="75"/>
        <v>2100</v>
      </c>
      <c r="F972" s="30">
        <v>45260</v>
      </c>
      <c r="G972" t="s">
        <v>25</v>
      </c>
      <c r="H972">
        <v>34</v>
      </c>
      <c r="I972" t="str">
        <f>VLOOKUP(B972,товар!$A$1:$C$433,2,FALSE)</f>
        <v>Печенье</v>
      </c>
      <c r="J972" s="23">
        <f t="shared" si="76"/>
        <v>283.468085106383</v>
      </c>
      <c r="K972" s="24">
        <f t="shared" si="77"/>
        <v>0.48164827741499661</v>
      </c>
      <c r="L972" t="str">
        <f>VLOOKUP(B972,товар!$A$1:$C$433,3,FALSE)</f>
        <v>Посиделкино</v>
      </c>
      <c r="M972">
        <f t="shared" si="78"/>
        <v>321.63636363636363</v>
      </c>
      <c r="N972" s="30">
        <f>VLOOKUP(H972,клиенты!$A$1:$G$435,5,FALSE)</f>
        <v>44654</v>
      </c>
      <c r="O972">
        <f t="shared" si="79"/>
        <v>606</v>
      </c>
    </row>
    <row r="973" spans="1:15" x14ac:dyDescent="0.3">
      <c r="A973">
        <v>972</v>
      </c>
      <c r="B973">
        <v>418</v>
      </c>
      <c r="C973">
        <v>139</v>
      </c>
      <c r="D973">
        <v>2</v>
      </c>
      <c r="E973">
        <f t="shared" si="75"/>
        <v>278</v>
      </c>
      <c r="F973" s="30">
        <v>45395</v>
      </c>
      <c r="G973" t="s">
        <v>32</v>
      </c>
      <c r="H973">
        <v>337</v>
      </c>
      <c r="I973" t="str">
        <f>VLOOKUP(B973,товар!$A$1:$C$433,2,FALSE)</f>
        <v>Фрукты</v>
      </c>
      <c r="J973" s="23">
        <f t="shared" si="76"/>
        <v>274.16279069767444</v>
      </c>
      <c r="K973" s="24">
        <f t="shared" si="77"/>
        <v>-0.49300195097124444</v>
      </c>
      <c r="L973" t="str">
        <f>VLOOKUP(B973,товар!$A$1:$C$433,3,FALSE)</f>
        <v>Green Garden</v>
      </c>
      <c r="M973">
        <f t="shared" si="78"/>
        <v>369.2</v>
      </c>
      <c r="N973" s="30">
        <f>VLOOKUP(H973,клиенты!$A$1:$G$435,5,FALSE)</f>
        <v>44875</v>
      </c>
      <c r="O973">
        <f t="shared" si="79"/>
        <v>520</v>
      </c>
    </row>
    <row r="974" spans="1:15" x14ac:dyDescent="0.3">
      <c r="A974">
        <v>973</v>
      </c>
      <c r="B974">
        <v>141</v>
      </c>
      <c r="C974">
        <v>112</v>
      </c>
      <c r="D974">
        <v>4</v>
      </c>
      <c r="E974">
        <f t="shared" si="75"/>
        <v>448</v>
      </c>
      <c r="F974" s="30">
        <v>45032</v>
      </c>
      <c r="G974" t="s">
        <v>28</v>
      </c>
      <c r="H974">
        <v>200</v>
      </c>
      <c r="I974" t="str">
        <f>VLOOKUP(B974,товар!$A$1:$C$433,2,FALSE)</f>
        <v>Фрукты</v>
      </c>
      <c r="J974" s="23">
        <f t="shared" si="76"/>
        <v>274.16279069767444</v>
      </c>
      <c r="K974" s="24">
        <f t="shared" si="77"/>
        <v>-0.59148358639409615</v>
      </c>
      <c r="L974" t="str">
        <f>VLOOKUP(B974,товар!$A$1:$C$433,3,FALSE)</f>
        <v>Фруктовый Рай</v>
      </c>
      <c r="M974">
        <f t="shared" si="78"/>
        <v>258.30769230769232</v>
      </c>
      <c r="N974" s="30">
        <f>VLOOKUP(H974,клиенты!$A$1:$G$435,5,FALSE)</f>
        <v>44783</v>
      </c>
      <c r="O974">
        <f t="shared" si="79"/>
        <v>249</v>
      </c>
    </row>
    <row r="975" spans="1:15" x14ac:dyDescent="0.3">
      <c r="A975">
        <v>974</v>
      </c>
      <c r="B975">
        <v>294</v>
      </c>
      <c r="C975">
        <v>485</v>
      </c>
      <c r="D975">
        <v>3</v>
      </c>
      <c r="E975">
        <f t="shared" si="75"/>
        <v>1455</v>
      </c>
      <c r="F975" s="30">
        <v>45330</v>
      </c>
      <c r="G975" t="s">
        <v>33</v>
      </c>
      <c r="H975">
        <v>8</v>
      </c>
      <c r="I975" t="str">
        <f>VLOOKUP(B975,товар!$A$1:$C$433,2,FALSE)</f>
        <v>Сок</v>
      </c>
      <c r="J975" s="23">
        <f t="shared" si="76"/>
        <v>268.60344827586209</v>
      </c>
      <c r="K975" s="24">
        <f t="shared" si="77"/>
        <v>0.80563579177097355</v>
      </c>
      <c r="L975" t="str">
        <f>VLOOKUP(B975,товар!$A$1:$C$433,3,FALSE)</f>
        <v>Фруктовый сад</v>
      </c>
      <c r="M975">
        <f t="shared" si="78"/>
        <v>281.96875</v>
      </c>
      <c r="N975" s="30">
        <f>VLOOKUP(H975,клиенты!$A$1:$G$435,5,FALSE)</f>
        <v>44883</v>
      </c>
      <c r="O975">
        <f t="shared" si="79"/>
        <v>447</v>
      </c>
    </row>
    <row r="976" spans="1:15" x14ac:dyDescent="0.3">
      <c r="A976">
        <v>975</v>
      </c>
      <c r="B976">
        <v>497</v>
      </c>
      <c r="C976">
        <v>120</v>
      </c>
      <c r="D976">
        <v>1</v>
      </c>
      <c r="E976">
        <f t="shared" si="75"/>
        <v>120</v>
      </c>
      <c r="F976" s="30">
        <v>45284</v>
      </c>
      <c r="G976" t="s">
        <v>29</v>
      </c>
      <c r="H976">
        <v>280</v>
      </c>
      <c r="I976" t="str">
        <f>VLOOKUP(B976,товар!$A$1:$C$433,2,FALSE)</f>
        <v>Конфеты</v>
      </c>
      <c r="J976" s="23">
        <f t="shared" si="76"/>
        <v>267.85483870967744</v>
      </c>
      <c r="K976" s="24">
        <f t="shared" si="77"/>
        <v>-0.5519961462034082</v>
      </c>
      <c r="L976" t="str">
        <f>VLOOKUP(B976,товар!$A$1:$C$433,3,FALSE)</f>
        <v>Бабаевский</v>
      </c>
      <c r="M976">
        <f t="shared" si="78"/>
        <v>250.25925925925927</v>
      </c>
      <c r="N976" s="30">
        <f>VLOOKUP(H976,клиенты!$A$1:$G$435,5,FALSE)</f>
        <v>44563</v>
      </c>
      <c r="O976">
        <f t="shared" si="79"/>
        <v>721</v>
      </c>
    </row>
    <row r="977" spans="1:15" x14ac:dyDescent="0.3">
      <c r="A977">
        <v>976</v>
      </c>
      <c r="B977">
        <v>359</v>
      </c>
      <c r="C977">
        <v>359</v>
      </c>
      <c r="D977">
        <v>4</v>
      </c>
      <c r="E977">
        <f t="shared" si="75"/>
        <v>1436</v>
      </c>
      <c r="F977" s="30">
        <v>45382</v>
      </c>
      <c r="G977" t="s">
        <v>20</v>
      </c>
      <c r="H977">
        <v>94</v>
      </c>
      <c r="I977" t="str">
        <f>VLOOKUP(B977,товар!$A$1:$C$433,2,FALSE)</f>
        <v>Мясо</v>
      </c>
      <c r="J977" s="23">
        <f t="shared" si="76"/>
        <v>271.74545454545455</v>
      </c>
      <c r="K977" s="24">
        <f t="shared" si="77"/>
        <v>0.32108925465007365</v>
      </c>
      <c r="L977" t="str">
        <f>VLOOKUP(B977,товар!$A$1:$C$433,3,FALSE)</f>
        <v>Мираторг</v>
      </c>
      <c r="M977">
        <f t="shared" si="78"/>
        <v>316.58333333333331</v>
      </c>
      <c r="N977" s="30">
        <f>VLOOKUP(H977,клиенты!$A$1:$G$435,5,FALSE)</f>
        <v>44723</v>
      </c>
      <c r="O977">
        <f t="shared" si="79"/>
        <v>659</v>
      </c>
    </row>
    <row r="978" spans="1:15" x14ac:dyDescent="0.3">
      <c r="A978">
        <v>977</v>
      </c>
      <c r="B978">
        <v>175</v>
      </c>
      <c r="C978">
        <v>198</v>
      </c>
      <c r="D978">
        <v>3</v>
      </c>
      <c r="E978">
        <f t="shared" si="75"/>
        <v>594</v>
      </c>
      <c r="F978" s="30">
        <v>45145</v>
      </c>
      <c r="G978" t="s">
        <v>18</v>
      </c>
      <c r="H978">
        <v>331</v>
      </c>
      <c r="I978" t="str">
        <f>VLOOKUP(B978,товар!$A$1:$C$433,2,FALSE)</f>
        <v>Овощи</v>
      </c>
      <c r="J978" s="23">
        <f t="shared" si="76"/>
        <v>250.48780487804879</v>
      </c>
      <c r="K978" s="24">
        <f t="shared" si="77"/>
        <v>-0.2095423563777995</v>
      </c>
      <c r="L978" t="str">
        <f>VLOOKUP(B978,товар!$A$1:$C$433,3,FALSE)</f>
        <v>Семко</v>
      </c>
      <c r="M978">
        <f t="shared" si="78"/>
        <v>208</v>
      </c>
      <c r="N978" s="30">
        <f>VLOOKUP(H978,клиенты!$A$1:$G$435,5,FALSE)</f>
        <v>44813</v>
      </c>
      <c r="O978">
        <f t="shared" si="79"/>
        <v>332</v>
      </c>
    </row>
    <row r="979" spans="1:15" x14ac:dyDescent="0.3">
      <c r="A979">
        <v>978</v>
      </c>
      <c r="B979">
        <v>236</v>
      </c>
      <c r="C979">
        <v>363</v>
      </c>
      <c r="D979">
        <v>4</v>
      </c>
      <c r="E979">
        <f t="shared" si="75"/>
        <v>1452</v>
      </c>
      <c r="F979" s="30">
        <v>45168</v>
      </c>
      <c r="G979" t="s">
        <v>16</v>
      </c>
      <c r="H979">
        <v>405</v>
      </c>
      <c r="I979" t="str">
        <f>VLOOKUP(B979,товар!$A$1:$C$433,2,FALSE)</f>
        <v>Печенье</v>
      </c>
      <c r="J979" s="23">
        <f t="shared" si="76"/>
        <v>283.468085106383</v>
      </c>
      <c r="K979" s="24">
        <f t="shared" si="77"/>
        <v>0.28056743976581844</v>
      </c>
      <c r="L979" t="str">
        <f>VLOOKUP(B979,товар!$A$1:$C$433,3,FALSE)</f>
        <v>Посиделкино</v>
      </c>
      <c r="M979">
        <f t="shared" si="78"/>
        <v>321.63636363636363</v>
      </c>
      <c r="N979" s="30">
        <f>VLOOKUP(H979,клиенты!$A$1:$G$435,5,FALSE)</f>
        <v>44798</v>
      </c>
      <c r="O979">
        <f t="shared" si="79"/>
        <v>370</v>
      </c>
    </row>
    <row r="980" spans="1:15" x14ac:dyDescent="0.3">
      <c r="A980">
        <v>979</v>
      </c>
      <c r="B980">
        <v>195</v>
      </c>
      <c r="C980">
        <v>103</v>
      </c>
      <c r="D980">
        <v>1</v>
      </c>
      <c r="E980">
        <f t="shared" si="75"/>
        <v>103</v>
      </c>
      <c r="F980" s="30">
        <v>44997</v>
      </c>
      <c r="G980" t="s">
        <v>22</v>
      </c>
      <c r="H980">
        <v>42</v>
      </c>
      <c r="I980" t="str">
        <f>VLOOKUP(B980,товар!$A$1:$C$433,2,FALSE)</f>
        <v>Хлеб</v>
      </c>
      <c r="J980" s="23">
        <f t="shared" si="76"/>
        <v>300.31818181818181</v>
      </c>
      <c r="K980" s="24">
        <f t="shared" si="77"/>
        <v>-0.65703042227940056</v>
      </c>
      <c r="L980" t="str">
        <f>VLOOKUP(B980,товар!$A$1:$C$433,3,FALSE)</f>
        <v>Каравай</v>
      </c>
      <c r="M980">
        <f t="shared" si="78"/>
        <v>331.16666666666669</v>
      </c>
      <c r="N980" s="30">
        <f>VLOOKUP(H980,клиенты!$A$1:$G$435,5,FALSE)</f>
        <v>44783</v>
      </c>
      <c r="O980">
        <f t="shared" si="79"/>
        <v>214</v>
      </c>
    </row>
    <row r="981" spans="1:15" x14ac:dyDescent="0.3">
      <c r="A981">
        <v>980</v>
      </c>
      <c r="B981">
        <v>364</v>
      </c>
      <c r="C981">
        <v>401</v>
      </c>
      <c r="D981">
        <v>2</v>
      </c>
      <c r="E981">
        <f t="shared" si="75"/>
        <v>802</v>
      </c>
      <c r="F981" s="30">
        <v>45081</v>
      </c>
      <c r="G981" t="s">
        <v>32</v>
      </c>
      <c r="H981">
        <v>271</v>
      </c>
      <c r="I981" t="str">
        <f>VLOOKUP(B981,товар!$A$1:$C$433,2,FALSE)</f>
        <v>Сахар</v>
      </c>
      <c r="J981" s="23">
        <f t="shared" si="76"/>
        <v>252.76271186440678</v>
      </c>
      <c r="K981" s="24">
        <f t="shared" si="77"/>
        <v>0.58646818212298002</v>
      </c>
      <c r="L981" t="str">
        <f>VLOOKUP(B981,товар!$A$1:$C$433,3,FALSE)</f>
        <v>Русский сахар</v>
      </c>
      <c r="M981">
        <f t="shared" si="78"/>
        <v>293.41176470588238</v>
      </c>
      <c r="N981" s="30">
        <f>VLOOKUP(H981,клиенты!$A$1:$G$435,5,FALSE)</f>
        <v>44892</v>
      </c>
      <c r="O981">
        <f t="shared" si="79"/>
        <v>189</v>
      </c>
    </row>
    <row r="982" spans="1:15" x14ac:dyDescent="0.3">
      <c r="A982">
        <v>981</v>
      </c>
      <c r="B982">
        <v>347</v>
      </c>
      <c r="C982">
        <v>139</v>
      </c>
      <c r="D982">
        <v>1</v>
      </c>
      <c r="E982">
        <f t="shared" si="75"/>
        <v>139</v>
      </c>
      <c r="F982" s="30">
        <v>45318</v>
      </c>
      <c r="G982" t="s">
        <v>28</v>
      </c>
      <c r="H982">
        <v>56</v>
      </c>
      <c r="I982" t="str">
        <f>VLOOKUP(B982,товар!$A$1:$C$433,2,FALSE)</f>
        <v>Макароны</v>
      </c>
      <c r="J982" s="23">
        <f t="shared" si="76"/>
        <v>265.47674418604652</v>
      </c>
      <c r="K982" s="24">
        <f t="shared" si="77"/>
        <v>-0.47641364811002584</v>
      </c>
      <c r="L982" t="str">
        <f>VLOOKUP(B982,товар!$A$1:$C$433,3,FALSE)</f>
        <v>Паста Зара</v>
      </c>
      <c r="M982">
        <f t="shared" si="78"/>
        <v>276.67567567567568</v>
      </c>
      <c r="N982" s="30">
        <f>VLOOKUP(H982,клиенты!$A$1:$G$435,5,FALSE)</f>
        <v>44662</v>
      </c>
      <c r="O982">
        <f t="shared" si="79"/>
        <v>656</v>
      </c>
    </row>
    <row r="983" spans="1:15" x14ac:dyDescent="0.3">
      <c r="A983">
        <v>982</v>
      </c>
      <c r="B983">
        <v>149</v>
      </c>
      <c r="C983">
        <v>468</v>
      </c>
      <c r="D983">
        <v>1</v>
      </c>
      <c r="E983">
        <f t="shared" si="75"/>
        <v>468</v>
      </c>
      <c r="F983" s="30">
        <v>45377</v>
      </c>
      <c r="G983" t="s">
        <v>17</v>
      </c>
      <c r="H983">
        <v>427</v>
      </c>
      <c r="I983" t="str">
        <f>VLOOKUP(B983,товар!$A$1:$C$433,2,FALSE)</f>
        <v>Конфеты</v>
      </c>
      <c r="J983" s="23">
        <f t="shared" si="76"/>
        <v>267.85483870967744</v>
      </c>
      <c r="K983" s="24">
        <f t="shared" si="77"/>
        <v>0.74721502980670795</v>
      </c>
      <c r="L983" t="str">
        <f>VLOOKUP(B983,товар!$A$1:$C$433,3,FALSE)</f>
        <v>Бабаевский</v>
      </c>
      <c r="M983">
        <f t="shared" si="78"/>
        <v>250.25925925925927</v>
      </c>
      <c r="N983" s="30">
        <f>VLOOKUP(H983,клиенты!$A$1:$G$435,5,FALSE)</f>
        <v>44834</v>
      </c>
      <c r="O983">
        <f t="shared" si="79"/>
        <v>543</v>
      </c>
    </row>
    <row r="984" spans="1:15" x14ac:dyDescent="0.3">
      <c r="A984">
        <v>983</v>
      </c>
      <c r="B984">
        <v>384</v>
      </c>
      <c r="C984">
        <v>100</v>
      </c>
      <c r="D984">
        <v>4</v>
      </c>
      <c r="E984">
        <f t="shared" si="75"/>
        <v>400</v>
      </c>
      <c r="F984" s="30">
        <v>45318</v>
      </c>
      <c r="G984" t="s">
        <v>18</v>
      </c>
      <c r="H984">
        <v>323</v>
      </c>
      <c r="I984" t="str">
        <f>VLOOKUP(B984,товар!$A$1:$C$433,2,FALSE)</f>
        <v>Сахар</v>
      </c>
      <c r="J984" s="23">
        <f t="shared" si="76"/>
        <v>252.76271186440678</v>
      </c>
      <c r="K984" s="24">
        <f t="shared" si="77"/>
        <v>-0.60437202440823445</v>
      </c>
      <c r="L984" t="str">
        <f>VLOOKUP(B984,товар!$A$1:$C$433,3,FALSE)</f>
        <v>Сладов</v>
      </c>
      <c r="M984">
        <f t="shared" si="78"/>
        <v>240.26666666666668</v>
      </c>
      <c r="N984" s="30">
        <f>VLOOKUP(H984,клиенты!$A$1:$G$435,5,FALSE)</f>
        <v>44821</v>
      </c>
      <c r="O984">
        <f t="shared" si="79"/>
        <v>497</v>
      </c>
    </row>
    <row r="985" spans="1:15" x14ac:dyDescent="0.3">
      <c r="A985">
        <v>984</v>
      </c>
      <c r="B985">
        <v>404</v>
      </c>
      <c r="C985">
        <v>304</v>
      </c>
      <c r="D985">
        <v>5</v>
      </c>
      <c r="E985">
        <f t="shared" si="75"/>
        <v>1520</v>
      </c>
      <c r="F985" s="30">
        <v>45288</v>
      </c>
      <c r="G985" t="s">
        <v>18</v>
      </c>
      <c r="H985">
        <v>17</v>
      </c>
      <c r="I985" t="str">
        <f>VLOOKUP(B985,товар!$A$1:$C$433,2,FALSE)</f>
        <v>Йогурт</v>
      </c>
      <c r="J985" s="23">
        <f t="shared" si="76"/>
        <v>263.25423728813558</v>
      </c>
      <c r="K985" s="24">
        <f t="shared" si="77"/>
        <v>0.15477723409734745</v>
      </c>
      <c r="L985" t="str">
        <f>VLOOKUP(B985,товар!$A$1:$C$433,3,FALSE)</f>
        <v>Ростагроэкспорт</v>
      </c>
      <c r="M985">
        <f t="shared" si="78"/>
        <v>257.78260869565219</v>
      </c>
      <c r="N985" s="30">
        <f>VLOOKUP(H985,клиенты!$A$1:$G$435,5,FALSE)</f>
        <v>44877</v>
      </c>
      <c r="O985">
        <f t="shared" si="79"/>
        <v>411</v>
      </c>
    </row>
    <row r="986" spans="1:15" x14ac:dyDescent="0.3">
      <c r="A986">
        <v>985</v>
      </c>
      <c r="B986">
        <v>469</v>
      </c>
      <c r="C986">
        <v>357</v>
      </c>
      <c r="D986">
        <v>4</v>
      </c>
      <c r="E986">
        <f t="shared" si="75"/>
        <v>1428</v>
      </c>
      <c r="F986" s="30">
        <v>45377</v>
      </c>
      <c r="G986" t="s">
        <v>31</v>
      </c>
      <c r="H986">
        <v>165</v>
      </c>
      <c r="I986" t="str">
        <f>VLOOKUP(B986,товар!$A$1:$C$433,2,FALSE)</f>
        <v>Сахар</v>
      </c>
      <c r="J986" s="23">
        <f t="shared" si="76"/>
        <v>252.76271186440678</v>
      </c>
      <c r="K986" s="24">
        <f t="shared" si="77"/>
        <v>0.41239187286260304</v>
      </c>
      <c r="L986" t="str">
        <f>VLOOKUP(B986,товар!$A$1:$C$433,3,FALSE)</f>
        <v>Сладов</v>
      </c>
      <c r="M986">
        <f t="shared" si="78"/>
        <v>240.26666666666668</v>
      </c>
      <c r="N986" s="30">
        <f>VLOOKUP(H986,клиенты!$A$1:$G$435,5,FALSE)</f>
        <v>44599</v>
      </c>
      <c r="O986">
        <f t="shared" si="79"/>
        <v>778</v>
      </c>
    </row>
    <row r="987" spans="1:15" x14ac:dyDescent="0.3">
      <c r="A987">
        <v>986</v>
      </c>
      <c r="B987">
        <v>134</v>
      </c>
      <c r="C987">
        <v>89</v>
      </c>
      <c r="D987">
        <v>5</v>
      </c>
      <c r="E987">
        <f t="shared" si="75"/>
        <v>445</v>
      </c>
      <c r="F987" s="30">
        <v>44983</v>
      </c>
      <c r="G987" t="s">
        <v>34</v>
      </c>
      <c r="H987">
        <v>403</v>
      </c>
      <c r="I987" t="str">
        <f>VLOOKUP(B987,товар!$A$1:$C$433,2,FALSE)</f>
        <v>Рыба</v>
      </c>
      <c r="J987" s="23">
        <f t="shared" si="76"/>
        <v>258.5128205128205</v>
      </c>
      <c r="K987" s="24">
        <f t="shared" si="77"/>
        <v>-0.65572307081928183</v>
      </c>
      <c r="L987" t="str">
        <f>VLOOKUP(B987,товар!$A$1:$C$433,3,FALSE)</f>
        <v>Меридиан</v>
      </c>
      <c r="M987">
        <f t="shared" si="78"/>
        <v>260.64705882352939</v>
      </c>
      <c r="N987" s="30">
        <f>VLOOKUP(H987,клиенты!$A$1:$G$435,5,FALSE)</f>
        <v>44594</v>
      </c>
      <c r="O987">
        <f t="shared" si="79"/>
        <v>389</v>
      </c>
    </row>
    <row r="988" spans="1:15" x14ac:dyDescent="0.3">
      <c r="A988">
        <v>987</v>
      </c>
      <c r="B988">
        <v>361</v>
      </c>
      <c r="C988">
        <v>283</v>
      </c>
      <c r="D988">
        <v>5</v>
      </c>
      <c r="E988">
        <f t="shared" si="75"/>
        <v>1415</v>
      </c>
      <c r="F988" s="30">
        <v>45133</v>
      </c>
      <c r="G988" t="s">
        <v>15</v>
      </c>
      <c r="H988">
        <v>274</v>
      </c>
      <c r="I988" t="str">
        <f>VLOOKUP(B988,товар!$A$1:$C$433,2,FALSE)</f>
        <v>Мясо</v>
      </c>
      <c r="J988" s="23">
        <f t="shared" si="76"/>
        <v>271.74545454545455</v>
      </c>
      <c r="K988" s="24">
        <f t="shared" si="77"/>
        <v>4.141576341496056E-2</v>
      </c>
      <c r="L988" t="str">
        <f>VLOOKUP(B988,товар!$A$1:$C$433,3,FALSE)</f>
        <v>Сава</v>
      </c>
      <c r="M988">
        <f t="shared" si="78"/>
        <v>212.8125</v>
      </c>
      <c r="N988" s="30">
        <f>VLOOKUP(H988,клиенты!$A$1:$G$435,5,FALSE)</f>
        <v>44607</v>
      </c>
      <c r="O988">
        <f t="shared" si="79"/>
        <v>526</v>
      </c>
    </row>
    <row r="989" spans="1:15" x14ac:dyDescent="0.3">
      <c r="A989">
        <v>988</v>
      </c>
      <c r="B989">
        <v>110</v>
      </c>
      <c r="C989">
        <v>280</v>
      </c>
      <c r="D989">
        <v>3</v>
      </c>
      <c r="E989">
        <f t="shared" si="75"/>
        <v>840</v>
      </c>
      <c r="F989" s="30">
        <v>45121</v>
      </c>
      <c r="G989" t="s">
        <v>24</v>
      </c>
      <c r="H989">
        <v>61</v>
      </c>
      <c r="I989" t="str">
        <f>VLOOKUP(B989,товар!$A$1:$C$433,2,FALSE)</f>
        <v>Макароны</v>
      </c>
      <c r="J989" s="23">
        <f t="shared" si="76"/>
        <v>265.47674418604652</v>
      </c>
      <c r="K989" s="24">
        <f t="shared" si="77"/>
        <v>5.4706320353904658E-2</v>
      </c>
      <c r="L989" t="str">
        <f>VLOOKUP(B989,товар!$A$1:$C$433,3,FALSE)</f>
        <v>Паста Зара</v>
      </c>
      <c r="M989">
        <f t="shared" si="78"/>
        <v>276.67567567567568</v>
      </c>
      <c r="N989" s="30">
        <f>VLOOKUP(H989,клиенты!$A$1:$G$435,5,FALSE)</f>
        <v>44769</v>
      </c>
      <c r="O989">
        <f t="shared" si="79"/>
        <v>352</v>
      </c>
    </row>
    <row r="990" spans="1:15" x14ac:dyDescent="0.3">
      <c r="A990">
        <v>989</v>
      </c>
      <c r="B990">
        <v>280</v>
      </c>
      <c r="C990">
        <v>459</v>
      </c>
      <c r="D990">
        <v>4</v>
      </c>
      <c r="E990">
        <f t="shared" si="75"/>
        <v>1836</v>
      </c>
      <c r="F990" s="30">
        <v>45273</v>
      </c>
      <c r="G990" t="s">
        <v>26</v>
      </c>
      <c r="H990">
        <v>262</v>
      </c>
      <c r="I990" t="str">
        <f>VLOOKUP(B990,товар!$A$1:$C$433,2,FALSE)</f>
        <v>Сыр</v>
      </c>
      <c r="J990" s="23">
        <f t="shared" si="76"/>
        <v>262.63492063492066</v>
      </c>
      <c r="K990" s="24">
        <f t="shared" si="77"/>
        <v>0.74767315363229758</v>
      </c>
      <c r="L990" t="str">
        <f>VLOOKUP(B990,товар!$A$1:$C$433,3,FALSE)</f>
        <v>President</v>
      </c>
      <c r="M990">
        <f t="shared" si="78"/>
        <v>238.72222222222223</v>
      </c>
      <c r="N990" s="30">
        <f>VLOOKUP(H990,клиенты!$A$1:$G$435,5,FALSE)</f>
        <v>44778</v>
      </c>
      <c r="O990">
        <f t="shared" si="79"/>
        <v>495</v>
      </c>
    </row>
    <row r="991" spans="1:15" x14ac:dyDescent="0.3">
      <c r="A991">
        <v>990</v>
      </c>
      <c r="B991">
        <v>43</v>
      </c>
      <c r="C991">
        <v>244</v>
      </c>
      <c r="D991">
        <v>4</v>
      </c>
      <c r="E991">
        <f t="shared" si="75"/>
        <v>976</v>
      </c>
      <c r="F991" s="30">
        <v>45392</v>
      </c>
      <c r="G991" t="s">
        <v>29</v>
      </c>
      <c r="H991">
        <v>323</v>
      </c>
      <c r="I991" t="str">
        <f>VLOOKUP(B991,товар!$A$1:$C$433,2,FALSE)</f>
        <v>Печенье</v>
      </c>
      <c r="J991" s="23">
        <f t="shared" si="76"/>
        <v>283.468085106383</v>
      </c>
      <c r="K991" s="24">
        <f t="shared" si="77"/>
        <v>-0.13923290550176393</v>
      </c>
      <c r="L991" t="str">
        <f>VLOOKUP(B991,товар!$A$1:$C$433,3,FALSE)</f>
        <v>КДВ</v>
      </c>
      <c r="M991">
        <f t="shared" si="78"/>
        <v>323.07692307692309</v>
      </c>
      <c r="N991" s="30">
        <f>VLOOKUP(H991,клиенты!$A$1:$G$435,5,FALSE)</f>
        <v>44821</v>
      </c>
      <c r="O991">
        <f t="shared" si="79"/>
        <v>571</v>
      </c>
    </row>
    <row r="992" spans="1:15" x14ac:dyDescent="0.3">
      <c r="A992">
        <v>991</v>
      </c>
      <c r="B992">
        <v>434</v>
      </c>
      <c r="C992">
        <v>299</v>
      </c>
      <c r="D992">
        <v>2</v>
      </c>
      <c r="E992">
        <f t="shared" si="75"/>
        <v>598</v>
      </c>
      <c r="F992" s="30">
        <v>45144</v>
      </c>
      <c r="G992" t="s">
        <v>30</v>
      </c>
      <c r="H992">
        <v>481</v>
      </c>
      <c r="I992" t="str">
        <f>VLOOKUP(B992,товар!$A$1:$C$433,2,FALSE)</f>
        <v>Сыр</v>
      </c>
      <c r="J992" s="23">
        <f t="shared" si="76"/>
        <v>262.63492063492066</v>
      </c>
      <c r="K992" s="24">
        <f t="shared" si="77"/>
        <v>0.13846246827027664</v>
      </c>
      <c r="L992" t="str">
        <f>VLOOKUP(B992,товар!$A$1:$C$433,3,FALSE)</f>
        <v>Сырная долина</v>
      </c>
      <c r="M992">
        <f t="shared" si="78"/>
        <v>271</v>
      </c>
      <c r="N992" s="30">
        <f>VLOOKUP(H992,клиенты!$A$1:$G$435,5,FALSE)</f>
        <v>44756</v>
      </c>
      <c r="O992">
        <f t="shared" si="79"/>
        <v>388</v>
      </c>
    </row>
    <row r="993" spans="1:15" x14ac:dyDescent="0.3">
      <c r="A993">
        <v>992</v>
      </c>
      <c r="B993">
        <v>183</v>
      </c>
      <c r="C993">
        <v>73</v>
      </c>
      <c r="D993">
        <v>5</v>
      </c>
      <c r="E993">
        <f t="shared" si="75"/>
        <v>365</v>
      </c>
      <c r="F993" s="30">
        <v>45317</v>
      </c>
      <c r="G993" t="s">
        <v>28</v>
      </c>
      <c r="H993">
        <v>478</v>
      </c>
      <c r="I993" t="str">
        <f>VLOOKUP(B993,товар!$A$1:$C$433,2,FALSE)</f>
        <v>Конфеты</v>
      </c>
      <c r="J993" s="23">
        <f t="shared" si="76"/>
        <v>267.85483870967744</v>
      </c>
      <c r="K993" s="24">
        <f t="shared" si="77"/>
        <v>-0.72746432227374003</v>
      </c>
      <c r="L993" t="str">
        <f>VLOOKUP(B993,товар!$A$1:$C$433,3,FALSE)</f>
        <v>Бабаевский</v>
      </c>
      <c r="M993">
        <f t="shared" si="78"/>
        <v>250.25925925925927</v>
      </c>
      <c r="N993" s="30">
        <f>VLOOKUP(H993,клиенты!$A$1:$G$435,5,FALSE)</f>
        <v>44726</v>
      </c>
      <c r="O993">
        <f t="shared" si="79"/>
        <v>591</v>
      </c>
    </row>
    <row r="994" spans="1:15" x14ac:dyDescent="0.3">
      <c r="A994">
        <v>993</v>
      </c>
      <c r="B994">
        <v>224</v>
      </c>
      <c r="C994">
        <v>421</v>
      </c>
      <c r="D994">
        <v>3</v>
      </c>
      <c r="E994">
        <f t="shared" si="75"/>
        <v>1263</v>
      </c>
      <c r="F994" s="30">
        <v>45093</v>
      </c>
      <c r="G994" t="s">
        <v>26</v>
      </c>
      <c r="H994">
        <v>497</v>
      </c>
      <c r="I994" t="str">
        <f>VLOOKUP(B994,товар!$A$1:$C$433,2,FALSE)</f>
        <v>Чипсы</v>
      </c>
      <c r="J994" s="23">
        <f t="shared" si="76"/>
        <v>273.72549019607845</v>
      </c>
      <c r="K994" s="24">
        <f t="shared" si="77"/>
        <v>0.53803724928366758</v>
      </c>
      <c r="L994" t="str">
        <f>VLOOKUP(B994,товар!$A$1:$C$433,3,FALSE)</f>
        <v>Pringles</v>
      </c>
      <c r="M994">
        <f t="shared" si="78"/>
        <v>280.23809523809524</v>
      </c>
      <c r="N994" s="30">
        <f>VLOOKUP(H994,клиенты!$A$1:$G$435,5,FALSE)</f>
        <v>44826</v>
      </c>
      <c r="O994">
        <f t="shared" si="79"/>
        <v>267</v>
      </c>
    </row>
    <row r="995" spans="1:15" x14ac:dyDescent="0.3">
      <c r="A995">
        <v>994</v>
      </c>
      <c r="B995">
        <v>235</v>
      </c>
      <c r="C995">
        <v>345</v>
      </c>
      <c r="D995">
        <v>3</v>
      </c>
      <c r="E995">
        <f t="shared" si="75"/>
        <v>1035</v>
      </c>
      <c r="F995" s="30">
        <v>45301</v>
      </c>
      <c r="G995" t="s">
        <v>15</v>
      </c>
      <c r="H995">
        <v>406</v>
      </c>
      <c r="I995" t="str">
        <f>VLOOKUP(B995,товар!$A$1:$C$433,2,FALSE)</f>
        <v>Хлеб</v>
      </c>
      <c r="J995" s="23">
        <f t="shared" si="76"/>
        <v>300.31818181818181</v>
      </c>
      <c r="K995" s="24">
        <f t="shared" si="77"/>
        <v>0.14878159527773582</v>
      </c>
      <c r="L995" t="str">
        <f>VLOOKUP(B995,товар!$A$1:$C$433,3,FALSE)</f>
        <v>Русский Хлеб</v>
      </c>
      <c r="M995">
        <f t="shared" si="78"/>
        <v>316.60000000000002</v>
      </c>
      <c r="N995" s="30">
        <f>VLOOKUP(H995,клиенты!$A$1:$G$435,5,FALSE)</f>
        <v>44895</v>
      </c>
      <c r="O995">
        <f t="shared" si="79"/>
        <v>406</v>
      </c>
    </row>
    <row r="996" spans="1:15" x14ac:dyDescent="0.3">
      <c r="A996">
        <v>995</v>
      </c>
      <c r="B996">
        <v>477</v>
      </c>
      <c r="C996">
        <v>50</v>
      </c>
      <c r="D996">
        <v>1</v>
      </c>
      <c r="E996">
        <f t="shared" si="75"/>
        <v>50</v>
      </c>
      <c r="F996" s="30">
        <v>45145</v>
      </c>
      <c r="G996" t="s">
        <v>22</v>
      </c>
      <c r="H996">
        <v>58</v>
      </c>
      <c r="I996" t="str">
        <f>VLOOKUP(B996,товар!$A$1:$C$433,2,FALSE)</f>
        <v>Макароны</v>
      </c>
      <c r="J996" s="23">
        <f t="shared" si="76"/>
        <v>265.47674418604652</v>
      </c>
      <c r="K996" s="24">
        <f t="shared" si="77"/>
        <v>-0.81165958565108842</v>
      </c>
      <c r="L996" t="str">
        <f>VLOOKUP(B996,товар!$A$1:$C$433,3,FALSE)</f>
        <v>Борилла</v>
      </c>
      <c r="M996">
        <f t="shared" si="78"/>
        <v>236.27586206896552</v>
      </c>
      <c r="N996" s="30">
        <f>VLOOKUP(H996,клиенты!$A$1:$G$435,5,FALSE)</f>
        <v>44628</v>
      </c>
      <c r="O996">
        <f t="shared" si="79"/>
        <v>517</v>
      </c>
    </row>
    <row r="997" spans="1:15" x14ac:dyDescent="0.3">
      <c r="A997">
        <v>996</v>
      </c>
      <c r="B997">
        <v>242</v>
      </c>
      <c r="C997">
        <v>441</v>
      </c>
      <c r="D997">
        <v>1</v>
      </c>
      <c r="E997">
        <f t="shared" si="75"/>
        <v>441</v>
      </c>
      <c r="F997" s="30">
        <v>44934</v>
      </c>
      <c r="G997" t="s">
        <v>32</v>
      </c>
      <c r="H997">
        <v>312</v>
      </c>
      <c r="I997" t="str">
        <f>VLOOKUP(B997,товар!$A$1:$C$433,2,FALSE)</f>
        <v>Овощи</v>
      </c>
      <c r="J997" s="23">
        <f t="shared" si="76"/>
        <v>250.48780487804879</v>
      </c>
      <c r="K997" s="24">
        <f t="shared" si="77"/>
        <v>0.76056475170399218</v>
      </c>
      <c r="L997" t="str">
        <f>VLOOKUP(B997,товар!$A$1:$C$433,3,FALSE)</f>
        <v>Овощной ряд</v>
      </c>
      <c r="M997">
        <f t="shared" si="78"/>
        <v>303.8235294117647</v>
      </c>
      <c r="N997" s="30">
        <f>VLOOKUP(H997,клиенты!$A$1:$G$435,5,FALSE)</f>
        <v>44886</v>
      </c>
      <c r="O997">
        <f t="shared" si="79"/>
        <v>48</v>
      </c>
    </row>
    <row r="998" spans="1:15" x14ac:dyDescent="0.3">
      <c r="A998">
        <v>997</v>
      </c>
      <c r="B998">
        <v>423</v>
      </c>
      <c r="C998">
        <v>187</v>
      </c>
      <c r="D998">
        <v>5</v>
      </c>
      <c r="E998">
        <f t="shared" si="75"/>
        <v>935</v>
      </c>
      <c r="F998" s="30">
        <v>45247</v>
      </c>
      <c r="G998" t="s">
        <v>15</v>
      </c>
      <c r="H998">
        <v>136</v>
      </c>
      <c r="I998" t="str">
        <f>VLOOKUP(B998,товар!$A$1:$C$433,2,FALSE)</f>
        <v>Чипсы</v>
      </c>
      <c r="J998" s="23">
        <f t="shared" si="76"/>
        <v>273.72549019607845</v>
      </c>
      <c r="K998" s="24">
        <f t="shared" si="77"/>
        <v>-0.31683381088825224</v>
      </c>
      <c r="L998" t="str">
        <f>VLOOKUP(B998,товар!$A$1:$C$433,3,FALSE)</f>
        <v>Pringles</v>
      </c>
      <c r="M998">
        <f t="shared" si="78"/>
        <v>280.23809523809524</v>
      </c>
      <c r="N998" s="30">
        <f>VLOOKUP(H998,клиенты!$A$1:$G$435,5,FALSE)</f>
        <v>44860</v>
      </c>
      <c r="O998">
        <f t="shared" si="79"/>
        <v>387</v>
      </c>
    </row>
    <row r="999" spans="1:15" x14ac:dyDescent="0.3">
      <c r="A999">
        <v>998</v>
      </c>
      <c r="B999">
        <v>414</v>
      </c>
      <c r="C999">
        <v>170</v>
      </c>
      <c r="D999">
        <v>1</v>
      </c>
      <c r="E999">
        <f t="shared" si="75"/>
        <v>170</v>
      </c>
      <c r="F999" s="30">
        <v>45248</v>
      </c>
      <c r="G999" t="s">
        <v>19</v>
      </c>
      <c r="H999">
        <v>328</v>
      </c>
      <c r="I999" t="str">
        <f>VLOOKUP(B999,товар!$A$1:$C$433,2,FALSE)</f>
        <v>Фрукты</v>
      </c>
      <c r="J999" s="23">
        <f t="shared" si="76"/>
        <v>274.16279069767444</v>
      </c>
      <c r="K999" s="24">
        <f t="shared" si="77"/>
        <v>-0.37993044363389605</v>
      </c>
      <c r="L999" t="str">
        <f>VLOOKUP(B999,товар!$A$1:$C$433,3,FALSE)</f>
        <v>Экзотик</v>
      </c>
      <c r="M999">
        <f t="shared" si="78"/>
        <v>253.6875</v>
      </c>
      <c r="N999" s="30">
        <f>VLOOKUP(H999,клиенты!$A$1:$G$435,5,FALSE)</f>
        <v>44568</v>
      </c>
      <c r="O999">
        <f t="shared" si="79"/>
        <v>680</v>
      </c>
    </row>
    <row r="1000" spans="1:15" x14ac:dyDescent="0.3">
      <c r="A1000">
        <v>999</v>
      </c>
      <c r="B1000">
        <v>110</v>
      </c>
      <c r="C1000">
        <v>114</v>
      </c>
      <c r="D1000">
        <v>3</v>
      </c>
      <c r="E1000">
        <f t="shared" si="75"/>
        <v>342</v>
      </c>
      <c r="F1000" s="30">
        <v>44990</v>
      </c>
      <c r="G1000" t="s">
        <v>29</v>
      </c>
      <c r="H1000">
        <v>172</v>
      </c>
      <c r="I1000" t="str">
        <f>VLOOKUP(B1000,товар!$A$1:$C$433,2,FALSE)</f>
        <v>Макароны</v>
      </c>
      <c r="J1000" s="23">
        <f t="shared" si="76"/>
        <v>265.47674418604652</v>
      </c>
      <c r="K1000" s="24">
        <f t="shared" si="77"/>
        <v>-0.57058385528448163</v>
      </c>
      <c r="L1000" t="str">
        <f>VLOOKUP(B1000,товар!$A$1:$C$433,3,FALSE)</f>
        <v>Паста Зара</v>
      </c>
      <c r="M1000">
        <f t="shared" si="78"/>
        <v>276.67567567567568</v>
      </c>
      <c r="N1000" s="30">
        <f>VLOOKUP(H1000,клиенты!$A$1:$G$435,5,FALSE)</f>
        <v>44737</v>
      </c>
      <c r="O1000">
        <f t="shared" si="79"/>
        <v>253</v>
      </c>
    </row>
    <row r="1001" spans="1:15" x14ac:dyDescent="0.3">
      <c r="A1001">
        <v>1000</v>
      </c>
      <c r="B1001">
        <v>296</v>
      </c>
      <c r="C1001">
        <v>453</v>
      </c>
      <c r="D1001">
        <v>1</v>
      </c>
      <c r="E1001">
        <f t="shared" si="75"/>
        <v>453</v>
      </c>
      <c r="F1001" s="30">
        <v>45265</v>
      </c>
      <c r="G1001" t="s">
        <v>22</v>
      </c>
      <c r="H1001">
        <v>167</v>
      </c>
      <c r="I1001" t="str">
        <f>VLOOKUP(B1001,товар!$A$1:$C$433,2,FALSE)</f>
        <v>Крупа</v>
      </c>
      <c r="J1001" s="23">
        <f t="shared" si="76"/>
        <v>255.11627906976744</v>
      </c>
      <c r="K1001" s="24">
        <f t="shared" si="77"/>
        <v>0.7756608933454876</v>
      </c>
      <c r="L1001" t="str">
        <f>VLOOKUP(B1001,товар!$A$1:$C$433,3,FALSE)</f>
        <v>Мистраль</v>
      </c>
      <c r="M1001">
        <f t="shared" si="78"/>
        <v>250.30769230769232</v>
      </c>
      <c r="N1001" s="30">
        <f>VLOOKUP(H1001,клиенты!$A$1:$G$435,5,FALSE)</f>
        <v>44563</v>
      </c>
      <c r="O1001">
        <f t="shared" si="79"/>
        <v>702</v>
      </c>
    </row>
  </sheetData>
  <conditionalFormatting sqref="K2:K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33"/>
  <sheetViews>
    <sheetView topLeftCell="A4" zoomScale="70" zoomScaleNormal="70" workbookViewId="0">
      <pane ySplit="1" topLeftCell="A5" activePane="bottomLeft" state="frozen"/>
      <selection pane="bottomLeft" activeCell="C9" sqref="C9"/>
    </sheetView>
  </sheetViews>
  <sheetFormatPr defaultColWidth="8.77734375" defaultRowHeight="14.4" x14ac:dyDescent="0.3"/>
  <cols>
    <col min="1" max="1" width="12" customWidth="1"/>
    <col min="2" max="2" width="22" customWidth="1"/>
    <col min="3" max="3" width="24" bestFit="1" customWidth="1"/>
    <col min="5" max="5" width="35" customWidth="1"/>
    <col min="6" max="6" width="18" customWidth="1"/>
  </cols>
  <sheetData>
    <row r="1" spans="1:6" ht="28.8" x14ac:dyDescent="0.3">
      <c r="A1" s="31" t="s">
        <v>1</v>
      </c>
      <c r="B1" s="31" t="s">
        <v>87</v>
      </c>
      <c r="C1" s="31" t="s">
        <v>88</v>
      </c>
      <c r="E1" s="32" t="s">
        <v>89</v>
      </c>
      <c r="F1" s="32" t="s">
        <v>90</v>
      </c>
    </row>
    <row r="2" spans="1:6" x14ac:dyDescent="0.3">
      <c r="A2" s="33">
        <v>300</v>
      </c>
      <c r="B2" s="33" t="s">
        <v>91</v>
      </c>
      <c r="C2" s="33" t="s">
        <v>92</v>
      </c>
      <c r="E2" s="33" t="s">
        <v>93</v>
      </c>
      <c r="F2" s="33">
        <v>12</v>
      </c>
    </row>
    <row r="3" spans="1:6" x14ac:dyDescent="0.3">
      <c r="A3" s="33">
        <v>486</v>
      </c>
      <c r="B3" s="33" t="s">
        <v>94</v>
      </c>
      <c r="C3" s="33" t="s">
        <v>95</v>
      </c>
      <c r="E3" s="33" t="s">
        <v>96</v>
      </c>
      <c r="F3" s="33">
        <v>12</v>
      </c>
    </row>
    <row r="4" spans="1:6" x14ac:dyDescent="0.3">
      <c r="A4" s="33">
        <v>76</v>
      </c>
      <c r="B4" s="33" t="s">
        <v>97</v>
      </c>
      <c r="C4" s="33" t="s">
        <v>98</v>
      </c>
      <c r="E4" s="33" t="s">
        <v>99</v>
      </c>
      <c r="F4" s="33">
        <v>12</v>
      </c>
    </row>
    <row r="5" spans="1:6" x14ac:dyDescent="0.3">
      <c r="A5" s="33">
        <v>240</v>
      </c>
      <c r="B5" s="33" t="s">
        <v>100</v>
      </c>
      <c r="C5" s="33" t="s">
        <v>101</v>
      </c>
      <c r="E5" s="33" t="s">
        <v>102</v>
      </c>
      <c r="F5" s="33">
        <v>12</v>
      </c>
    </row>
    <row r="6" spans="1:6" x14ac:dyDescent="0.3">
      <c r="A6" s="33">
        <v>32</v>
      </c>
      <c r="B6" s="33" t="s">
        <v>103</v>
      </c>
      <c r="C6" s="33" t="s">
        <v>104</v>
      </c>
      <c r="E6" s="33" t="s">
        <v>105</v>
      </c>
      <c r="F6" s="33">
        <v>11</v>
      </c>
    </row>
    <row r="7" spans="1:6" x14ac:dyDescent="0.3">
      <c r="A7" s="33">
        <v>162</v>
      </c>
      <c r="B7" s="33" t="s">
        <v>106</v>
      </c>
      <c r="C7" s="33" t="s">
        <v>107</v>
      </c>
      <c r="E7" s="33" t="s">
        <v>108</v>
      </c>
      <c r="F7" s="33">
        <v>10</v>
      </c>
    </row>
    <row r="8" spans="1:6" x14ac:dyDescent="0.3">
      <c r="A8" s="33">
        <v>323</v>
      </c>
      <c r="B8" s="33" t="s">
        <v>109</v>
      </c>
      <c r="C8" s="33" t="s">
        <v>110</v>
      </c>
      <c r="E8" s="33" t="s">
        <v>111</v>
      </c>
      <c r="F8" s="33">
        <v>9</v>
      </c>
    </row>
    <row r="9" spans="1:6" x14ac:dyDescent="0.3">
      <c r="A9" s="33">
        <v>60</v>
      </c>
      <c r="B9" s="33" t="s">
        <v>112</v>
      </c>
      <c r="C9" s="33" t="s">
        <v>113</v>
      </c>
      <c r="E9" s="33" t="s">
        <v>114</v>
      </c>
      <c r="F9" s="33">
        <v>9</v>
      </c>
    </row>
    <row r="10" spans="1:6" x14ac:dyDescent="0.3">
      <c r="A10" s="33">
        <v>401</v>
      </c>
      <c r="B10" s="33" t="s">
        <v>115</v>
      </c>
      <c r="C10" s="33" t="s">
        <v>116</v>
      </c>
      <c r="E10" s="33" t="s">
        <v>117</v>
      </c>
      <c r="F10" s="33">
        <v>9</v>
      </c>
    </row>
    <row r="11" spans="1:6" x14ac:dyDescent="0.3">
      <c r="A11" s="33">
        <v>100</v>
      </c>
      <c r="B11" s="33" t="s">
        <v>118</v>
      </c>
      <c r="C11" s="33" t="s">
        <v>119</v>
      </c>
      <c r="E11" s="33" t="s">
        <v>120</v>
      </c>
      <c r="F11" s="33">
        <v>8</v>
      </c>
    </row>
    <row r="12" spans="1:6" x14ac:dyDescent="0.3">
      <c r="A12" s="33">
        <v>217</v>
      </c>
      <c r="B12" s="33" t="s">
        <v>121</v>
      </c>
      <c r="C12" s="33" t="s">
        <v>122</v>
      </c>
      <c r="E12" s="33" t="s">
        <v>123</v>
      </c>
      <c r="F12" s="33">
        <v>8</v>
      </c>
    </row>
    <row r="13" spans="1:6" x14ac:dyDescent="0.3">
      <c r="A13" s="33">
        <v>445</v>
      </c>
      <c r="B13" s="33" t="s">
        <v>91</v>
      </c>
      <c r="C13" s="33" t="s">
        <v>124</v>
      </c>
      <c r="E13" s="33" t="s">
        <v>125</v>
      </c>
      <c r="F13" s="33">
        <v>8</v>
      </c>
    </row>
    <row r="14" spans="1:6" x14ac:dyDescent="0.3">
      <c r="A14" s="33">
        <v>284</v>
      </c>
      <c r="B14" s="33" t="s">
        <v>121</v>
      </c>
      <c r="C14" s="33" t="s">
        <v>126</v>
      </c>
      <c r="E14" s="33" t="s">
        <v>127</v>
      </c>
      <c r="F14" s="33">
        <v>7</v>
      </c>
    </row>
    <row r="15" spans="1:6" x14ac:dyDescent="0.3">
      <c r="A15" s="33">
        <v>116</v>
      </c>
      <c r="B15" s="33" t="s">
        <v>94</v>
      </c>
      <c r="C15" s="33" t="s">
        <v>128</v>
      </c>
      <c r="E15" s="33" t="s">
        <v>129</v>
      </c>
      <c r="F15" s="33">
        <v>7</v>
      </c>
    </row>
    <row r="16" spans="1:6" x14ac:dyDescent="0.3">
      <c r="A16" s="33">
        <v>378</v>
      </c>
      <c r="B16" s="33" t="s">
        <v>106</v>
      </c>
      <c r="C16" s="33" t="s">
        <v>107</v>
      </c>
      <c r="E16" s="33" t="s">
        <v>130</v>
      </c>
      <c r="F16" s="33">
        <v>7</v>
      </c>
    </row>
    <row r="17" spans="1:3" x14ac:dyDescent="0.3">
      <c r="A17" s="33">
        <v>299</v>
      </c>
      <c r="B17" s="33" t="s">
        <v>115</v>
      </c>
      <c r="C17" s="33" t="s">
        <v>131</v>
      </c>
    </row>
    <row r="18" spans="1:3" x14ac:dyDescent="0.3">
      <c r="A18" s="33">
        <v>359</v>
      </c>
      <c r="B18" s="33" t="s">
        <v>121</v>
      </c>
      <c r="C18" s="33" t="s">
        <v>21</v>
      </c>
    </row>
    <row r="19" spans="1:3" x14ac:dyDescent="0.3">
      <c r="A19" s="33">
        <v>337</v>
      </c>
      <c r="B19" s="33" t="s">
        <v>100</v>
      </c>
      <c r="C19" s="33" t="s">
        <v>132</v>
      </c>
    </row>
    <row r="20" spans="1:3" x14ac:dyDescent="0.3">
      <c r="A20" s="33">
        <v>226</v>
      </c>
      <c r="B20" s="33" t="s">
        <v>133</v>
      </c>
      <c r="C20" s="33" t="s">
        <v>134</v>
      </c>
    </row>
    <row r="21" spans="1:3" x14ac:dyDescent="0.3">
      <c r="A21" s="33">
        <v>310</v>
      </c>
      <c r="B21" s="33" t="s">
        <v>100</v>
      </c>
      <c r="C21" s="33" t="s">
        <v>132</v>
      </c>
    </row>
    <row r="22" spans="1:3" x14ac:dyDescent="0.3">
      <c r="A22" s="33">
        <v>137</v>
      </c>
      <c r="B22" s="33" t="s">
        <v>135</v>
      </c>
      <c r="C22" s="33" t="s">
        <v>136</v>
      </c>
    </row>
    <row r="23" spans="1:3" x14ac:dyDescent="0.3">
      <c r="A23" s="33">
        <v>385</v>
      </c>
      <c r="B23" s="33" t="s">
        <v>100</v>
      </c>
      <c r="C23" s="33" t="s">
        <v>137</v>
      </c>
    </row>
    <row r="24" spans="1:3" x14ac:dyDescent="0.3">
      <c r="A24" s="33">
        <v>451</v>
      </c>
      <c r="B24" s="33" t="s">
        <v>138</v>
      </c>
      <c r="C24" s="33" t="s">
        <v>139</v>
      </c>
    </row>
    <row r="25" spans="1:3" x14ac:dyDescent="0.3">
      <c r="A25" s="33">
        <v>7</v>
      </c>
      <c r="B25" s="33" t="s">
        <v>133</v>
      </c>
      <c r="C25" s="33" t="s">
        <v>140</v>
      </c>
    </row>
    <row r="26" spans="1:3" x14ac:dyDescent="0.3">
      <c r="A26" s="33">
        <v>495</v>
      </c>
      <c r="B26" s="33" t="s">
        <v>115</v>
      </c>
      <c r="C26" s="33" t="s">
        <v>116</v>
      </c>
    </row>
    <row r="27" spans="1:3" x14ac:dyDescent="0.3">
      <c r="A27" s="33">
        <v>415</v>
      </c>
      <c r="B27" s="33" t="s">
        <v>141</v>
      </c>
      <c r="C27" s="33" t="s">
        <v>142</v>
      </c>
    </row>
    <row r="28" spans="1:3" x14ac:dyDescent="0.3">
      <c r="A28" s="33">
        <v>176</v>
      </c>
      <c r="B28" s="33" t="s">
        <v>91</v>
      </c>
      <c r="C28" s="33" t="s">
        <v>92</v>
      </c>
    </row>
    <row r="29" spans="1:3" x14ac:dyDescent="0.3">
      <c r="A29" s="33">
        <v>181</v>
      </c>
      <c r="B29" s="33" t="s">
        <v>143</v>
      </c>
      <c r="C29" s="33" t="s">
        <v>144</v>
      </c>
    </row>
    <row r="30" spans="1:3" x14ac:dyDescent="0.3">
      <c r="A30" s="33">
        <v>399</v>
      </c>
      <c r="B30" s="33" t="s">
        <v>145</v>
      </c>
      <c r="C30" s="33" t="s">
        <v>146</v>
      </c>
    </row>
    <row r="31" spans="1:3" x14ac:dyDescent="0.3">
      <c r="A31" s="33">
        <v>382</v>
      </c>
      <c r="B31" s="33" t="s">
        <v>103</v>
      </c>
      <c r="C31" s="33" t="s">
        <v>147</v>
      </c>
    </row>
    <row r="32" spans="1:3" x14ac:dyDescent="0.3">
      <c r="A32" s="33">
        <v>103</v>
      </c>
      <c r="B32" s="33" t="s">
        <v>109</v>
      </c>
      <c r="C32" s="33" t="s">
        <v>148</v>
      </c>
    </row>
    <row r="33" spans="1:3" x14ac:dyDescent="0.3">
      <c r="A33" s="33">
        <v>104</v>
      </c>
      <c r="B33" s="33" t="s">
        <v>118</v>
      </c>
      <c r="C33" s="33" t="s">
        <v>119</v>
      </c>
    </row>
    <row r="34" spans="1:3" x14ac:dyDescent="0.3">
      <c r="A34" s="33">
        <v>213</v>
      </c>
      <c r="B34" s="33" t="s">
        <v>91</v>
      </c>
      <c r="C34" s="33" t="s">
        <v>92</v>
      </c>
    </row>
    <row r="35" spans="1:3" x14ac:dyDescent="0.3">
      <c r="A35" s="33">
        <v>157</v>
      </c>
      <c r="B35" s="33" t="s">
        <v>133</v>
      </c>
      <c r="C35" s="33" t="s">
        <v>140</v>
      </c>
    </row>
    <row r="36" spans="1:3" x14ac:dyDescent="0.3">
      <c r="A36" s="33">
        <v>237</v>
      </c>
      <c r="B36" s="33" t="s">
        <v>149</v>
      </c>
      <c r="C36" s="33" t="s">
        <v>150</v>
      </c>
    </row>
    <row r="37" spans="1:3" x14ac:dyDescent="0.3">
      <c r="A37" s="33">
        <v>8</v>
      </c>
      <c r="B37" s="33" t="s">
        <v>100</v>
      </c>
      <c r="C37" s="33" t="s">
        <v>132</v>
      </c>
    </row>
    <row r="38" spans="1:3" x14ac:dyDescent="0.3">
      <c r="A38" s="33">
        <v>65</v>
      </c>
      <c r="B38" s="33" t="s">
        <v>145</v>
      </c>
      <c r="C38" s="33" t="s">
        <v>146</v>
      </c>
    </row>
    <row r="39" spans="1:3" x14ac:dyDescent="0.3">
      <c r="A39" s="33">
        <v>45</v>
      </c>
      <c r="B39" s="33" t="s">
        <v>106</v>
      </c>
      <c r="C39" s="33" t="s">
        <v>151</v>
      </c>
    </row>
    <row r="40" spans="1:3" x14ac:dyDescent="0.3">
      <c r="A40" s="33">
        <v>36</v>
      </c>
      <c r="B40" s="33" t="s">
        <v>100</v>
      </c>
      <c r="C40" s="33" t="s">
        <v>152</v>
      </c>
    </row>
    <row r="41" spans="1:3" x14ac:dyDescent="0.3">
      <c r="A41" s="33">
        <v>443</v>
      </c>
      <c r="B41" s="33" t="s">
        <v>112</v>
      </c>
      <c r="C41" s="33" t="s">
        <v>113</v>
      </c>
    </row>
    <row r="42" spans="1:3" x14ac:dyDescent="0.3">
      <c r="A42" s="33">
        <v>384</v>
      </c>
      <c r="B42" s="33" t="s">
        <v>91</v>
      </c>
      <c r="C42" s="33" t="s">
        <v>124</v>
      </c>
    </row>
    <row r="43" spans="1:3" x14ac:dyDescent="0.3">
      <c r="A43" s="33">
        <v>41</v>
      </c>
      <c r="B43" s="33" t="s">
        <v>138</v>
      </c>
      <c r="C43" s="33" t="s">
        <v>153</v>
      </c>
    </row>
    <row r="44" spans="1:3" x14ac:dyDescent="0.3">
      <c r="A44" s="33">
        <v>484</v>
      </c>
      <c r="B44" s="33" t="s">
        <v>97</v>
      </c>
      <c r="C44" s="33" t="s">
        <v>154</v>
      </c>
    </row>
    <row r="45" spans="1:3" x14ac:dyDescent="0.3">
      <c r="A45" s="33">
        <v>390</v>
      </c>
      <c r="B45" s="33" t="s">
        <v>106</v>
      </c>
      <c r="C45" s="33" t="s">
        <v>155</v>
      </c>
    </row>
    <row r="46" spans="1:3" x14ac:dyDescent="0.3">
      <c r="A46" s="33">
        <v>57</v>
      </c>
      <c r="B46" s="33" t="s">
        <v>97</v>
      </c>
      <c r="C46" s="33" t="s">
        <v>98</v>
      </c>
    </row>
    <row r="47" spans="1:3" x14ac:dyDescent="0.3">
      <c r="A47" s="33">
        <v>285</v>
      </c>
      <c r="B47" s="33" t="s">
        <v>100</v>
      </c>
      <c r="C47" s="33" t="s">
        <v>132</v>
      </c>
    </row>
    <row r="48" spans="1:3" x14ac:dyDescent="0.3">
      <c r="A48" s="33">
        <v>444</v>
      </c>
      <c r="B48" s="33" t="s">
        <v>118</v>
      </c>
      <c r="C48" s="33" t="s">
        <v>156</v>
      </c>
    </row>
    <row r="49" spans="1:3" x14ac:dyDescent="0.3">
      <c r="A49" s="33">
        <v>35</v>
      </c>
      <c r="B49" s="33" t="s">
        <v>157</v>
      </c>
      <c r="C49" s="33" t="s">
        <v>158</v>
      </c>
    </row>
    <row r="50" spans="1:3" x14ac:dyDescent="0.3">
      <c r="A50" s="33">
        <v>296</v>
      </c>
      <c r="B50" s="33" t="s">
        <v>157</v>
      </c>
      <c r="C50" s="33" t="s">
        <v>158</v>
      </c>
    </row>
    <row r="51" spans="1:3" x14ac:dyDescent="0.3">
      <c r="A51" s="33">
        <v>227</v>
      </c>
      <c r="B51" s="33" t="s">
        <v>100</v>
      </c>
      <c r="C51" s="33" t="s">
        <v>137</v>
      </c>
    </row>
    <row r="52" spans="1:3" x14ac:dyDescent="0.3">
      <c r="A52" s="33">
        <v>167</v>
      </c>
      <c r="B52" s="33" t="s">
        <v>121</v>
      </c>
      <c r="C52" s="33" t="s">
        <v>126</v>
      </c>
    </row>
    <row r="53" spans="1:3" x14ac:dyDescent="0.3">
      <c r="A53" s="33">
        <v>146</v>
      </c>
      <c r="B53" s="33" t="s">
        <v>106</v>
      </c>
      <c r="C53" s="33" t="s">
        <v>151</v>
      </c>
    </row>
    <row r="54" spans="1:3" x14ac:dyDescent="0.3">
      <c r="A54" s="33">
        <v>338</v>
      </c>
      <c r="B54" s="33" t="s">
        <v>133</v>
      </c>
      <c r="C54" s="33" t="s">
        <v>140</v>
      </c>
    </row>
    <row r="55" spans="1:3" x14ac:dyDescent="0.3">
      <c r="A55" s="33">
        <v>155</v>
      </c>
      <c r="B55" s="33" t="s">
        <v>118</v>
      </c>
      <c r="C55" s="33" t="s">
        <v>156</v>
      </c>
    </row>
    <row r="56" spans="1:3" x14ac:dyDescent="0.3">
      <c r="A56" s="33">
        <v>239</v>
      </c>
      <c r="B56" s="33" t="s">
        <v>118</v>
      </c>
      <c r="C56" s="33" t="s">
        <v>156</v>
      </c>
    </row>
    <row r="57" spans="1:3" x14ac:dyDescent="0.3">
      <c r="A57" s="33">
        <v>158</v>
      </c>
      <c r="B57" s="33" t="s">
        <v>91</v>
      </c>
      <c r="C57" s="33" t="s">
        <v>124</v>
      </c>
    </row>
    <row r="58" spans="1:3" x14ac:dyDescent="0.3">
      <c r="A58" s="33">
        <v>147</v>
      </c>
      <c r="B58" s="33" t="s">
        <v>149</v>
      </c>
      <c r="C58" s="33" t="s">
        <v>159</v>
      </c>
    </row>
    <row r="59" spans="1:3" x14ac:dyDescent="0.3">
      <c r="A59" s="33">
        <v>311</v>
      </c>
      <c r="B59" s="33" t="s">
        <v>100</v>
      </c>
      <c r="C59" s="33" t="s">
        <v>132</v>
      </c>
    </row>
    <row r="60" spans="1:3" x14ac:dyDescent="0.3">
      <c r="A60" s="33">
        <v>465</v>
      </c>
      <c r="B60" s="33" t="s">
        <v>118</v>
      </c>
      <c r="C60" s="33" t="s">
        <v>119</v>
      </c>
    </row>
    <row r="61" spans="1:3" x14ac:dyDescent="0.3">
      <c r="A61" s="33">
        <v>449</v>
      </c>
      <c r="B61" s="33" t="s">
        <v>121</v>
      </c>
      <c r="C61" s="33" t="s">
        <v>122</v>
      </c>
    </row>
    <row r="62" spans="1:3" x14ac:dyDescent="0.3">
      <c r="A62" s="33">
        <v>144</v>
      </c>
      <c r="B62" s="33" t="s">
        <v>100</v>
      </c>
      <c r="C62" s="33" t="s">
        <v>152</v>
      </c>
    </row>
    <row r="63" spans="1:3" x14ac:dyDescent="0.3">
      <c r="A63" s="33">
        <v>375</v>
      </c>
      <c r="B63" s="33" t="s">
        <v>100</v>
      </c>
      <c r="C63" s="33" t="s">
        <v>101</v>
      </c>
    </row>
    <row r="64" spans="1:3" x14ac:dyDescent="0.3">
      <c r="A64" s="33">
        <v>408</v>
      </c>
      <c r="B64" s="33" t="s">
        <v>118</v>
      </c>
      <c r="C64" s="33" t="s">
        <v>156</v>
      </c>
    </row>
    <row r="65" spans="1:3" x14ac:dyDescent="0.3">
      <c r="A65" s="33">
        <v>425</v>
      </c>
      <c r="B65" s="33" t="s">
        <v>94</v>
      </c>
      <c r="C65" s="33" t="s">
        <v>128</v>
      </c>
    </row>
    <row r="66" spans="1:3" x14ac:dyDescent="0.3">
      <c r="A66" s="33">
        <v>277</v>
      </c>
      <c r="B66" s="33" t="s">
        <v>115</v>
      </c>
      <c r="C66" s="33" t="s">
        <v>116</v>
      </c>
    </row>
    <row r="67" spans="1:3" x14ac:dyDescent="0.3">
      <c r="A67" s="33">
        <v>130</v>
      </c>
      <c r="B67" s="33" t="s">
        <v>94</v>
      </c>
      <c r="C67" s="33" t="s">
        <v>95</v>
      </c>
    </row>
    <row r="68" spans="1:3" x14ac:dyDescent="0.3">
      <c r="A68" s="33">
        <v>30</v>
      </c>
      <c r="B68" s="33" t="s">
        <v>141</v>
      </c>
      <c r="C68" s="33" t="s">
        <v>142</v>
      </c>
    </row>
    <row r="69" spans="1:3" x14ac:dyDescent="0.3">
      <c r="A69" s="33">
        <v>75</v>
      </c>
      <c r="B69" s="33" t="s">
        <v>97</v>
      </c>
      <c r="C69" s="33" t="s">
        <v>160</v>
      </c>
    </row>
    <row r="70" spans="1:3" x14ac:dyDescent="0.3">
      <c r="A70" s="33">
        <v>118</v>
      </c>
      <c r="B70" s="33" t="s">
        <v>91</v>
      </c>
      <c r="C70" s="33" t="s">
        <v>92</v>
      </c>
    </row>
    <row r="71" spans="1:3" x14ac:dyDescent="0.3">
      <c r="A71" s="33">
        <v>19</v>
      </c>
      <c r="B71" s="33" t="s">
        <v>121</v>
      </c>
      <c r="C71" s="33" t="s">
        <v>161</v>
      </c>
    </row>
    <row r="72" spans="1:3" x14ac:dyDescent="0.3">
      <c r="A72" s="33">
        <v>204</v>
      </c>
      <c r="B72" s="33" t="s">
        <v>97</v>
      </c>
      <c r="C72" s="33" t="s">
        <v>98</v>
      </c>
    </row>
    <row r="73" spans="1:3" x14ac:dyDescent="0.3">
      <c r="A73" s="33">
        <v>304</v>
      </c>
      <c r="B73" s="33" t="s">
        <v>149</v>
      </c>
      <c r="C73" s="33" t="s">
        <v>150</v>
      </c>
    </row>
    <row r="74" spans="1:3" x14ac:dyDescent="0.3">
      <c r="A74" s="33">
        <v>189</v>
      </c>
      <c r="B74" s="33" t="s">
        <v>145</v>
      </c>
      <c r="C74" s="33" t="s">
        <v>162</v>
      </c>
    </row>
    <row r="75" spans="1:3" x14ac:dyDescent="0.3">
      <c r="A75" s="33">
        <v>392</v>
      </c>
      <c r="B75" s="33" t="s">
        <v>112</v>
      </c>
      <c r="C75" s="33" t="s">
        <v>163</v>
      </c>
    </row>
    <row r="76" spans="1:3" x14ac:dyDescent="0.3">
      <c r="A76" s="33">
        <v>10</v>
      </c>
      <c r="B76" s="33" t="s">
        <v>106</v>
      </c>
      <c r="C76" s="33" t="s">
        <v>107</v>
      </c>
    </row>
    <row r="77" spans="1:3" x14ac:dyDescent="0.3">
      <c r="A77" s="33">
        <v>64</v>
      </c>
      <c r="B77" s="33" t="s">
        <v>164</v>
      </c>
      <c r="C77" s="33" t="s">
        <v>165</v>
      </c>
    </row>
    <row r="78" spans="1:3" x14ac:dyDescent="0.3">
      <c r="A78" s="33">
        <v>334</v>
      </c>
      <c r="B78" s="33" t="s">
        <v>143</v>
      </c>
      <c r="C78" s="33" t="s">
        <v>166</v>
      </c>
    </row>
    <row r="79" spans="1:3" x14ac:dyDescent="0.3">
      <c r="A79" s="33">
        <v>345</v>
      </c>
      <c r="B79" s="33" t="s">
        <v>149</v>
      </c>
      <c r="C79" s="33" t="s">
        <v>150</v>
      </c>
    </row>
    <row r="80" spans="1:3" x14ac:dyDescent="0.3">
      <c r="A80" s="33">
        <v>281</v>
      </c>
      <c r="B80" s="33" t="s">
        <v>115</v>
      </c>
      <c r="C80" s="33" t="s">
        <v>131</v>
      </c>
    </row>
    <row r="81" spans="1:3" x14ac:dyDescent="0.3">
      <c r="A81" s="33">
        <v>276</v>
      </c>
      <c r="B81" s="33" t="s">
        <v>164</v>
      </c>
      <c r="C81" s="33" t="s">
        <v>167</v>
      </c>
    </row>
    <row r="82" spans="1:3" x14ac:dyDescent="0.3">
      <c r="A82" s="33">
        <v>234</v>
      </c>
      <c r="B82" s="33" t="s">
        <v>115</v>
      </c>
      <c r="C82" s="33" t="s">
        <v>116</v>
      </c>
    </row>
    <row r="83" spans="1:3" x14ac:dyDescent="0.3">
      <c r="A83" s="33">
        <v>319</v>
      </c>
      <c r="B83" s="33" t="s">
        <v>118</v>
      </c>
      <c r="C83" s="33" t="s">
        <v>156</v>
      </c>
    </row>
    <row r="84" spans="1:3" x14ac:dyDescent="0.3">
      <c r="A84" s="33">
        <v>24</v>
      </c>
      <c r="B84" s="33" t="s">
        <v>118</v>
      </c>
      <c r="C84" s="33" t="s">
        <v>168</v>
      </c>
    </row>
    <row r="85" spans="1:3" x14ac:dyDescent="0.3">
      <c r="A85" s="33">
        <v>357</v>
      </c>
      <c r="B85" s="33" t="s">
        <v>121</v>
      </c>
      <c r="C85" s="33" t="s">
        <v>161</v>
      </c>
    </row>
    <row r="86" spans="1:3" x14ac:dyDescent="0.3">
      <c r="A86" s="33">
        <v>265</v>
      </c>
      <c r="B86" s="33" t="s">
        <v>121</v>
      </c>
      <c r="C86" s="33" t="s">
        <v>21</v>
      </c>
    </row>
    <row r="87" spans="1:3" x14ac:dyDescent="0.3">
      <c r="A87" s="33">
        <v>102</v>
      </c>
      <c r="B87" s="33" t="s">
        <v>97</v>
      </c>
      <c r="C87" s="33" t="s">
        <v>160</v>
      </c>
    </row>
    <row r="88" spans="1:3" x14ac:dyDescent="0.3">
      <c r="A88" s="33">
        <v>212</v>
      </c>
      <c r="B88" s="33" t="s">
        <v>141</v>
      </c>
      <c r="C88" s="33" t="s">
        <v>169</v>
      </c>
    </row>
    <row r="89" spans="1:3" x14ac:dyDescent="0.3">
      <c r="A89" s="33">
        <v>215</v>
      </c>
      <c r="B89" s="33" t="s">
        <v>106</v>
      </c>
      <c r="C89" s="33" t="s">
        <v>107</v>
      </c>
    </row>
    <row r="90" spans="1:3" x14ac:dyDescent="0.3">
      <c r="A90" s="33">
        <v>364</v>
      </c>
      <c r="B90" s="33" t="s">
        <v>91</v>
      </c>
      <c r="C90" s="33" t="s">
        <v>170</v>
      </c>
    </row>
    <row r="91" spans="1:3" x14ac:dyDescent="0.3">
      <c r="A91" s="33">
        <v>499</v>
      </c>
      <c r="B91" s="33" t="s">
        <v>97</v>
      </c>
      <c r="C91" s="33" t="s">
        <v>171</v>
      </c>
    </row>
    <row r="92" spans="1:3" x14ac:dyDescent="0.3">
      <c r="A92" s="33">
        <v>202</v>
      </c>
      <c r="B92" s="33" t="s">
        <v>103</v>
      </c>
      <c r="C92" s="33" t="s">
        <v>147</v>
      </c>
    </row>
    <row r="93" spans="1:3" x14ac:dyDescent="0.3">
      <c r="A93" s="33">
        <v>244</v>
      </c>
      <c r="B93" s="33" t="s">
        <v>121</v>
      </c>
      <c r="C93" s="33" t="s">
        <v>126</v>
      </c>
    </row>
    <row r="94" spans="1:3" x14ac:dyDescent="0.3">
      <c r="A94" s="33">
        <v>363</v>
      </c>
      <c r="B94" s="33" t="s">
        <v>145</v>
      </c>
      <c r="C94" s="33" t="s">
        <v>162</v>
      </c>
    </row>
    <row r="95" spans="1:3" x14ac:dyDescent="0.3">
      <c r="A95" s="33">
        <v>434</v>
      </c>
      <c r="B95" s="33" t="s">
        <v>133</v>
      </c>
      <c r="C95" s="33" t="s">
        <v>172</v>
      </c>
    </row>
    <row r="96" spans="1:3" x14ac:dyDescent="0.3">
      <c r="A96" s="33">
        <v>305</v>
      </c>
      <c r="B96" s="33" t="s">
        <v>97</v>
      </c>
      <c r="C96" s="33" t="s">
        <v>171</v>
      </c>
    </row>
    <row r="97" spans="1:3" x14ac:dyDescent="0.3">
      <c r="A97" s="33">
        <v>37</v>
      </c>
      <c r="B97" s="33" t="s">
        <v>94</v>
      </c>
      <c r="C97" s="33" t="s">
        <v>95</v>
      </c>
    </row>
    <row r="98" spans="1:3" x14ac:dyDescent="0.3">
      <c r="A98" s="33">
        <v>242</v>
      </c>
      <c r="B98" s="33" t="s">
        <v>103</v>
      </c>
      <c r="C98" s="33" t="s">
        <v>147</v>
      </c>
    </row>
    <row r="99" spans="1:3" x14ac:dyDescent="0.3">
      <c r="A99" s="33">
        <v>332</v>
      </c>
      <c r="B99" s="33" t="s">
        <v>115</v>
      </c>
      <c r="C99" s="33" t="s">
        <v>173</v>
      </c>
    </row>
    <row r="100" spans="1:3" x14ac:dyDescent="0.3">
      <c r="A100" s="33">
        <v>452</v>
      </c>
      <c r="B100" s="33" t="s">
        <v>135</v>
      </c>
      <c r="C100" s="33" t="s">
        <v>136</v>
      </c>
    </row>
    <row r="101" spans="1:3" x14ac:dyDescent="0.3">
      <c r="A101" s="33">
        <v>132</v>
      </c>
      <c r="B101" s="33" t="s">
        <v>109</v>
      </c>
      <c r="C101" s="33" t="s">
        <v>110</v>
      </c>
    </row>
    <row r="102" spans="1:3" x14ac:dyDescent="0.3">
      <c r="A102" s="33">
        <v>457</v>
      </c>
      <c r="B102" s="33" t="s">
        <v>106</v>
      </c>
      <c r="C102" s="33" t="s">
        <v>174</v>
      </c>
    </row>
    <row r="103" spans="1:3" x14ac:dyDescent="0.3">
      <c r="A103" s="33">
        <v>250</v>
      </c>
      <c r="B103" s="33" t="s">
        <v>135</v>
      </c>
      <c r="C103" s="33" t="s">
        <v>175</v>
      </c>
    </row>
    <row r="104" spans="1:3" x14ac:dyDescent="0.3">
      <c r="A104" s="33">
        <v>195</v>
      </c>
      <c r="B104" s="33" t="s">
        <v>145</v>
      </c>
      <c r="C104" s="33" t="s">
        <v>176</v>
      </c>
    </row>
    <row r="105" spans="1:3" x14ac:dyDescent="0.3">
      <c r="A105" s="33">
        <v>186</v>
      </c>
      <c r="B105" s="33" t="s">
        <v>133</v>
      </c>
      <c r="C105" s="33" t="s">
        <v>140</v>
      </c>
    </row>
    <row r="106" spans="1:3" x14ac:dyDescent="0.3">
      <c r="A106" s="33">
        <v>490</v>
      </c>
      <c r="B106" s="33" t="s">
        <v>133</v>
      </c>
      <c r="C106" s="33" t="s">
        <v>172</v>
      </c>
    </row>
    <row r="107" spans="1:3" x14ac:dyDescent="0.3">
      <c r="A107" s="33">
        <v>72</v>
      </c>
      <c r="B107" s="33" t="s">
        <v>149</v>
      </c>
      <c r="C107" s="33" t="s">
        <v>159</v>
      </c>
    </row>
    <row r="108" spans="1:3" x14ac:dyDescent="0.3">
      <c r="A108" s="33">
        <v>430</v>
      </c>
      <c r="B108" s="33" t="s">
        <v>115</v>
      </c>
      <c r="C108" s="33" t="s">
        <v>177</v>
      </c>
    </row>
    <row r="109" spans="1:3" x14ac:dyDescent="0.3">
      <c r="A109" s="33">
        <v>223</v>
      </c>
      <c r="B109" s="33" t="s">
        <v>115</v>
      </c>
      <c r="C109" s="33" t="s">
        <v>116</v>
      </c>
    </row>
    <row r="110" spans="1:3" x14ac:dyDescent="0.3">
      <c r="A110" s="33">
        <v>164</v>
      </c>
      <c r="B110" s="33" t="s">
        <v>143</v>
      </c>
      <c r="C110" s="33" t="s">
        <v>178</v>
      </c>
    </row>
    <row r="111" spans="1:3" x14ac:dyDescent="0.3">
      <c r="A111" s="33">
        <v>393</v>
      </c>
      <c r="B111" s="33" t="s">
        <v>109</v>
      </c>
      <c r="C111" s="33" t="s">
        <v>179</v>
      </c>
    </row>
    <row r="112" spans="1:3" x14ac:dyDescent="0.3">
      <c r="A112" s="33">
        <v>166</v>
      </c>
      <c r="B112" s="33" t="s">
        <v>106</v>
      </c>
      <c r="C112" s="33" t="s">
        <v>151</v>
      </c>
    </row>
    <row r="113" spans="1:3" x14ac:dyDescent="0.3">
      <c r="A113" s="33">
        <v>249</v>
      </c>
      <c r="B113" s="33" t="s">
        <v>115</v>
      </c>
      <c r="C113" s="33" t="s">
        <v>131</v>
      </c>
    </row>
    <row r="114" spans="1:3" x14ac:dyDescent="0.3">
      <c r="A114" s="33">
        <v>83</v>
      </c>
      <c r="B114" s="33" t="s">
        <v>106</v>
      </c>
      <c r="C114" s="33" t="s">
        <v>155</v>
      </c>
    </row>
    <row r="115" spans="1:3" x14ac:dyDescent="0.3">
      <c r="A115" s="33">
        <v>236</v>
      </c>
      <c r="B115" s="33" t="s">
        <v>97</v>
      </c>
      <c r="C115" s="33" t="s">
        <v>171</v>
      </c>
    </row>
    <row r="116" spans="1:3" x14ac:dyDescent="0.3">
      <c r="A116" s="33">
        <v>379</v>
      </c>
      <c r="B116" s="33" t="s">
        <v>118</v>
      </c>
      <c r="C116" s="33" t="s">
        <v>180</v>
      </c>
    </row>
    <row r="117" spans="1:3" x14ac:dyDescent="0.3">
      <c r="A117" s="33">
        <v>431</v>
      </c>
      <c r="B117" s="33" t="s">
        <v>103</v>
      </c>
      <c r="C117" s="33" t="s">
        <v>181</v>
      </c>
    </row>
    <row r="118" spans="1:3" x14ac:dyDescent="0.3">
      <c r="A118" s="33">
        <v>463</v>
      </c>
      <c r="B118" s="33" t="s">
        <v>112</v>
      </c>
      <c r="C118" s="33" t="s">
        <v>163</v>
      </c>
    </row>
    <row r="119" spans="1:3" x14ac:dyDescent="0.3">
      <c r="A119" s="33">
        <v>494</v>
      </c>
      <c r="B119" s="33" t="s">
        <v>133</v>
      </c>
      <c r="C119" s="33" t="s">
        <v>172</v>
      </c>
    </row>
    <row r="120" spans="1:3" x14ac:dyDescent="0.3">
      <c r="A120" s="33">
        <v>394</v>
      </c>
      <c r="B120" s="33" t="s">
        <v>112</v>
      </c>
      <c r="C120" s="33" t="s">
        <v>163</v>
      </c>
    </row>
    <row r="121" spans="1:3" x14ac:dyDescent="0.3">
      <c r="A121" s="33">
        <v>380</v>
      </c>
      <c r="B121" s="33" t="s">
        <v>149</v>
      </c>
      <c r="C121" s="33" t="s">
        <v>159</v>
      </c>
    </row>
    <row r="122" spans="1:3" x14ac:dyDescent="0.3">
      <c r="A122" s="33">
        <v>309</v>
      </c>
      <c r="B122" s="33" t="s">
        <v>149</v>
      </c>
      <c r="C122" s="33" t="s">
        <v>150</v>
      </c>
    </row>
    <row r="123" spans="1:3" x14ac:dyDescent="0.3">
      <c r="A123" s="33">
        <v>112</v>
      </c>
      <c r="B123" s="33" t="s">
        <v>143</v>
      </c>
      <c r="C123" s="33" t="s">
        <v>178</v>
      </c>
    </row>
    <row r="124" spans="1:3" x14ac:dyDescent="0.3">
      <c r="A124" s="33">
        <v>81</v>
      </c>
      <c r="B124" s="33" t="s">
        <v>115</v>
      </c>
      <c r="C124" s="33" t="s">
        <v>173</v>
      </c>
    </row>
    <row r="125" spans="1:3" x14ac:dyDescent="0.3">
      <c r="A125" s="33">
        <v>4</v>
      </c>
      <c r="B125" s="33" t="s">
        <v>138</v>
      </c>
      <c r="C125" s="33" t="s">
        <v>139</v>
      </c>
    </row>
    <row r="126" spans="1:3" x14ac:dyDescent="0.3">
      <c r="A126" s="33">
        <v>209</v>
      </c>
      <c r="B126" s="33" t="s">
        <v>145</v>
      </c>
      <c r="C126" s="33" t="s">
        <v>182</v>
      </c>
    </row>
    <row r="127" spans="1:3" x14ac:dyDescent="0.3">
      <c r="A127" s="33">
        <v>156</v>
      </c>
      <c r="B127" s="33" t="s">
        <v>135</v>
      </c>
      <c r="C127" s="33" t="s">
        <v>175</v>
      </c>
    </row>
    <row r="128" spans="1:3" x14ac:dyDescent="0.3">
      <c r="A128" s="33">
        <v>441</v>
      </c>
      <c r="B128" s="33" t="s">
        <v>115</v>
      </c>
      <c r="C128" s="33" t="s">
        <v>131</v>
      </c>
    </row>
    <row r="129" spans="1:3" x14ac:dyDescent="0.3">
      <c r="A129" s="33">
        <v>180</v>
      </c>
      <c r="B129" s="33" t="s">
        <v>141</v>
      </c>
      <c r="C129" s="33" t="s">
        <v>183</v>
      </c>
    </row>
    <row r="130" spans="1:3" x14ac:dyDescent="0.3">
      <c r="A130" s="33">
        <v>438</v>
      </c>
      <c r="B130" s="33" t="s">
        <v>112</v>
      </c>
      <c r="C130" s="33" t="s">
        <v>184</v>
      </c>
    </row>
    <row r="131" spans="1:3" x14ac:dyDescent="0.3">
      <c r="A131" s="33">
        <v>232</v>
      </c>
      <c r="B131" s="33" t="s">
        <v>143</v>
      </c>
      <c r="C131" s="33" t="s">
        <v>144</v>
      </c>
    </row>
    <row r="132" spans="1:3" x14ac:dyDescent="0.3">
      <c r="A132" s="33">
        <v>206</v>
      </c>
      <c r="B132" s="33" t="s">
        <v>143</v>
      </c>
      <c r="C132" s="33" t="s">
        <v>166</v>
      </c>
    </row>
    <row r="133" spans="1:3" x14ac:dyDescent="0.3">
      <c r="A133" s="33">
        <v>295</v>
      </c>
      <c r="B133" s="33" t="s">
        <v>97</v>
      </c>
      <c r="C133" s="33" t="s">
        <v>160</v>
      </c>
    </row>
    <row r="134" spans="1:3" x14ac:dyDescent="0.3">
      <c r="A134" s="33">
        <v>221</v>
      </c>
      <c r="B134" s="33" t="s">
        <v>141</v>
      </c>
      <c r="C134" s="33" t="s">
        <v>142</v>
      </c>
    </row>
    <row r="135" spans="1:3" x14ac:dyDescent="0.3">
      <c r="A135" s="33">
        <v>333</v>
      </c>
      <c r="B135" s="33" t="s">
        <v>109</v>
      </c>
      <c r="C135" s="33" t="s">
        <v>148</v>
      </c>
    </row>
    <row r="136" spans="1:3" x14ac:dyDescent="0.3">
      <c r="A136" s="33">
        <v>498</v>
      </c>
      <c r="B136" s="33" t="s">
        <v>143</v>
      </c>
      <c r="C136" s="33" t="s">
        <v>166</v>
      </c>
    </row>
    <row r="137" spans="1:3" x14ac:dyDescent="0.3">
      <c r="A137" s="33">
        <v>476</v>
      </c>
      <c r="B137" s="33" t="s">
        <v>109</v>
      </c>
      <c r="C137" s="33" t="s">
        <v>185</v>
      </c>
    </row>
    <row r="138" spans="1:3" x14ac:dyDescent="0.3">
      <c r="A138" s="33">
        <v>126</v>
      </c>
      <c r="B138" s="33" t="s">
        <v>91</v>
      </c>
      <c r="C138" s="33" t="s">
        <v>170</v>
      </c>
    </row>
    <row r="139" spans="1:3" x14ac:dyDescent="0.3">
      <c r="A139" s="33">
        <v>255</v>
      </c>
      <c r="B139" s="33" t="s">
        <v>112</v>
      </c>
      <c r="C139" s="33" t="s">
        <v>184</v>
      </c>
    </row>
    <row r="140" spans="1:3" x14ac:dyDescent="0.3">
      <c r="A140" s="33">
        <v>138</v>
      </c>
      <c r="B140" s="33" t="s">
        <v>133</v>
      </c>
      <c r="C140" s="33" t="s">
        <v>172</v>
      </c>
    </row>
    <row r="141" spans="1:3" x14ac:dyDescent="0.3">
      <c r="A141" s="33">
        <v>403</v>
      </c>
      <c r="B141" s="33" t="s">
        <v>115</v>
      </c>
      <c r="C141" s="33" t="s">
        <v>177</v>
      </c>
    </row>
    <row r="142" spans="1:3" x14ac:dyDescent="0.3">
      <c r="A142" s="33">
        <v>280</v>
      </c>
      <c r="B142" s="33" t="s">
        <v>133</v>
      </c>
      <c r="C142" s="33" t="s">
        <v>140</v>
      </c>
    </row>
    <row r="143" spans="1:3" x14ac:dyDescent="0.3">
      <c r="A143" s="33">
        <v>356</v>
      </c>
      <c r="B143" s="33" t="s">
        <v>97</v>
      </c>
      <c r="C143" s="33" t="s">
        <v>171</v>
      </c>
    </row>
    <row r="144" spans="1:3" x14ac:dyDescent="0.3">
      <c r="A144" s="33">
        <v>282</v>
      </c>
      <c r="B144" s="33" t="s">
        <v>138</v>
      </c>
      <c r="C144" s="33" t="s">
        <v>153</v>
      </c>
    </row>
    <row r="145" spans="1:3" x14ac:dyDescent="0.3">
      <c r="A145" s="33">
        <v>459</v>
      </c>
      <c r="B145" s="33" t="s">
        <v>157</v>
      </c>
      <c r="C145" s="33" t="s">
        <v>186</v>
      </c>
    </row>
    <row r="146" spans="1:3" x14ac:dyDescent="0.3">
      <c r="A146" s="33">
        <v>402</v>
      </c>
      <c r="B146" s="33" t="s">
        <v>145</v>
      </c>
      <c r="C146" s="33" t="s">
        <v>176</v>
      </c>
    </row>
    <row r="147" spans="1:3" x14ac:dyDescent="0.3">
      <c r="A147" s="33">
        <v>320</v>
      </c>
      <c r="B147" s="33" t="s">
        <v>149</v>
      </c>
      <c r="C147" s="33" t="s">
        <v>159</v>
      </c>
    </row>
    <row r="148" spans="1:3" x14ac:dyDescent="0.3">
      <c r="A148" s="33">
        <v>447</v>
      </c>
      <c r="B148" s="33" t="s">
        <v>118</v>
      </c>
      <c r="C148" s="33" t="s">
        <v>156</v>
      </c>
    </row>
    <row r="149" spans="1:3" x14ac:dyDescent="0.3">
      <c r="A149" s="33">
        <v>406</v>
      </c>
      <c r="B149" s="33" t="s">
        <v>106</v>
      </c>
      <c r="C149" s="33" t="s">
        <v>107</v>
      </c>
    </row>
    <row r="150" spans="1:3" x14ac:dyDescent="0.3">
      <c r="A150" s="33">
        <v>391</v>
      </c>
      <c r="B150" s="33" t="s">
        <v>109</v>
      </c>
      <c r="C150" s="33" t="s">
        <v>185</v>
      </c>
    </row>
    <row r="151" spans="1:3" x14ac:dyDescent="0.3">
      <c r="A151" s="33">
        <v>82</v>
      </c>
      <c r="B151" s="33" t="s">
        <v>133</v>
      </c>
      <c r="C151" s="33" t="s">
        <v>187</v>
      </c>
    </row>
    <row r="152" spans="1:3" x14ac:dyDescent="0.3">
      <c r="A152" s="33">
        <v>243</v>
      </c>
      <c r="B152" s="33" t="s">
        <v>138</v>
      </c>
      <c r="C152" s="33" t="s">
        <v>139</v>
      </c>
    </row>
    <row r="153" spans="1:3" x14ac:dyDescent="0.3">
      <c r="A153" s="33">
        <v>432</v>
      </c>
      <c r="B153" s="33" t="s">
        <v>100</v>
      </c>
      <c r="C153" s="33" t="s">
        <v>101</v>
      </c>
    </row>
    <row r="154" spans="1:3" x14ac:dyDescent="0.3">
      <c r="A154" s="33">
        <v>159</v>
      </c>
      <c r="B154" s="33" t="s">
        <v>157</v>
      </c>
      <c r="C154" s="33" t="s">
        <v>186</v>
      </c>
    </row>
    <row r="155" spans="1:3" x14ac:dyDescent="0.3">
      <c r="A155" s="33">
        <v>197</v>
      </c>
      <c r="B155" s="33" t="s">
        <v>97</v>
      </c>
      <c r="C155" s="33" t="s">
        <v>98</v>
      </c>
    </row>
    <row r="156" spans="1:3" x14ac:dyDescent="0.3">
      <c r="A156" s="33">
        <v>110</v>
      </c>
      <c r="B156" s="33" t="s">
        <v>100</v>
      </c>
      <c r="C156" s="33" t="s">
        <v>132</v>
      </c>
    </row>
    <row r="157" spans="1:3" x14ac:dyDescent="0.3">
      <c r="A157" s="33">
        <v>288</v>
      </c>
      <c r="B157" s="33" t="s">
        <v>133</v>
      </c>
      <c r="C157" s="33" t="s">
        <v>187</v>
      </c>
    </row>
    <row r="158" spans="1:3" x14ac:dyDescent="0.3">
      <c r="A158" s="33">
        <v>493</v>
      </c>
      <c r="B158" s="33" t="s">
        <v>103</v>
      </c>
      <c r="C158" s="33" t="s">
        <v>147</v>
      </c>
    </row>
    <row r="159" spans="1:3" x14ac:dyDescent="0.3">
      <c r="A159" s="33">
        <v>446</v>
      </c>
      <c r="B159" s="33" t="s">
        <v>141</v>
      </c>
      <c r="C159" s="33" t="s">
        <v>169</v>
      </c>
    </row>
    <row r="160" spans="1:3" x14ac:dyDescent="0.3">
      <c r="A160" s="33">
        <v>428</v>
      </c>
      <c r="B160" s="33" t="s">
        <v>149</v>
      </c>
      <c r="C160" s="33" t="s">
        <v>159</v>
      </c>
    </row>
    <row r="161" spans="1:3" x14ac:dyDescent="0.3">
      <c r="A161" s="33">
        <v>192</v>
      </c>
      <c r="B161" s="33" t="s">
        <v>121</v>
      </c>
      <c r="C161" s="33" t="s">
        <v>161</v>
      </c>
    </row>
    <row r="162" spans="1:3" x14ac:dyDescent="0.3">
      <c r="A162" s="33">
        <v>69</v>
      </c>
      <c r="B162" s="33" t="s">
        <v>141</v>
      </c>
      <c r="C162" s="33" t="s">
        <v>188</v>
      </c>
    </row>
    <row r="163" spans="1:3" x14ac:dyDescent="0.3">
      <c r="A163" s="33">
        <v>270</v>
      </c>
      <c r="B163" s="33" t="s">
        <v>94</v>
      </c>
      <c r="C163" s="33" t="s">
        <v>189</v>
      </c>
    </row>
    <row r="164" spans="1:3" x14ac:dyDescent="0.3">
      <c r="A164" s="33">
        <v>348</v>
      </c>
      <c r="B164" s="33" t="s">
        <v>141</v>
      </c>
      <c r="C164" s="33" t="s">
        <v>188</v>
      </c>
    </row>
    <row r="165" spans="1:3" x14ac:dyDescent="0.3">
      <c r="A165" s="33">
        <v>321</v>
      </c>
      <c r="B165" s="33" t="s">
        <v>121</v>
      </c>
      <c r="C165" s="33" t="s">
        <v>126</v>
      </c>
    </row>
    <row r="166" spans="1:3" x14ac:dyDescent="0.3">
      <c r="A166" s="33">
        <v>341</v>
      </c>
      <c r="B166" s="33" t="s">
        <v>100</v>
      </c>
      <c r="C166" s="33" t="s">
        <v>137</v>
      </c>
    </row>
    <row r="167" spans="1:3" x14ac:dyDescent="0.3">
      <c r="A167" s="33">
        <v>473</v>
      </c>
      <c r="B167" s="33" t="s">
        <v>145</v>
      </c>
      <c r="C167" s="33" t="s">
        <v>146</v>
      </c>
    </row>
    <row r="168" spans="1:3" x14ac:dyDescent="0.3">
      <c r="A168" s="33">
        <v>482</v>
      </c>
      <c r="B168" s="33" t="s">
        <v>157</v>
      </c>
      <c r="C168" s="33" t="s">
        <v>158</v>
      </c>
    </row>
    <row r="169" spans="1:3" x14ac:dyDescent="0.3">
      <c r="A169" s="33">
        <v>169</v>
      </c>
      <c r="B169" s="33" t="s">
        <v>135</v>
      </c>
      <c r="C169" s="33" t="s">
        <v>190</v>
      </c>
    </row>
    <row r="170" spans="1:3" x14ac:dyDescent="0.3">
      <c r="A170" s="33">
        <v>397</v>
      </c>
      <c r="B170" s="33" t="s">
        <v>118</v>
      </c>
      <c r="C170" s="33" t="s">
        <v>119</v>
      </c>
    </row>
    <row r="171" spans="1:3" x14ac:dyDescent="0.3">
      <c r="A171" s="33">
        <v>436</v>
      </c>
      <c r="B171" s="33" t="s">
        <v>103</v>
      </c>
      <c r="C171" s="33" t="s">
        <v>181</v>
      </c>
    </row>
    <row r="172" spans="1:3" x14ac:dyDescent="0.3">
      <c r="A172" s="33">
        <v>369</v>
      </c>
      <c r="B172" s="33" t="s">
        <v>143</v>
      </c>
      <c r="C172" s="33" t="s">
        <v>166</v>
      </c>
    </row>
    <row r="173" spans="1:3" x14ac:dyDescent="0.3">
      <c r="A173" s="33">
        <v>361</v>
      </c>
      <c r="B173" s="33" t="s">
        <v>121</v>
      </c>
      <c r="C173" s="33" t="s">
        <v>126</v>
      </c>
    </row>
    <row r="174" spans="1:3" x14ac:dyDescent="0.3">
      <c r="A174" s="33">
        <v>87</v>
      </c>
      <c r="B174" s="33" t="s">
        <v>112</v>
      </c>
      <c r="C174" s="33" t="s">
        <v>113</v>
      </c>
    </row>
    <row r="175" spans="1:3" x14ac:dyDescent="0.3">
      <c r="A175" s="33">
        <v>376</v>
      </c>
      <c r="B175" s="33" t="s">
        <v>149</v>
      </c>
      <c r="C175" s="33" t="s">
        <v>191</v>
      </c>
    </row>
    <row r="176" spans="1:3" x14ac:dyDescent="0.3">
      <c r="A176" s="33">
        <v>111</v>
      </c>
      <c r="B176" s="33" t="s">
        <v>91</v>
      </c>
      <c r="C176" s="33" t="s">
        <v>124</v>
      </c>
    </row>
    <row r="177" spans="1:3" x14ac:dyDescent="0.3">
      <c r="A177" s="33">
        <v>344</v>
      </c>
      <c r="B177" s="33" t="s">
        <v>106</v>
      </c>
      <c r="C177" s="33" t="s">
        <v>155</v>
      </c>
    </row>
    <row r="178" spans="1:3" x14ac:dyDescent="0.3">
      <c r="A178" s="33">
        <v>462</v>
      </c>
      <c r="B178" s="33" t="s">
        <v>138</v>
      </c>
      <c r="C178" s="33" t="s">
        <v>139</v>
      </c>
    </row>
    <row r="179" spans="1:3" x14ac:dyDescent="0.3">
      <c r="A179" s="33">
        <v>279</v>
      </c>
      <c r="B179" s="33" t="s">
        <v>157</v>
      </c>
      <c r="C179" s="33" t="s">
        <v>192</v>
      </c>
    </row>
    <row r="180" spans="1:3" x14ac:dyDescent="0.3">
      <c r="A180" s="33">
        <v>322</v>
      </c>
      <c r="B180" s="33" t="s">
        <v>157</v>
      </c>
      <c r="C180" s="33" t="s">
        <v>192</v>
      </c>
    </row>
    <row r="181" spans="1:3" x14ac:dyDescent="0.3">
      <c r="A181" s="33">
        <v>317</v>
      </c>
      <c r="B181" s="33" t="s">
        <v>106</v>
      </c>
      <c r="C181" s="33" t="s">
        <v>107</v>
      </c>
    </row>
    <row r="182" spans="1:3" x14ac:dyDescent="0.3">
      <c r="A182" s="33">
        <v>25</v>
      </c>
      <c r="B182" s="33" t="s">
        <v>141</v>
      </c>
      <c r="C182" s="33" t="s">
        <v>183</v>
      </c>
    </row>
    <row r="183" spans="1:3" x14ac:dyDescent="0.3">
      <c r="A183" s="33">
        <v>410</v>
      </c>
      <c r="B183" s="33" t="s">
        <v>141</v>
      </c>
      <c r="C183" s="33" t="s">
        <v>169</v>
      </c>
    </row>
    <row r="184" spans="1:3" x14ac:dyDescent="0.3">
      <c r="A184" s="33">
        <v>207</v>
      </c>
      <c r="B184" s="33" t="s">
        <v>91</v>
      </c>
      <c r="C184" s="33" t="s">
        <v>193</v>
      </c>
    </row>
    <row r="185" spans="1:3" x14ac:dyDescent="0.3">
      <c r="A185" s="33">
        <v>131</v>
      </c>
      <c r="B185" s="33" t="s">
        <v>106</v>
      </c>
      <c r="C185" s="33" t="s">
        <v>155</v>
      </c>
    </row>
    <row r="186" spans="1:3" x14ac:dyDescent="0.3">
      <c r="A186" s="33">
        <v>96</v>
      </c>
      <c r="B186" s="33" t="s">
        <v>94</v>
      </c>
      <c r="C186" s="33" t="s">
        <v>194</v>
      </c>
    </row>
    <row r="187" spans="1:3" x14ac:dyDescent="0.3">
      <c r="A187" s="33">
        <v>268</v>
      </c>
      <c r="B187" s="33" t="s">
        <v>138</v>
      </c>
      <c r="C187" s="33" t="s">
        <v>158</v>
      </c>
    </row>
    <row r="188" spans="1:3" x14ac:dyDescent="0.3">
      <c r="A188" s="33">
        <v>358</v>
      </c>
      <c r="B188" s="33" t="s">
        <v>149</v>
      </c>
      <c r="C188" s="33" t="s">
        <v>195</v>
      </c>
    </row>
    <row r="189" spans="1:3" x14ac:dyDescent="0.3">
      <c r="A189" s="33">
        <v>160</v>
      </c>
      <c r="B189" s="33" t="s">
        <v>157</v>
      </c>
      <c r="C189" s="33" t="s">
        <v>158</v>
      </c>
    </row>
    <row r="190" spans="1:3" x14ac:dyDescent="0.3">
      <c r="A190" s="33">
        <v>23</v>
      </c>
      <c r="B190" s="33" t="s">
        <v>109</v>
      </c>
      <c r="C190" s="33" t="s">
        <v>148</v>
      </c>
    </row>
    <row r="191" spans="1:3" x14ac:dyDescent="0.3">
      <c r="A191" s="33">
        <v>49</v>
      </c>
      <c r="B191" s="33" t="s">
        <v>138</v>
      </c>
      <c r="C191" s="33" t="s">
        <v>153</v>
      </c>
    </row>
    <row r="192" spans="1:3" x14ac:dyDescent="0.3">
      <c r="A192" s="33">
        <v>485</v>
      </c>
      <c r="B192" s="33" t="s">
        <v>100</v>
      </c>
      <c r="C192" s="33" t="s">
        <v>101</v>
      </c>
    </row>
    <row r="193" spans="1:3" x14ac:dyDescent="0.3">
      <c r="A193" s="33">
        <v>40</v>
      </c>
      <c r="B193" s="33" t="s">
        <v>164</v>
      </c>
      <c r="C193" s="33" t="s">
        <v>196</v>
      </c>
    </row>
    <row r="194" spans="1:3" x14ac:dyDescent="0.3">
      <c r="A194" s="33">
        <v>275</v>
      </c>
      <c r="B194" s="33" t="s">
        <v>133</v>
      </c>
      <c r="C194" s="33" t="s">
        <v>172</v>
      </c>
    </row>
    <row r="195" spans="1:3" x14ac:dyDescent="0.3">
      <c r="A195" s="33">
        <v>205</v>
      </c>
      <c r="B195" s="33" t="s">
        <v>100</v>
      </c>
      <c r="C195" s="33" t="s">
        <v>101</v>
      </c>
    </row>
    <row r="196" spans="1:3" x14ac:dyDescent="0.3">
      <c r="A196" s="33">
        <v>219</v>
      </c>
      <c r="B196" s="33" t="s">
        <v>118</v>
      </c>
      <c r="C196" s="33" t="s">
        <v>168</v>
      </c>
    </row>
    <row r="197" spans="1:3" x14ac:dyDescent="0.3">
      <c r="A197" s="33">
        <v>435</v>
      </c>
      <c r="B197" s="33" t="s">
        <v>121</v>
      </c>
      <c r="C197" s="33" t="s">
        <v>161</v>
      </c>
    </row>
    <row r="198" spans="1:3" x14ac:dyDescent="0.3">
      <c r="A198" s="33">
        <v>26</v>
      </c>
      <c r="B198" s="33" t="s">
        <v>121</v>
      </c>
      <c r="C198" s="33" t="s">
        <v>126</v>
      </c>
    </row>
    <row r="199" spans="1:3" x14ac:dyDescent="0.3">
      <c r="A199" s="33">
        <v>273</v>
      </c>
      <c r="B199" s="33" t="s">
        <v>149</v>
      </c>
      <c r="C199" s="33" t="s">
        <v>191</v>
      </c>
    </row>
    <row r="200" spans="1:3" x14ac:dyDescent="0.3">
      <c r="A200" s="33">
        <v>340</v>
      </c>
      <c r="B200" s="33" t="s">
        <v>133</v>
      </c>
      <c r="C200" s="33" t="s">
        <v>134</v>
      </c>
    </row>
    <row r="201" spans="1:3" x14ac:dyDescent="0.3">
      <c r="A201" s="33">
        <v>34</v>
      </c>
      <c r="B201" s="33" t="s">
        <v>157</v>
      </c>
      <c r="C201" s="33" t="s">
        <v>197</v>
      </c>
    </row>
    <row r="202" spans="1:3" x14ac:dyDescent="0.3">
      <c r="A202" s="33">
        <v>117</v>
      </c>
      <c r="B202" s="33" t="s">
        <v>100</v>
      </c>
      <c r="C202" s="33" t="s">
        <v>152</v>
      </c>
    </row>
    <row r="203" spans="1:3" x14ac:dyDescent="0.3">
      <c r="A203" s="33">
        <v>201</v>
      </c>
      <c r="B203" s="33" t="s">
        <v>97</v>
      </c>
      <c r="C203" s="33" t="s">
        <v>160</v>
      </c>
    </row>
    <row r="204" spans="1:3" x14ac:dyDescent="0.3">
      <c r="A204" s="33">
        <v>377</v>
      </c>
      <c r="B204" s="33" t="s">
        <v>164</v>
      </c>
      <c r="C204" s="33" t="s">
        <v>165</v>
      </c>
    </row>
    <row r="205" spans="1:3" x14ac:dyDescent="0.3">
      <c r="A205" s="33">
        <v>251</v>
      </c>
      <c r="B205" s="33" t="s">
        <v>103</v>
      </c>
      <c r="C205" s="33" t="s">
        <v>181</v>
      </c>
    </row>
    <row r="206" spans="1:3" x14ac:dyDescent="0.3">
      <c r="A206" s="33">
        <v>409</v>
      </c>
      <c r="B206" s="33" t="s">
        <v>135</v>
      </c>
      <c r="C206" s="33" t="s">
        <v>190</v>
      </c>
    </row>
    <row r="207" spans="1:3" x14ac:dyDescent="0.3">
      <c r="A207" s="33">
        <v>422</v>
      </c>
      <c r="B207" s="33" t="s">
        <v>112</v>
      </c>
      <c r="C207" s="33" t="s">
        <v>184</v>
      </c>
    </row>
    <row r="208" spans="1:3" x14ac:dyDescent="0.3">
      <c r="A208" s="33">
        <v>222</v>
      </c>
      <c r="B208" s="33" t="s">
        <v>143</v>
      </c>
      <c r="C208" s="33" t="s">
        <v>144</v>
      </c>
    </row>
    <row r="209" spans="1:3" x14ac:dyDescent="0.3">
      <c r="A209" s="33">
        <v>497</v>
      </c>
      <c r="B209" s="33" t="s">
        <v>149</v>
      </c>
      <c r="C209" s="33" t="s">
        <v>159</v>
      </c>
    </row>
    <row r="210" spans="1:3" x14ac:dyDescent="0.3">
      <c r="A210" s="33">
        <v>351</v>
      </c>
      <c r="B210" s="33" t="s">
        <v>141</v>
      </c>
      <c r="C210" s="33" t="s">
        <v>183</v>
      </c>
    </row>
    <row r="211" spans="1:3" x14ac:dyDescent="0.3">
      <c r="A211" s="33">
        <v>464</v>
      </c>
      <c r="B211" s="33" t="s">
        <v>133</v>
      </c>
      <c r="C211" s="33" t="s">
        <v>172</v>
      </c>
    </row>
    <row r="212" spans="1:3" x14ac:dyDescent="0.3">
      <c r="A212" s="33">
        <v>241</v>
      </c>
      <c r="B212" s="33" t="s">
        <v>164</v>
      </c>
      <c r="C212" s="33" t="s">
        <v>165</v>
      </c>
    </row>
    <row r="213" spans="1:3" x14ac:dyDescent="0.3">
      <c r="A213" s="33">
        <v>258</v>
      </c>
      <c r="B213" s="33" t="s">
        <v>109</v>
      </c>
      <c r="C213" s="33" t="s">
        <v>148</v>
      </c>
    </row>
    <row r="214" spans="1:3" x14ac:dyDescent="0.3">
      <c r="A214" s="33">
        <v>216</v>
      </c>
      <c r="B214" s="33" t="s">
        <v>112</v>
      </c>
      <c r="C214" s="33" t="s">
        <v>163</v>
      </c>
    </row>
    <row r="215" spans="1:3" x14ac:dyDescent="0.3">
      <c r="A215" s="33">
        <v>272</v>
      </c>
      <c r="B215" s="33" t="s">
        <v>157</v>
      </c>
      <c r="C215" s="33" t="s">
        <v>197</v>
      </c>
    </row>
    <row r="216" spans="1:3" x14ac:dyDescent="0.3">
      <c r="A216" s="33">
        <v>225</v>
      </c>
      <c r="B216" s="33" t="s">
        <v>94</v>
      </c>
      <c r="C216" s="33" t="s">
        <v>95</v>
      </c>
    </row>
    <row r="217" spans="1:3" x14ac:dyDescent="0.3">
      <c r="A217" s="33">
        <v>467</v>
      </c>
      <c r="B217" s="33" t="s">
        <v>100</v>
      </c>
      <c r="C217" s="33" t="s">
        <v>101</v>
      </c>
    </row>
    <row r="218" spans="1:3" x14ac:dyDescent="0.3">
      <c r="A218" s="33">
        <v>139</v>
      </c>
      <c r="B218" s="33" t="s">
        <v>118</v>
      </c>
      <c r="C218" s="33" t="s">
        <v>119</v>
      </c>
    </row>
    <row r="219" spans="1:3" x14ac:dyDescent="0.3">
      <c r="A219" s="33">
        <v>404</v>
      </c>
      <c r="B219" s="33" t="s">
        <v>118</v>
      </c>
      <c r="C219" s="33" t="s">
        <v>119</v>
      </c>
    </row>
    <row r="220" spans="1:3" x14ac:dyDescent="0.3">
      <c r="A220" s="33">
        <v>328</v>
      </c>
      <c r="B220" s="33" t="s">
        <v>141</v>
      </c>
      <c r="C220" s="33" t="s">
        <v>183</v>
      </c>
    </row>
    <row r="221" spans="1:3" x14ac:dyDescent="0.3">
      <c r="A221" s="33">
        <v>424</v>
      </c>
      <c r="B221" s="33" t="s">
        <v>97</v>
      </c>
      <c r="C221" s="33" t="s">
        <v>154</v>
      </c>
    </row>
    <row r="222" spans="1:3" x14ac:dyDescent="0.3">
      <c r="A222" s="33">
        <v>86</v>
      </c>
      <c r="B222" s="33" t="s">
        <v>91</v>
      </c>
      <c r="C222" s="33" t="s">
        <v>170</v>
      </c>
    </row>
    <row r="223" spans="1:3" x14ac:dyDescent="0.3">
      <c r="A223" s="33">
        <v>17</v>
      </c>
      <c r="B223" s="33" t="s">
        <v>112</v>
      </c>
      <c r="C223" s="33" t="s">
        <v>113</v>
      </c>
    </row>
    <row r="224" spans="1:3" x14ac:dyDescent="0.3">
      <c r="A224" s="33">
        <v>43</v>
      </c>
      <c r="B224" s="33" t="s">
        <v>97</v>
      </c>
      <c r="C224" s="33" t="s">
        <v>154</v>
      </c>
    </row>
    <row r="225" spans="1:3" x14ac:dyDescent="0.3">
      <c r="A225" s="33">
        <v>5</v>
      </c>
      <c r="B225" s="33" t="s">
        <v>100</v>
      </c>
      <c r="C225" s="33" t="s">
        <v>152</v>
      </c>
    </row>
    <row r="226" spans="1:3" x14ac:dyDescent="0.3">
      <c r="A226" s="33">
        <v>298</v>
      </c>
      <c r="B226" s="33" t="s">
        <v>157</v>
      </c>
      <c r="C226" s="33" t="s">
        <v>192</v>
      </c>
    </row>
    <row r="227" spans="1:3" x14ac:dyDescent="0.3">
      <c r="A227" s="33">
        <v>421</v>
      </c>
      <c r="B227" s="33" t="s">
        <v>115</v>
      </c>
      <c r="C227" s="33" t="s">
        <v>116</v>
      </c>
    </row>
    <row r="228" spans="1:3" x14ac:dyDescent="0.3">
      <c r="A228" s="33">
        <v>483</v>
      </c>
      <c r="B228" s="33" t="s">
        <v>164</v>
      </c>
      <c r="C228" s="33" t="s">
        <v>167</v>
      </c>
    </row>
    <row r="229" spans="1:3" x14ac:dyDescent="0.3">
      <c r="A229" s="33">
        <v>414</v>
      </c>
      <c r="B229" s="33" t="s">
        <v>135</v>
      </c>
      <c r="C229" s="33" t="s">
        <v>136</v>
      </c>
    </row>
    <row r="230" spans="1:3" x14ac:dyDescent="0.3">
      <c r="A230" s="33">
        <v>389</v>
      </c>
      <c r="B230" s="33" t="s">
        <v>115</v>
      </c>
      <c r="C230" s="33" t="s">
        <v>177</v>
      </c>
    </row>
    <row r="231" spans="1:3" x14ac:dyDescent="0.3">
      <c r="A231" s="33">
        <v>367</v>
      </c>
      <c r="B231" s="33" t="s">
        <v>164</v>
      </c>
      <c r="C231" s="33" t="s">
        <v>165</v>
      </c>
    </row>
    <row r="232" spans="1:3" x14ac:dyDescent="0.3">
      <c r="A232" s="33">
        <v>128</v>
      </c>
      <c r="B232" s="33" t="s">
        <v>121</v>
      </c>
      <c r="C232" s="33" t="s">
        <v>21</v>
      </c>
    </row>
    <row r="233" spans="1:3" x14ac:dyDescent="0.3">
      <c r="A233" s="33">
        <v>368</v>
      </c>
      <c r="B233" s="33" t="s">
        <v>133</v>
      </c>
      <c r="C233" s="33" t="s">
        <v>172</v>
      </c>
    </row>
    <row r="234" spans="1:3" x14ac:dyDescent="0.3">
      <c r="A234" s="33">
        <v>74</v>
      </c>
      <c r="B234" s="33" t="s">
        <v>164</v>
      </c>
      <c r="C234" s="33" t="s">
        <v>198</v>
      </c>
    </row>
    <row r="235" spans="1:3" x14ac:dyDescent="0.3">
      <c r="A235" s="33">
        <v>149</v>
      </c>
      <c r="B235" s="33" t="s">
        <v>149</v>
      </c>
      <c r="C235" s="33" t="s">
        <v>159</v>
      </c>
    </row>
    <row r="236" spans="1:3" x14ac:dyDescent="0.3">
      <c r="A236" s="33">
        <v>229</v>
      </c>
      <c r="B236" s="33" t="s">
        <v>121</v>
      </c>
      <c r="C236" s="33" t="s">
        <v>126</v>
      </c>
    </row>
    <row r="237" spans="1:3" x14ac:dyDescent="0.3">
      <c r="A237" s="33">
        <v>28</v>
      </c>
      <c r="B237" s="33" t="s">
        <v>157</v>
      </c>
      <c r="C237" s="33" t="s">
        <v>186</v>
      </c>
    </row>
    <row r="238" spans="1:3" x14ac:dyDescent="0.3">
      <c r="A238" s="33">
        <v>260</v>
      </c>
      <c r="B238" s="33" t="s">
        <v>94</v>
      </c>
      <c r="C238" s="33" t="s">
        <v>128</v>
      </c>
    </row>
    <row r="239" spans="1:3" x14ac:dyDescent="0.3">
      <c r="A239" s="33">
        <v>140</v>
      </c>
      <c r="B239" s="33" t="s">
        <v>138</v>
      </c>
      <c r="C239" s="33" t="s">
        <v>139</v>
      </c>
    </row>
    <row r="240" spans="1:3" x14ac:dyDescent="0.3">
      <c r="A240" s="33">
        <v>67</v>
      </c>
      <c r="B240" s="33" t="s">
        <v>118</v>
      </c>
      <c r="C240" s="33" t="s">
        <v>168</v>
      </c>
    </row>
    <row r="241" spans="1:3" x14ac:dyDescent="0.3">
      <c r="A241" s="33">
        <v>448</v>
      </c>
      <c r="B241" s="33" t="s">
        <v>118</v>
      </c>
      <c r="C241" s="33" t="s">
        <v>119</v>
      </c>
    </row>
    <row r="242" spans="1:3" x14ac:dyDescent="0.3">
      <c r="A242" s="33">
        <v>331</v>
      </c>
      <c r="B242" s="33" t="s">
        <v>94</v>
      </c>
      <c r="C242" s="33" t="s">
        <v>194</v>
      </c>
    </row>
    <row r="243" spans="1:3" x14ac:dyDescent="0.3">
      <c r="A243" s="33">
        <v>325</v>
      </c>
      <c r="B243" s="33" t="s">
        <v>106</v>
      </c>
      <c r="C243" s="33" t="s">
        <v>151</v>
      </c>
    </row>
    <row r="244" spans="1:3" x14ac:dyDescent="0.3">
      <c r="A244" s="33">
        <v>346</v>
      </c>
      <c r="B244" s="33" t="s">
        <v>115</v>
      </c>
      <c r="C244" s="33" t="s">
        <v>116</v>
      </c>
    </row>
    <row r="245" spans="1:3" x14ac:dyDescent="0.3">
      <c r="A245" s="33">
        <v>115</v>
      </c>
      <c r="B245" s="33" t="s">
        <v>133</v>
      </c>
      <c r="C245" s="33" t="s">
        <v>140</v>
      </c>
    </row>
    <row r="246" spans="1:3" x14ac:dyDescent="0.3">
      <c r="A246" s="33">
        <v>360</v>
      </c>
      <c r="B246" s="33" t="s">
        <v>94</v>
      </c>
      <c r="C246" s="33" t="s">
        <v>189</v>
      </c>
    </row>
    <row r="247" spans="1:3" x14ac:dyDescent="0.3">
      <c r="A247" s="33">
        <v>230</v>
      </c>
      <c r="B247" s="33" t="s">
        <v>106</v>
      </c>
      <c r="C247" s="33" t="s">
        <v>107</v>
      </c>
    </row>
    <row r="248" spans="1:3" x14ac:dyDescent="0.3">
      <c r="A248" s="33">
        <v>353</v>
      </c>
      <c r="B248" s="33" t="s">
        <v>100</v>
      </c>
      <c r="C248" s="33" t="s">
        <v>132</v>
      </c>
    </row>
    <row r="249" spans="1:3" x14ac:dyDescent="0.3">
      <c r="A249" s="33">
        <v>188</v>
      </c>
      <c r="B249" s="33" t="s">
        <v>143</v>
      </c>
      <c r="C249" s="33" t="s">
        <v>199</v>
      </c>
    </row>
    <row r="250" spans="1:3" x14ac:dyDescent="0.3">
      <c r="A250" s="33">
        <v>405</v>
      </c>
      <c r="B250" s="33" t="s">
        <v>145</v>
      </c>
      <c r="C250" s="33" t="s">
        <v>176</v>
      </c>
    </row>
    <row r="251" spans="1:3" x14ac:dyDescent="0.3">
      <c r="A251" s="33">
        <v>99</v>
      </c>
      <c r="B251" s="33" t="s">
        <v>103</v>
      </c>
      <c r="C251" s="33" t="s">
        <v>200</v>
      </c>
    </row>
    <row r="252" spans="1:3" x14ac:dyDescent="0.3">
      <c r="A252" s="33">
        <v>196</v>
      </c>
      <c r="B252" s="33" t="s">
        <v>149</v>
      </c>
      <c r="C252" s="33" t="s">
        <v>150</v>
      </c>
    </row>
    <row r="253" spans="1:3" x14ac:dyDescent="0.3">
      <c r="A253" s="33">
        <v>271</v>
      </c>
      <c r="B253" s="33" t="s">
        <v>133</v>
      </c>
      <c r="C253" s="33" t="s">
        <v>172</v>
      </c>
    </row>
    <row r="254" spans="1:3" x14ac:dyDescent="0.3">
      <c r="A254" s="33">
        <v>210</v>
      </c>
      <c r="B254" s="33" t="s">
        <v>164</v>
      </c>
      <c r="C254" s="33" t="s">
        <v>165</v>
      </c>
    </row>
    <row r="255" spans="1:3" x14ac:dyDescent="0.3">
      <c r="A255" s="33">
        <v>178</v>
      </c>
      <c r="B255" s="33" t="s">
        <v>118</v>
      </c>
      <c r="C255" s="33" t="s">
        <v>119</v>
      </c>
    </row>
    <row r="256" spans="1:3" x14ac:dyDescent="0.3">
      <c r="A256" s="33">
        <v>423</v>
      </c>
      <c r="B256" s="33" t="s">
        <v>141</v>
      </c>
      <c r="C256" s="33" t="s">
        <v>142</v>
      </c>
    </row>
    <row r="257" spans="1:3" x14ac:dyDescent="0.3">
      <c r="A257" s="33">
        <v>70</v>
      </c>
      <c r="B257" s="33" t="s">
        <v>138</v>
      </c>
      <c r="C257" s="33" t="s">
        <v>158</v>
      </c>
    </row>
    <row r="258" spans="1:3" x14ac:dyDescent="0.3">
      <c r="A258" s="33">
        <v>335</v>
      </c>
      <c r="B258" s="33" t="s">
        <v>145</v>
      </c>
      <c r="C258" s="33" t="s">
        <v>176</v>
      </c>
    </row>
    <row r="259" spans="1:3" x14ac:dyDescent="0.3">
      <c r="A259" s="33">
        <v>427</v>
      </c>
      <c r="B259" s="33" t="s">
        <v>145</v>
      </c>
      <c r="C259" s="33" t="s">
        <v>182</v>
      </c>
    </row>
    <row r="260" spans="1:3" x14ac:dyDescent="0.3">
      <c r="A260" s="33">
        <v>303</v>
      </c>
      <c r="B260" s="33" t="s">
        <v>135</v>
      </c>
      <c r="C260" s="33" t="s">
        <v>190</v>
      </c>
    </row>
    <row r="261" spans="1:3" x14ac:dyDescent="0.3">
      <c r="A261" s="33">
        <v>398</v>
      </c>
      <c r="B261" s="33" t="s">
        <v>106</v>
      </c>
      <c r="C261" s="33" t="s">
        <v>107</v>
      </c>
    </row>
    <row r="262" spans="1:3" x14ac:dyDescent="0.3">
      <c r="A262" s="33">
        <v>290</v>
      </c>
      <c r="B262" s="33" t="s">
        <v>91</v>
      </c>
      <c r="C262" s="33" t="s">
        <v>92</v>
      </c>
    </row>
    <row r="263" spans="1:3" x14ac:dyDescent="0.3">
      <c r="A263" s="33">
        <v>386</v>
      </c>
      <c r="B263" s="33" t="s">
        <v>157</v>
      </c>
      <c r="C263" s="33" t="s">
        <v>192</v>
      </c>
    </row>
    <row r="264" spans="1:3" x14ac:dyDescent="0.3">
      <c r="A264" s="33">
        <v>350</v>
      </c>
      <c r="B264" s="33" t="s">
        <v>135</v>
      </c>
      <c r="C264" s="33" t="s">
        <v>175</v>
      </c>
    </row>
    <row r="265" spans="1:3" x14ac:dyDescent="0.3">
      <c r="A265" s="33">
        <v>329</v>
      </c>
      <c r="B265" s="33" t="s">
        <v>94</v>
      </c>
      <c r="C265" s="33" t="s">
        <v>189</v>
      </c>
    </row>
    <row r="266" spans="1:3" x14ac:dyDescent="0.3">
      <c r="A266" s="33">
        <v>233</v>
      </c>
      <c r="B266" s="33" t="s">
        <v>118</v>
      </c>
      <c r="C266" s="33" t="s">
        <v>119</v>
      </c>
    </row>
    <row r="267" spans="1:3" x14ac:dyDescent="0.3">
      <c r="A267" s="33">
        <v>293</v>
      </c>
      <c r="B267" s="33" t="s">
        <v>149</v>
      </c>
      <c r="C267" s="33" t="s">
        <v>159</v>
      </c>
    </row>
    <row r="268" spans="1:3" x14ac:dyDescent="0.3">
      <c r="A268" s="33">
        <v>286</v>
      </c>
      <c r="B268" s="33" t="s">
        <v>118</v>
      </c>
      <c r="C268" s="33" t="s">
        <v>119</v>
      </c>
    </row>
    <row r="269" spans="1:3" x14ac:dyDescent="0.3">
      <c r="A269" s="33">
        <v>11</v>
      </c>
      <c r="B269" s="33" t="s">
        <v>145</v>
      </c>
      <c r="C269" s="33" t="s">
        <v>182</v>
      </c>
    </row>
    <row r="270" spans="1:3" x14ac:dyDescent="0.3">
      <c r="A270" s="33">
        <v>142</v>
      </c>
      <c r="B270" s="33" t="s">
        <v>135</v>
      </c>
      <c r="C270" s="33" t="s">
        <v>190</v>
      </c>
    </row>
    <row r="271" spans="1:3" x14ac:dyDescent="0.3">
      <c r="A271" s="33">
        <v>466</v>
      </c>
      <c r="B271" s="33" t="s">
        <v>135</v>
      </c>
      <c r="C271" s="33" t="s">
        <v>201</v>
      </c>
    </row>
    <row r="272" spans="1:3" x14ac:dyDescent="0.3">
      <c r="A272" s="33">
        <v>71</v>
      </c>
      <c r="B272" s="33" t="s">
        <v>97</v>
      </c>
      <c r="C272" s="33" t="s">
        <v>160</v>
      </c>
    </row>
    <row r="273" spans="1:3" x14ac:dyDescent="0.3">
      <c r="A273" s="33">
        <v>480</v>
      </c>
      <c r="B273" s="33" t="s">
        <v>143</v>
      </c>
      <c r="C273" s="33" t="s">
        <v>178</v>
      </c>
    </row>
    <row r="274" spans="1:3" x14ac:dyDescent="0.3">
      <c r="A274" s="33">
        <v>129</v>
      </c>
      <c r="B274" s="33" t="s">
        <v>121</v>
      </c>
      <c r="C274" s="33" t="s">
        <v>122</v>
      </c>
    </row>
    <row r="275" spans="1:3" x14ac:dyDescent="0.3">
      <c r="A275" s="33">
        <v>283</v>
      </c>
      <c r="B275" s="33" t="s">
        <v>149</v>
      </c>
      <c r="C275" s="33" t="s">
        <v>150</v>
      </c>
    </row>
    <row r="276" spans="1:3" x14ac:dyDescent="0.3">
      <c r="A276" s="33">
        <v>313</v>
      </c>
      <c r="B276" s="33" t="s">
        <v>149</v>
      </c>
      <c r="C276" s="33" t="s">
        <v>159</v>
      </c>
    </row>
    <row r="277" spans="1:3" x14ac:dyDescent="0.3">
      <c r="A277" s="33">
        <v>18</v>
      </c>
      <c r="B277" s="33" t="s">
        <v>109</v>
      </c>
      <c r="C277" s="33" t="s">
        <v>110</v>
      </c>
    </row>
    <row r="278" spans="1:3" x14ac:dyDescent="0.3">
      <c r="A278" s="33">
        <v>145</v>
      </c>
      <c r="B278" s="33" t="s">
        <v>103</v>
      </c>
      <c r="C278" s="33" t="s">
        <v>200</v>
      </c>
    </row>
    <row r="279" spans="1:3" x14ac:dyDescent="0.3">
      <c r="A279" s="33">
        <v>491</v>
      </c>
      <c r="B279" s="33" t="s">
        <v>103</v>
      </c>
      <c r="C279" s="33" t="s">
        <v>104</v>
      </c>
    </row>
    <row r="280" spans="1:3" x14ac:dyDescent="0.3">
      <c r="A280" s="33">
        <v>29</v>
      </c>
      <c r="B280" s="33" t="s">
        <v>94</v>
      </c>
      <c r="C280" s="33" t="s">
        <v>95</v>
      </c>
    </row>
    <row r="281" spans="1:3" x14ac:dyDescent="0.3">
      <c r="A281" s="33">
        <v>50</v>
      </c>
      <c r="B281" s="33" t="s">
        <v>106</v>
      </c>
      <c r="C281" s="33" t="s">
        <v>151</v>
      </c>
    </row>
    <row r="282" spans="1:3" x14ac:dyDescent="0.3">
      <c r="A282" s="33">
        <v>336</v>
      </c>
      <c r="B282" s="33" t="s">
        <v>141</v>
      </c>
      <c r="C282" s="33" t="s">
        <v>188</v>
      </c>
    </row>
    <row r="283" spans="1:3" x14ac:dyDescent="0.3">
      <c r="A283" s="33">
        <v>440</v>
      </c>
      <c r="B283" s="33" t="s">
        <v>135</v>
      </c>
      <c r="C283" s="33" t="s">
        <v>190</v>
      </c>
    </row>
    <row r="284" spans="1:3" x14ac:dyDescent="0.3">
      <c r="A284" s="33">
        <v>51</v>
      </c>
      <c r="B284" s="33" t="s">
        <v>164</v>
      </c>
      <c r="C284" s="33" t="s">
        <v>167</v>
      </c>
    </row>
    <row r="285" spans="1:3" x14ac:dyDescent="0.3">
      <c r="A285" s="33">
        <v>371</v>
      </c>
      <c r="B285" s="33" t="s">
        <v>91</v>
      </c>
      <c r="C285" s="33" t="s">
        <v>170</v>
      </c>
    </row>
    <row r="286" spans="1:3" x14ac:dyDescent="0.3">
      <c r="A286" s="33">
        <v>14</v>
      </c>
      <c r="B286" s="33" t="s">
        <v>106</v>
      </c>
      <c r="C286" s="33" t="s">
        <v>174</v>
      </c>
    </row>
    <row r="287" spans="1:3" x14ac:dyDescent="0.3">
      <c r="A287" s="33">
        <v>312</v>
      </c>
      <c r="B287" s="33" t="s">
        <v>145</v>
      </c>
      <c r="C287" s="33" t="s">
        <v>176</v>
      </c>
    </row>
    <row r="288" spans="1:3" x14ac:dyDescent="0.3">
      <c r="A288" s="33">
        <v>477</v>
      </c>
      <c r="B288" s="33" t="s">
        <v>100</v>
      </c>
      <c r="C288" s="33" t="s">
        <v>101</v>
      </c>
    </row>
    <row r="289" spans="1:3" x14ac:dyDescent="0.3">
      <c r="A289" s="33">
        <v>91</v>
      </c>
      <c r="B289" s="33" t="s">
        <v>133</v>
      </c>
      <c r="C289" s="33" t="s">
        <v>172</v>
      </c>
    </row>
    <row r="290" spans="1:3" x14ac:dyDescent="0.3">
      <c r="A290" s="33">
        <v>52</v>
      </c>
      <c r="B290" s="33" t="s">
        <v>94</v>
      </c>
      <c r="C290" s="33" t="s">
        <v>95</v>
      </c>
    </row>
    <row r="291" spans="1:3" x14ac:dyDescent="0.3">
      <c r="A291" s="33">
        <v>383</v>
      </c>
      <c r="B291" s="33" t="s">
        <v>135</v>
      </c>
      <c r="C291" s="33" t="s">
        <v>190</v>
      </c>
    </row>
    <row r="292" spans="1:3" x14ac:dyDescent="0.3">
      <c r="A292" s="33">
        <v>252</v>
      </c>
      <c r="B292" s="33" t="s">
        <v>115</v>
      </c>
      <c r="C292" s="33" t="s">
        <v>131</v>
      </c>
    </row>
    <row r="293" spans="1:3" x14ac:dyDescent="0.3">
      <c r="A293" s="33">
        <v>365</v>
      </c>
      <c r="B293" s="33" t="s">
        <v>121</v>
      </c>
      <c r="C293" s="33" t="s">
        <v>122</v>
      </c>
    </row>
    <row r="294" spans="1:3" x14ac:dyDescent="0.3">
      <c r="A294" s="33">
        <v>420</v>
      </c>
      <c r="B294" s="33" t="s">
        <v>145</v>
      </c>
      <c r="C294" s="33" t="s">
        <v>146</v>
      </c>
    </row>
    <row r="295" spans="1:3" x14ac:dyDescent="0.3">
      <c r="A295" s="33">
        <v>97</v>
      </c>
      <c r="B295" s="33" t="s">
        <v>97</v>
      </c>
      <c r="C295" s="33" t="s">
        <v>154</v>
      </c>
    </row>
    <row r="296" spans="1:3" x14ac:dyDescent="0.3">
      <c r="A296" s="33">
        <v>47</v>
      </c>
      <c r="B296" s="33" t="s">
        <v>121</v>
      </c>
      <c r="C296" s="33" t="s">
        <v>161</v>
      </c>
    </row>
    <row r="297" spans="1:3" x14ac:dyDescent="0.3">
      <c r="A297" s="33">
        <v>187</v>
      </c>
      <c r="B297" s="33" t="s">
        <v>100</v>
      </c>
      <c r="C297" s="33" t="s">
        <v>132</v>
      </c>
    </row>
    <row r="298" spans="1:3" x14ac:dyDescent="0.3">
      <c r="A298" s="33">
        <v>429</v>
      </c>
      <c r="B298" s="33" t="s">
        <v>157</v>
      </c>
      <c r="C298" s="33" t="s">
        <v>192</v>
      </c>
    </row>
    <row r="299" spans="1:3" x14ac:dyDescent="0.3">
      <c r="A299" s="33">
        <v>93</v>
      </c>
      <c r="B299" s="33" t="s">
        <v>115</v>
      </c>
      <c r="C299" s="33" t="s">
        <v>116</v>
      </c>
    </row>
    <row r="300" spans="1:3" x14ac:dyDescent="0.3">
      <c r="A300" s="33">
        <v>198</v>
      </c>
      <c r="B300" s="33" t="s">
        <v>121</v>
      </c>
      <c r="C300" s="33" t="s">
        <v>21</v>
      </c>
    </row>
    <row r="301" spans="1:3" x14ac:dyDescent="0.3">
      <c r="A301" s="33">
        <v>362</v>
      </c>
      <c r="B301" s="33" t="s">
        <v>145</v>
      </c>
      <c r="C301" s="33" t="s">
        <v>182</v>
      </c>
    </row>
    <row r="302" spans="1:3" x14ac:dyDescent="0.3">
      <c r="A302" s="33">
        <v>461</v>
      </c>
      <c r="B302" s="33" t="s">
        <v>135</v>
      </c>
      <c r="C302" s="33" t="s">
        <v>201</v>
      </c>
    </row>
    <row r="303" spans="1:3" x14ac:dyDescent="0.3">
      <c r="A303" s="33">
        <v>84</v>
      </c>
      <c r="B303" s="33" t="s">
        <v>112</v>
      </c>
      <c r="C303" s="33" t="s">
        <v>202</v>
      </c>
    </row>
    <row r="304" spans="1:3" x14ac:dyDescent="0.3">
      <c r="A304" s="33">
        <v>172</v>
      </c>
      <c r="B304" s="33" t="s">
        <v>135</v>
      </c>
      <c r="C304" s="33" t="s">
        <v>201</v>
      </c>
    </row>
    <row r="305" spans="1:3" x14ac:dyDescent="0.3">
      <c r="A305" s="33">
        <v>171</v>
      </c>
      <c r="B305" s="33" t="s">
        <v>115</v>
      </c>
      <c r="C305" s="33" t="s">
        <v>116</v>
      </c>
    </row>
    <row r="306" spans="1:3" x14ac:dyDescent="0.3">
      <c r="A306" s="33">
        <v>194</v>
      </c>
      <c r="B306" s="33" t="s">
        <v>94</v>
      </c>
      <c r="C306" s="33" t="s">
        <v>194</v>
      </c>
    </row>
    <row r="307" spans="1:3" x14ac:dyDescent="0.3">
      <c r="A307" s="33">
        <v>235</v>
      </c>
      <c r="B307" s="33" t="s">
        <v>145</v>
      </c>
      <c r="C307" s="33" t="s">
        <v>182</v>
      </c>
    </row>
    <row r="308" spans="1:3" x14ac:dyDescent="0.3">
      <c r="A308" s="33">
        <v>458</v>
      </c>
      <c r="B308" s="33" t="s">
        <v>100</v>
      </c>
      <c r="C308" s="33" t="s">
        <v>101</v>
      </c>
    </row>
    <row r="309" spans="1:3" x14ac:dyDescent="0.3">
      <c r="A309" s="33">
        <v>193</v>
      </c>
      <c r="B309" s="33" t="s">
        <v>94</v>
      </c>
      <c r="C309" s="33" t="s">
        <v>194</v>
      </c>
    </row>
    <row r="310" spans="1:3" x14ac:dyDescent="0.3">
      <c r="A310" s="33">
        <v>450</v>
      </c>
      <c r="B310" s="33" t="s">
        <v>145</v>
      </c>
      <c r="C310" s="33" t="s">
        <v>146</v>
      </c>
    </row>
    <row r="311" spans="1:3" x14ac:dyDescent="0.3">
      <c r="A311" s="33">
        <v>163</v>
      </c>
      <c r="B311" s="33" t="s">
        <v>94</v>
      </c>
      <c r="C311" s="33" t="s">
        <v>128</v>
      </c>
    </row>
    <row r="312" spans="1:3" x14ac:dyDescent="0.3">
      <c r="A312" s="33">
        <v>12</v>
      </c>
      <c r="B312" s="33" t="s">
        <v>100</v>
      </c>
      <c r="C312" s="33" t="s">
        <v>137</v>
      </c>
    </row>
    <row r="313" spans="1:3" x14ac:dyDescent="0.3">
      <c r="A313" s="33">
        <v>61</v>
      </c>
      <c r="B313" s="33" t="s">
        <v>118</v>
      </c>
      <c r="C313" s="33" t="s">
        <v>156</v>
      </c>
    </row>
    <row r="314" spans="1:3" x14ac:dyDescent="0.3">
      <c r="A314" s="33">
        <v>15</v>
      </c>
      <c r="B314" s="33" t="s">
        <v>91</v>
      </c>
      <c r="C314" s="33" t="s">
        <v>193</v>
      </c>
    </row>
    <row r="315" spans="1:3" x14ac:dyDescent="0.3">
      <c r="A315" s="33">
        <v>90</v>
      </c>
      <c r="B315" s="33" t="s">
        <v>112</v>
      </c>
      <c r="C315" s="33" t="s">
        <v>184</v>
      </c>
    </row>
    <row r="316" spans="1:3" x14ac:dyDescent="0.3">
      <c r="A316" s="33">
        <v>396</v>
      </c>
      <c r="B316" s="33" t="s">
        <v>143</v>
      </c>
      <c r="C316" s="33" t="s">
        <v>166</v>
      </c>
    </row>
    <row r="317" spans="1:3" x14ac:dyDescent="0.3">
      <c r="A317" s="33">
        <v>481</v>
      </c>
      <c r="B317" s="33" t="s">
        <v>141</v>
      </c>
      <c r="C317" s="33" t="s">
        <v>142</v>
      </c>
    </row>
    <row r="318" spans="1:3" x14ac:dyDescent="0.3">
      <c r="A318" s="33">
        <v>246</v>
      </c>
      <c r="B318" s="33" t="s">
        <v>133</v>
      </c>
      <c r="C318" s="33" t="s">
        <v>140</v>
      </c>
    </row>
    <row r="319" spans="1:3" x14ac:dyDescent="0.3">
      <c r="A319" s="33">
        <v>174</v>
      </c>
      <c r="B319" s="33" t="s">
        <v>115</v>
      </c>
      <c r="C319" s="33" t="s">
        <v>177</v>
      </c>
    </row>
    <row r="320" spans="1:3" x14ac:dyDescent="0.3">
      <c r="A320" s="33">
        <v>479</v>
      </c>
      <c r="B320" s="33" t="s">
        <v>103</v>
      </c>
      <c r="C320" s="33" t="s">
        <v>181</v>
      </c>
    </row>
    <row r="321" spans="1:3" x14ac:dyDescent="0.3">
      <c r="A321" s="33">
        <v>224</v>
      </c>
      <c r="B321" s="33" t="s">
        <v>141</v>
      </c>
      <c r="C321" s="33" t="s">
        <v>142</v>
      </c>
    </row>
    <row r="322" spans="1:3" x14ac:dyDescent="0.3">
      <c r="A322" s="33">
        <v>42</v>
      </c>
      <c r="B322" s="33" t="s">
        <v>138</v>
      </c>
      <c r="C322" s="33" t="s">
        <v>158</v>
      </c>
    </row>
    <row r="323" spans="1:3" x14ac:dyDescent="0.3">
      <c r="A323" s="33">
        <v>267</v>
      </c>
      <c r="B323" s="33" t="s">
        <v>103</v>
      </c>
      <c r="C323" s="33" t="s">
        <v>200</v>
      </c>
    </row>
    <row r="324" spans="1:3" x14ac:dyDescent="0.3">
      <c r="A324" s="33">
        <v>161</v>
      </c>
      <c r="B324" s="33" t="s">
        <v>143</v>
      </c>
      <c r="C324" s="33" t="s">
        <v>144</v>
      </c>
    </row>
    <row r="325" spans="1:3" x14ac:dyDescent="0.3">
      <c r="A325" s="33">
        <v>315</v>
      </c>
      <c r="B325" s="33" t="s">
        <v>118</v>
      </c>
      <c r="C325" s="33" t="s">
        <v>168</v>
      </c>
    </row>
    <row r="326" spans="1:3" x14ac:dyDescent="0.3">
      <c r="A326" s="33">
        <v>121</v>
      </c>
      <c r="B326" s="33" t="s">
        <v>141</v>
      </c>
      <c r="C326" s="33" t="s">
        <v>142</v>
      </c>
    </row>
    <row r="327" spans="1:3" x14ac:dyDescent="0.3">
      <c r="A327" s="33">
        <v>433</v>
      </c>
      <c r="B327" s="33" t="s">
        <v>109</v>
      </c>
      <c r="C327" s="33" t="s">
        <v>110</v>
      </c>
    </row>
    <row r="328" spans="1:3" x14ac:dyDescent="0.3">
      <c r="A328" s="33">
        <v>453</v>
      </c>
      <c r="B328" s="33" t="s">
        <v>100</v>
      </c>
      <c r="C328" s="33" t="s">
        <v>137</v>
      </c>
    </row>
    <row r="329" spans="1:3" x14ac:dyDescent="0.3">
      <c r="A329" s="33">
        <v>248</v>
      </c>
      <c r="B329" s="33" t="s">
        <v>149</v>
      </c>
      <c r="C329" s="33" t="s">
        <v>191</v>
      </c>
    </row>
    <row r="330" spans="1:3" x14ac:dyDescent="0.3">
      <c r="A330" s="33">
        <v>492</v>
      </c>
      <c r="B330" s="33" t="s">
        <v>109</v>
      </c>
      <c r="C330" s="33" t="s">
        <v>179</v>
      </c>
    </row>
    <row r="331" spans="1:3" x14ac:dyDescent="0.3">
      <c r="A331" s="33">
        <v>122</v>
      </c>
      <c r="B331" s="33" t="s">
        <v>135</v>
      </c>
      <c r="C331" s="33" t="s">
        <v>175</v>
      </c>
    </row>
    <row r="332" spans="1:3" x14ac:dyDescent="0.3">
      <c r="A332" s="33">
        <v>62</v>
      </c>
      <c r="B332" s="33" t="s">
        <v>109</v>
      </c>
      <c r="C332" s="33" t="s">
        <v>185</v>
      </c>
    </row>
    <row r="333" spans="1:3" x14ac:dyDescent="0.3">
      <c r="A333" s="33">
        <v>119</v>
      </c>
      <c r="B333" s="33" t="s">
        <v>97</v>
      </c>
      <c r="C333" s="33" t="s">
        <v>154</v>
      </c>
    </row>
    <row r="334" spans="1:3" x14ac:dyDescent="0.3">
      <c r="A334" s="33">
        <v>388</v>
      </c>
      <c r="B334" s="33" t="s">
        <v>109</v>
      </c>
      <c r="C334" s="33" t="s">
        <v>110</v>
      </c>
    </row>
    <row r="335" spans="1:3" x14ac:dyDescent="0.3">
      <c r="A335" s="33">
        <v>66</v>
      </c>
      <c r="B335" s="33" t="s">
        <v>112</v>
      </c>
      <c r="C335" s="33" t="s">
        <v>163</v>
      </c>
    </row>
    <row r="336" spans="1:3" x14ac:dyDescent="0.3">
      <c r="A336" s="33">
        <v>125</v>
      </c>
      <c r="B336" s="33" t="s">
        <v>138</v>
      </c>
      <c r="C336" s="33" t="s">
        <v>186</v>
      </c>
    </row>
    <row r="337" spans="1:3" x14ac:dyDescent="0.3">
      <c r="A337" s="33">
        <v>274</v>
      </c>
      <c r="B337" s="33" t="s">
        <v>143</v>
      </c>
      <c r="C337" s="33" t="s">
        <v>144</v>
      </c>
    </row>
    <row r="338" spans="1:3" x14ac:dyDescent="0.3">
      <c r="A338" s="33">
        <v>471</v>
      </c>
      <c r="B338" s="33" t="s">
        <v>103</v>
      </c>
      <c r="C338" s="33" t="s">
        <v>104</v>
      </c>
    </row>
    <row r="339" spans="1:3" x14ac:dyDescent="0.3">
      <c r="A339" s="33">
        <v>395</v>
      </c>
      <c r="B339" s="33" t="s">
        <v>94</v>
      </c>
      <c r="C339" s="33" t="s">
        <v>189</v>
      </c>
    </row>
    <row r="340" spans="1:3" x14ac:dyDescent="0.3">
      <c r="A340" s="33">
        <v>474</v>
      </c>
      <c r="B340" s="33" t="s">
        <v>143</v>
      </c>
      <c r="C340" s="33" t="s">
        <v>144</v>
      </c>
    </row>
    <row r="341" spans="1:3" x14ac:dyDescent="0.3">
      <c r="A341" s="33">
        <v>63</v>
      </c>
      <c r="B341" s="33" t="s">
        <v>109</v>
      </c>
      <c r="C341" s="33" t="s">
        <v>185</v>
      </c>
    </row>
    <row r="342" spans="1:3" x14ac:dyDescent="0.3">
      <c r="A342" s="33">
        <v>89</v>
      </c>
      <c r="B342" s="33" t="s">
        <v>149</v>
      </c>
      <c r="C342" s="33" t="s">
        <v>150</v>
      </c>
    </row>
    <row r="343" spans="1:3" x14ac:dyDescent="0.3">
      <c r="A343" s="33">
        <v>27</v>
      </c>
      <c r="B343" s="33" t="s">
        <v>100</v>
      </c>
      <c r="C343" s="33" t="s">
        <v>132</v>
      </c>
    </row>
    <row r="344" spans="1:3" x14ac:dyDescent="0.3">
      <c r="A344" s="33">
        <v>127</v>
      </c>
      <c r="B344" s="33" t="s">
        <v>103</v>
      </c>
      <c r="C344" s="33" t="s">
        <v>200</v>
      </c>
    </row>
    <row r="345" spans="1:3" x14ac:dyDescent="0.3">
      <c r="A345" s="33">
        <v>426</v>
      </c>
      <c r="B345" s="33" t="s">
        <v>97</v>
      </c>
      <c r="C345" s="33" t="s">
        <v>171</v>
      </c>
    </row>
    <row r="346" spans="1:3" x14ac:dyDescent="0.3">
      <c r="A346" s="33">
        <v>355</v>
      </c>
      <c r="B346" s="33" t="s">
        <v>112</v>
      </c>
      <c r="C346" s="33" t="s">
        <v>113</v>
      </c>
    </row>
    <row r="347" spans="1:3" x14ac:dyDescent="0.3">
      <c r="A347" s="33">
        <v>113</v>
      </c>
      <c r="B347" s="33" t="s">
        <v>106</v>
      </c>
      <c r="C347" s="33" t="s">
        <v>151</v>
      </c>
    </row>
    <row r="348" spans="1:3" x14ac:dyDescent="0.3">
      <c r="A348" s="33">
        <v>291</v>
      </c>
      <c r="B348" s="33" t="s">
        <v>109</v>
      </c>
      <c r="C348" s="33" t="s">
        <v>185</v>
      </c>
    </row>
    <row r="349" spans="1:3" x14ac:dyDescent="0.3">
      <c r="A349" s="33">
        <v>182</v>
      </c>
      <c r="B349" s="33" t="s">
        <v>94</v>
      </c>
      <c r="C349" s="33" t="s">
        <v>128</v>
      </c>
    </row>
    <row r="350" spans="1:3" x14ac:dyDescent="0.3">
      <c r="A350" s="33">
        <v>105</v>
      </c>
      <c r="B350" s="33" t="s">
        <v>135</v>
      </c>
      <c r="C350" s="33" t="s">
        <v>175</v>
      </c>
    </row>
    <row r="351" spans="1:3" x14ac:dyDescent="0.3">
      <c r="A351" s="33">
        <v>199</v>
      </c>
      <c r="B351" s="33" t="s">
        <v>100</v>
      </c>
      <c r="C351" s="33" t="s">
        <v>101</v>
      </c>
    </row>
    <row r="352" spans="1:3" x14ac:dyDescent="0.3">
      <c r="A352" s="33">
        <v>211</v>
      </c>
      <c r="B352" s="33" t="s">
        <v>103</v>
      </c>
      <c r="C352" s="33" t="s">
        <v>147</v>
      </c>
    </row>
    <row r="353" spans="1:3" x14ac:dyDescent="0.3">
      <c r="A353" s="33">
        <v>22</v>
      </c>
      <c r="B353" s="33" t="s">
        <v>149</v>
      </c>
      <c r="C353" s="33" t="s">
        <v>159</v>
      </c>
    </row>
    <row r="354" spans="1:3" x14ac:dyDescent="0.3">
      <c r="A354" s="33">
        <v>150</v>
      </c>
      <c r="B354" s="33" t="s">
        <v>109</v>
      </c>
      <c r="C354" s="33" t="s">
        <v>110</v>
      </c>
    </row>
    <row r="355" spans="1:3" x14ac:dyDescent="0.3">
      <c r="A355" s="33">
        <v>191</v>
      </c>
      <c r="B355" s="33" t="s">
        <v>164</v>
      </c>
      <c r="C355" s="33" t="s">
        <v>165</v>
      </c>
    </row>
    <row r="356" spans="1:3" x14ac:dyDescent="0.3">
      <c r="A356" s="33">
        <v>245</v>
      </c>
      <c r="B356" s="33" t="s">
        <v>91</v>
      </c>
      <c r="C356" s="33" t="s">
        <v>92</v>
      </c>
    </row>
    <row r="357" spans="1:3" x14ac:dyDescent="0.3">
      <c r="A357" s="33">
        <v>154</v>
      </c>
      <c r="B357" s="33" t="s">
        <v>103</v>
      </c>
      <c r="C357" s="33" t="s">
        <v>104</v>
      </c>
    </row>
    <row r="358" spans="1:3" x14ac:dyDescent="0.3">
      <c r="A358" s="33">
        <v>266</v>
      </c>
      <c r="B358" s="33" t="s">
        <v>109</v>
      </c>
      <c r="C358" s="33" t="s">
        <v>110</v>
      </c>
    </row>
    <row r="359" spans="1:3" x14ac:dyDescent="0.3">
      <c r="A359" s="33">
        <v>143</v>
      </c>
      <c r="B359" s="33" t="s">
        <v>91</v>
      </c>
      <c r="C359" s="33" t="s">
        <v>193</v>
      </c>
    </row>
    <row r="360" spans="1:3" x14ac:dyDescent="0.3">
      <c r="A360" s="33">
        <v>475</v>
      </c>
      <c r="B360" s="33" t="s">
        <v>145</v>
      </c>
      <c r="C360" s="33" t="s">
        <v>182</v>
      </c>
    </row>
    <row r="361" spans="1:3" x14ac:dyDescent="0.3">
      <c r="A361" s="33">
        <v>292</v>
      </c>
      <c r="B361" s="33" t="s">
        <v>164</v>
      </c>
      <c r="C361" s="33" t="s">
        <v>167</v>
      </c>
    </row>
    <row r="362" spans="1:3" x14ac:dyDescent="0.3">
      <c r="A362" s="33">
        <v>307</v>
      </c>
      <c r="B362" s="33" t="s">
        <v>133</v>
      </c>
      <c r="C362" s="33" t="s">
        <v>134</v>
      </c>
    </row>
    <row r="363" spans="1:3" x14ac:dyDescent="0.3">
      <c r="A363" s="33">
        <v>39</v>
      </c>
      <c r="B363" s="33" t="s">
        <v>133</v>
      </c>
      <c r="C363" s="33" t="s">
        <v>172</v>
      </c>
    </row>
    <row r="364" spans="1:3" x14ac:dyDescent="0.3">
      <c r="A364" s="33">
        <v>316</v>
      </c>
      <c r="B364" s="33" t="s">
        <v>100</v>
      </c>
      <c r="C364" s="33" t="s">
        <v>101</v>
      </c>
    </row>
    <row r="365" spans="1:3" x14ac:dyDescent="0.3">
      <c r="A365" s="33">
        <v>228</v>
      </c>
      <c r="B365" s="33" t="s">
        <v>138</v>
      </c>
      <c r="C365" s="33" t="s">
        <v>158</v>
      </c>
    </row>
    <row r="366" spans="1:3" x14ac:dyDescent="0.3">
      <c r="A366" s="33">
        <v>269</v>
      </c>
      <c r="B366" s="33" t="s">
        <v>91</v>
      </c>
      <c r="C366" s="33" t="s">
        <v>170</v>
      </c>
    </row>
    <row r="367" spans="1:3" x14ac:dyDescent="0.3">
      <c r="A367" s="33">
        <v>151</v>
      </c>
      <c r="B367" s="33" t="s">
        <v>143</v>
      </c>
      <c r="C367" s="33" t="s">
        <v>178</v>
      </c>
    </row>
    <row r="368" spans="1:3" x14ac:dyDescent="0.3">
      <c r="A368" s="33">
        <v>101</v>
      </c>
      <c r="B368" s="33" t="s">
        <v>115</v>
      </c>
      <c r="C368" s="33" t="s">
        <v>177</v>
      </c>
    </row>
    <row r="369" spans="1:3" x14ac:dyDescent="0.3">
      <c r="A369" s="33">
        <v>411</v>
      </c>
      <c r="B369" s="33" t="s">
        <v>145</v>
      </c>
      <c r="C369" s="33" t="s">
        <v>146</v>
      </c>
    </row>
    <row r="370" spans="1:3" x14ac:dyDescent="0.3">
      <c r="A370" s="33">
        <v>381</v>
      </c>
      <c r="B370" s="33" t="s">
        <v>109</v>
      </c>
      <c r="C370" s="33" t="s">
        <v>179</v>
      </c>
    </row>
    <row r="371" spans="1:3" x14ac:dyDescent="0.3">
      <c r="A371" s="33">
        <v>400</v>
      </c>
      <c r="B371" s="33" t="s">
        <v>143</v>
      </c>
      <c r="C371" s="33" t="s">
        <v>178</v>
      </c>
    </row>
    <row r="372" spans="1:3" x14ac:dyDescent="0.3">
      <c r="A372" s="33">
        <v>55</v>
      </c>
      <c r="B372" s="33" t="s">
        <v>157</v>
      </c>
      <c r="C372" s="33" t="s">
        <v>186</v>
      </c>
    </row>
    <row r="373" spans="1:3" x14ac:dyDescent="0.3">
      <c r="A373" s="33">
        <v>372</v>
      </c>
      <c r="B373" s="33" t="s">
        <v>112</v>
      </c>
      <c r="C373" s="33" t="s">
        <v>163</v>
      </c>
    </row>
    <row r="374" spans="1:3" x14ac:dyDescent="0.3">
      <c r="A374" s="33">
        <v>80</v>
      </c>
      <c r="B374" s="33" t="s">
        <v>149</v>
      </c>
      <c r="C374" s="33" t="s">
        <v>191</v>
      </c>
    </row>
    <row r="375" spans="1:3" x14ac:dyDescent="0.3">
      <c r="A375" s="33">
        <v>413</v>
      </c>
      <c r="B375" s="33" t="s">
        <v>112</v>
      </c>
      <c r="C375" s="33" t="s">
        <v>113</v>
      </c>
    </row>
    <row r="376" spans="1:3" x14ac:dyDescent="0.3">
      <c r="A376" s="33">
        <v>46</v>
      </c>
      <c r="B376" s="33" t="s">
        <v>118</v>
      </c>
      <c r="C376" s="33" t="s">
        <v>180</v>
      </c>
    </row>
    <row r="377" spans="1:3" x14ac:dyDescent="0.3">
      <c r="A377" s="33">
        <v>1</v>
      </c>
      <c r="B377" s="33" t="s">
        <v>157</v>
      </c>
      <c r="C377" s="33" t="s">
        <v>197</v>
      </c>
    </row>
    <row r="378" spans="1:3" x14ac:dyDescent="0.3">
      <c r="A378" s="33">
        <v>478</v>
      </c>
      <c r="B378" s="33" t="s">
        <v>149</v>
      </c>
      <c r="C378" s="33" t="s">
        <v>150</v>
      </c>
    </row>
    <row r="379" spans="1:3" x14ac:dyDescent="0.3">
      <c r="A379" s="33">
        <v>456</v>
      </c>
      <c r="B379" s="33" t="s">
        <v>164</v>
      </c>
      <c r="C379" s="33" t="s">
        <v>165</v>
      </c>
    </row>
    <row r="380" spans="1:3" x14ac:dyDescent="0.3">
      <c r="A380" s="33">
        <v>38</v>
      </c>
      <c r="B380" s="33" t="s">
        <v>149</v>
      </c>
      <c r="C380" s="33" t="s">
        <v>150</v>
      </c>
    </row>
    <row r="381" spans="1:3" x14ac:dyDescent="0.3">
      <c r="A381" s="33">
        <v>134</v>
      </c>
      <c r="B381" s="33" t="s">
        <v>109</v>
      </c>
      <c r="C381" s="33" t="s">
        <v>110</v>
      </c>
    </row>
    <row r="382" spans="1:3" x14ac:dyDescent="0.3">
      <c r="A382" s="33">
        <v>77</v>
      </c>
      <c r="B382" s="33" t="s">
        <v>100</v>
      </c>
      <c r="C382" s="33" t="s">
        <v>132</v>
      </c>
    </row>
    <row r="383" spans="1:3" x14ac:dyDescent="0.3">
      <c r="A383" s="33">
        <v>455</v>
      </c>
      <c r="B383" s="33" t="s">
        <v>94</v>
      </c>
      <c r="C383" s="33" t="s">
        <v>189</v>
      </c>
    </row>
    <row r="384" spans="1:3" x14ac:dyDescent="0.3">
      <c r="A384" s="33">
        <v>218</v>
      </c>
      <c r="B384" s="33" t="s">
        <v>164</v>
      </c>
      <c r="C384" s="33" t="s">
        <v>167</v>
      </c>
    </row>
    <row r="385" spans="1:3" x14ac:dyDescent="0.3">
      <c r="A385" s="33">
        <v>263</v>
      </c>
      <c r="B385" s="33" t="s">
        <v>118</v>
      </c>
      <c r="C385" s="33" t="s">
        <v>180</v>
      </c>
    </row>
    <row r="386" spans="1:3" x14ac:dyDescent="0.3">
      <c r="A386" s="33">
        <v>254</v>
      </c>
      <c r="B386" s="33" t="s">
        <v>94</v>
      </c>
      <c r="C386" s="33" t="s">
        <v>95</v>
      </c>
    </row>
    <row r="387" spans="1:3" x14ac:dyDescent="0.3">
      <c r="A387" s="33">
        <v>370</v>
      </c>
      <c r="B387" s="33" t="s">
        <v>106</v>
      </c>
      <c r="C387" s="33" t="s">
        <v>107</v>
      </c>
    </row>
    <row r="388" spans="1:3" x14ac:dyDescent="0.3">
      <c r="A388" s="33">
        <v>301</v>
      </c>
      <c r="B388" s="33" t="s">
        <v>135</v>
      </c>
      <c r="C388" s="33" t="s">
        <v>136</v>
      </c>
    </row>
    <row r="389" spans="1:3" x14ac:dyDescent="0.3">
      <c r="A389" s="33">
        <v>259</v>
      </c>
      <c r="B389" s="33" t="s">
        <v>118</v>
      </c>
      <c r="C389" s="33" t="s">
        <v>119</v>
      </c>
    </row>
    <row r="390" spans="1:3" x14ac:dyDescent="0.3">
      <c r="A390" s="33">
        <v>468</v>
      </c>
      <c r="B390" s="33" t="s">
        <v>118</v>
      </c>
      <c r="C390" s="33" t="s">
        <v>168</v>
      </c>
    </row>
    <row r="391" spans="1:3" x14ac:dyDescent="0.3">
      <c r="A391" s="33">
        <v>200</v>
      </c>
      <c r="B391" s="33" t="s">
        <v>141</v>
      </c>
      <c r="C391" s="33" t="s">
        <v>188</v>
      </c>
    </row>
    <row r="392" spans="1:3" x14ac:dyDescent="0.3">
      <c r="A392" s="33">
        <v>354</v>
      </c>
      <c r="B392" s="33" t="s">
        <v>115</v>
      </c>
      <c r="C392" s="33" t="s">
        <v>131</v>
      </c>
    </row>
    <row r="393" spans="1:3" x14ac:dyDescent="0.3">
      <c r="A393" s="33">
        <v>460</v>
      </c>
      <c r="B393" s="33" t="s">
        <v>112</v>
      </c>
      <c r="C393" s="33" t="s">
        <v>202</v>
      </c>
    </row>
    <row r="394" spans="1:3" x14ac:dyDescent="0.3">
      <c r="A394" s="33">
        <v>184</v>
      </c>
      <c r="B394" s="33" t="s">
        <v>149</v>
      </c>
      <c r="C394" s="33" t="s">
        <v>195</v>
      </c>
    </row>
    <row r="395" spans="1:3" x14ac:dyDescent="0.3">
      <c r="A395" s="33">
        <v>308</v>
      </c>
      <c r="B395" s="33" t="s">
        <v>149</v>
      </c>
      <c r="C395" s="33" t="s">
        <v>159</v>
      </c>
    </row>
    <row r="396" spans="1:3" x14ac:dyDescent="0.3">
      <c r="A396" s="33">
        <v>407</v>
      </c>
      <c r="B396" s="33" t="s">
        <v>149</v>
      </c>
      <c r="C396" s="33" t="s">
        <v>195</v>
      </c>
    </row>
    <row r="397" spans="1:3" x14ac:dyDescent="0.3">
      <c r="A397" s="33">
        <v>148</v>
      </c>
      <c r="B397" s="33" t="s">
        <v>106</v>
      </c>
      <c r="C397" s="33" t="s">
        <v>107</v>
      </c>
    </row>
    <row r="398" spans="1:3" x14ac:dyDescent="0.3">
      <c r="A398" s="33">
        <v>152</v>
      </c>
      <c r="B398" s="33" t="s">
        <v>97</v>
      </c>
      <c r="C398" s="33" t="s">
        <v>160</v>
      </c>
    </row>
    <row r="399" spans="1:3" x14ac:dyDescent="0.3">
      <c r="A399" s="33">
        <v>326</v>
      </c>
      <c r="B399" s="33" t="s">
        <v>157</v>
      </c>
      <c r="C399" s="33" t="s">
        <v>192</v>
      </c>
    </row>
    <row r="400" spans="1:3" x14ac:dyDescent="0.3">
      <c r="A400" s="33">
        <v>352</v>
      </c>
      <c r="B400" s="33" t="s">
        <v>118</v>
      </c>
      <c r="C400" s="33" t="s">
        <v>156</v>
      </c>
    </row>
    <row r="401" spans="1:3" x14ac:dyDescent="0.3">
      <c r="A401" s="33">
        <v>44</v>
      </c>
      <c r="B401" s="33" t="s">
        <v>143</v>
      </c>
      <c r="C401" s="33" t="s">
        <v>178</v>
      </c>
    </row>
    <row r="402" spans="1:3" x14ac:dyDescent="0.3">
      <c r="A402" s="33">
        <v>183</v>
      </c>
      <c r="B402" s="33" t="s">
        <v>149</v>
      </c>
      <c r="C402" s="33" t="s">
        <v>159</v>
      </c>
    </row>
    <row r="403" spans="1:3" x14ac:dyDescent="0.3">
      <c r="A403" s="33">
        <v>88</v>
      </c>
      <c r="B403" s="33" t="s">
        <v>157</v>
      </c>
      <c r="C403" s="33" t="s">
        <v>158</v>
      </c>
    </row>
    <row r="404" spans="1:3" x14ac:dyDescent="0.3">
      <c r="A404" s="33">
        <v>347</v>
      </c>
      <c r="B404" s="33" t="s">
        <v>100</v>
      </c>
      <c r="C404" s="33" t="s">
        <v>132</v>
      </c>
    </row>
    <row r="405" spans="1:3" x14ac:dyDescent="0.3">
      <c r="A405" s="33">
        <v>342</v>
      </c>
      <c r="B405" s="33" t="s">
        <v>103</v>
      </c>
      <c r="C405" s="33" t="s">
        <v>147</v>
      </c>
    </row>
    <row r="406" spans="1:3" x14ac:dyDescent="0.3">
      <c r="A406" s="33">
        <v>59</v>
      </c>
      <c r="B406" s="33" t="s">
        <v>91</v>
      </c>
      <c r="C406" s="33" t="s">
        <v>92</v>
      </c>
    </row>
    <row r="407" spans="1:3" x14ac:dyDescent="0.3">
      <c r="A407" s="33">
        <v>16</v>
      </c>
      <c r="B407" s="33" t="s">
        <v>133</v>
      </c>
      <c r="C407" s="33" t="s">
        <v>172</v>
      </c>
    </row>
    <row r="408" spans="1:3" x14ac:dyDescent="0.3">
      <c r="A408" s="33">
        <v>220</v>
      </c>
      <c r="B408" s="33" t="s">
        <v>115</v>
      </c>
      <c r="C408" s="33" t="s">
        <v>173</v>
      </c>
    </row>
    <row r="409" spans="1:3" x14ac:dyDescent="0.3">
      <c r="A409" s="33">
        <v>439</v>
      </c>
      <c r="B409" s="33" t="s">
        <v>106</v>
      </c>
      <c r="C409" s="33" t="s">
        <v>151</v>
      </c>
    </row>
    <row r="410" spans="1:3" x14ac:dyDescent="0.3">
      <c r="A410" s="33">
        <v>437</v>
      </c>
      <c r="B410" s="33" t="s">
        <v>115</v>
      </c>
      <c r="C410" s="33" t="s">
        <v>173</v>
      </c>
    </row>
    <row r="411" spans="1:3" x14ac:dyDescent="0.3">
      <c r="A411" s="33">
        <v>73</v>
      </c>
      <c r="B411" s="33" t="s">
        <v>145</v>
      </c>
      <c r="C411" s="33" t="s">
        <v>162</v>
      </c>
    </row>
    <row r="412" spans="1:3" x14ac:dyDescent="0.3">
      <c r="A412" s="33">
        <v>208</v>
      </c>
      <c r="B412" s="33" t="s">
        <v>149</v>
      </c>
      <c r="C412" s="33" t="s">
        <v>195</v>
      </c>
    </row>
    <row r="413" spans="1:3" x14ac:dyDescent="0.3">
      <c r="A413" s="33">
        <v>6</v>
      </c>
      <c r="B413" s="33" t="s">
        <v>135</v>
      </c>
      <c r="C413" s="33" t="s">
        <v>175</v>
      </c>
    </row>
    <row r="414" spans="1:3" x14ac:dyDescent="0.3">
      <c r="A414" s="33">
        <v>318</v>
      </c>
      <c r="B414" s="33" t="s">
        <v>143</v>
      </c>
      <c r="C414" s="33" t="s">
        <v>166</v>
      </c>
    </row>
    <row r="415" spans="1:3" x14ac:dyDescent="0.3">
      <c r="A415" s="33">
        <v>327</v>
      </c>
      <c r="B415" s="33" t="s">
        <v>164</v>
      </c>
      <c r="C415" s="33" t="s">
        <v>198</v>
      </c>
    </row>
    <row r="416" spans="1:3" x14ac:dyDescent="0.3">
      <c r="A416" s="33">
        <v>416</v>
      </c>
      <c r="B416" s="33" t="s">
        <v>109</v>
      </c>
      <c r="C416" s="33" t="s">
        <v>110</v>
      </c>
    </row>
    <row r="417" spans="1:3" x14ac:dyDescent="0.3">
      <c r="A417" s="33">
        <v>374</v>
      </c>
      <c r="B417" s="33" t="s">
        <v>112</v>
      </c>
      <c r="C417" s="33" t="s">
        <v>202</v>
      </c>
    </row>
    <row r="418" spans="1:3" x14ac:dyDescent="0.3">
      <c r="A418" s="33">
        <v>289</v>
      </c>
      <c r="B418" s="33" t="s">
        <v>106</v>
      </c>
      <c r="C418" s="33" t="s">
        <v>151</v>
      </c>
    </row>
    <row r="419" spans="1:3" x14ac:dyDescent="0.3">
      <c r="A419" s="33">
        <v>173</v>
      </c>
      <c r="B419" s="33" t="s">
        <v>106</v>
      </c>
      <c r="C419" s="33" t="s">
        <v>107</v>
      </c>
    </row>
    <row r="420" spans="1:3" x14ac:dyDescent="0.3">
      <c r="A420" s="33">
        <v>114</v>
      </c>
      <c r="B420" s="33" t="s">
        <v>133</v>
      </c>
      <c r="C420" s="33" t="s">
        <v>172</v>
      </c>
    </row>
    <row r="421" spans="1:3" x14ac:dyDescent="0.3">
      <c r="A421" s="33">
        <v>170</v>
      </c>
      <c r="B421" s="33" t="s">
        <v>149</v>
      </c>
      <c r="C421" s="33" t="s">
        <v>195</v>
      </c>
    </row>
    <row r="422" spans="1:3" x14ac:dyDescent="0.3">
      <c r="A422" s="33">
        <v>9</v>
      </c>
      <c r="B422" s="33" t="s">
        <v>118</v>
      </c>
      <c r="C422" s="33" t="s">
        <v>168</v>
      </c>
    </row>
    <row r="423" spans="1:3" x14ac:dyDescent="0.3">
      <c r="A423" s="33">
        <v>302</v>
      </c>
      <c r="B423" s="33" t="s">
        <v>143</v>
      </c>
      <c r="C423" s="33" t="s">
        <v>166</v>
      </c>
    </row>
    <row r="424" spans="1:3" x14ac:dyDescent="0.3">
      <c r="A424" s="33">
        <v>48</v>
      </c>
      <c r="B424" s="33" t="s">
        <v>135</v>
      </c>
      <c r="C424" s="33" t="s">
        <v>190</v>
      </c>
    </row>
    <row r="425" spans="1:3" x14ac:dyDescent="0.3">
      <c r="A425" s="33">
        <v>3</v>
      </c>
      <c r="B425" s="33" t="s">
        <v>157</v>
      </c>
      <c r="C425" s="33" t="s">
        <v>197</v>
      </c>
    </row>
    <row r="426" spans="1:3" x14ac:dyDescent="0.3">
      <c r="A426" s="33">
        <v>168</v>
      </c>
      <c r="B426" s="33" t="s">
        <v>157</v>
      </c>
      <c r="C426" s="33" t="s">
        <v>197</v>
      </c>
    </row>
    <row r="427" spans="1:3" x14ac:dyDescent="0.3">
      <c r="A427" s="33">
        <v>13</v>
      </c>
      <c r="B427" s="33" t="s">
        <v>100</v>
      </c>
      <c r="C427" s="33" t="s">
        <v>132</v>
      </c>
    </row>
    <row r="428" spans="1:3" x14ac:dyDescent="0.3">
      <c r="A428" s="33">
        <v>141</v>
      </c>
      <c r="B428" s="33" t="s">
        <v>135</v>
      </c>
      <c r="C428" s="33" t="s">
        <v>190</v>
      </c>
    </row>
    <row r="429" spans="1:3" x14ac:dyDescent="0.3">
      <c r="A429" s="33">
        <v>120</v>
      </c>
      <c r="B429" s="33" t="s">
        <v>145</v>
      </c>
      <c r="C429" s="33" t="s">
        <v>162</v>
      </c>
    </row>
    <row r="430" spans="1:3" x14ac:dyDescent="0.3">
      <c r="A430" s="33">
        <v>418</v>
      </c>
      <c r="B430" s="33" t="s">
        <v>135</v>
      </c>
      <c r="C430" s="33" t="s">
        <v>201</v>
      </c>
    </row>
    <row r="431" spans="1:3" x14ac:dyDescent="0.3">
      <c r="A431" s="33">
        <v>294</v>
      </c>
      <c r="B431" s="33" t="s">
        <v>106</v>
      </c>
      <c r="C431" s="33" t="s">
        <v>107</v>
      </c>
    </row>
    <row r="432" spans="1:3" x14ac:dyDescent="0.3">
      <c r="A432" s="33">
        <v>175</v>
      </c>
      <c r="B432" s="33" t="s">
        <v>103</v>
      </c>
      <c r="C432" s="33" t="s">
        <v>200</v>
      </c>
    </row>
    <row r="433" spans="1:3" x14ac:dyDescent="0.3">
      <c r="A433" s="33">
        <v>469</v>
      </c>
      <c r="B433" s="33" t="s">
        <v>91</v>
      </c>
      <c r="C433" s="33" t="s">
        <v>124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9"/>
  <sheetViews>
    <sheetView workbookViewId="0">
      <selection activeCell="B4" sqref="B4:B8"/>
    </sheetView>
  </sheetViews>
  <sheetFormatPr defaultColWidth="11.5546875" defaultRowHeight="14.4" x14ac:dyDescent="0.3"/>
  <cols>
    <col min="1" max="1" width="16" bestFit="1" customWidth="1"/>
    <col min="2" max="2" width="26.6640625" bestFit="1" customWidth="1"/>
  </cols>
  <sheetData>
    <row r="3" spans="1:2" x14ac:dyDescent="0.3">
      <c r="A3" s="20" t="s">
        <v>67</v>
      </c>
      <c r="B3" t="s">
        <v>203</v>
      </c>
    </row>
    <row r="4" spans="1:2" x14ac:dyDescent="0.3">
      <c r="A4" s="21" t="s">
        <v>204</v>
      </c>
      <c r="B4" s="29">
        <v>146</v>
      </c>
    </row>
    <row r="5" spans="1:2" x14ac:dyDescent="0.3">
      <c r="A5" s="21" t="s">
        <v>205</v>
      </c>
      <c r="B5" s="29">
        <v>85</v>
      </c>
    </row>
    <row r="6" spans="1:2" x14ac:dyDescent="0.3">
      <c r="A6" s="21" t="s">
        <v>206</v>
      </c>
      <c r="B6" s="29">
        <v>78</v>
      </c>
    </row>
    <row r="7" spans="1:2" x14ac:dyDescent="0.3">
      <c r="A7" s="21" t="s">
        <v>207</v>
      </c>
      <c r="B7" s="29">
        <v>74</v>
      </c>
    </row>
    <row r="8" spans="1:2" x14ac:dyDescent="0.3">
      <c r="A8" s="21" t="s">
        <v>208</v>
      </c>
      <c r="B8" s="29">
        <v>51</v>
      </c>
    </row>
    <row r="9" spans="1:2" x14ac:dyDescent="0.3">
      <c r="A9" s="21" t="s">
        <v>86</v>
      </c>
      <c r="B9">
        <v>434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35"/>
  <sheetViews>
    <sheetView zoomScale="55" zoomScaleNormal="55" workbookViewId="0">
      <pane ySplit="1" topLeftCell="A2" activePane="bottomLeft" state="frozen"/>
      <selection pane="bottomLeft" activeCell="I10" sqref="I10"/>
    </sheetView>
  </sheetViews>
  <sheetFormatPr defaultColWidth="8.77734375" defaultRowHeight="14.4" x14ac:dyDescent="0.3"/>
  <cols>
    <col min="1" max="1" width="12" customWidth="1"/>
    <col min="2" max="2" width="22" customWidth="1"/>
    <col min="3" max="3" width="28" bestFit="1" customWidth="1"/>
    <col min="4" max="4" width="20" customWidth="1"/>
    <col min="5" max="5" width="18" customWidth="1"/>
    <col min="6" max="6" width="14" bestFit="1" customWidth="1"/>
    <col min="7" max="7" width="18" bestFit="1" customWidth="1"/>
    <col min="8" max="8" width="14" customWidth="1"/>
    <col min="9" max="10" width="18" customWidth="1"/>
    <col min="12" max="13" width="20" customWidth="1"/>
  </cols>
  <sheetData>
    <row r="1" spans="1:13" ht="18" customHeight="1" x14ac:dyDescent="0.3">
      <c r="A1" s="31" t="s">
        <v>7</v>
      </c>
      <c r="B1" s="31" t="s">
        <v>209</v>
      </c>
      <c r="C1" s="31" t="s">
        <v>210</v>
      </c>
      <c r="D1" s="31" t="s">
        <v>211</v>
      </c>
      <c r="E1" s="31" t="s">
        <v>13</v>
      </c>
      <c r="F1" s="31" t="s">
        <v>212</v>
      </c>
      <c r="G1" s="31" t="s">
        <v>213</v>
      </c>
      <c r="H1" s="31" t="s">
        <v>214</v>
      </c>
      <c r="I1" s="31" t="s">
        <v>215</v>
      </c>
      <c r="J1" s="31" t="s">
        <v>216</v>
      </c>
      <c r="L1" s="34" t="s">
        <v>213</v>
      </c>
      <c r="M1" s="34" t="s">
        <v>217</v>
      </c>
    </row>
    <row r="2" spans="1:13" ht="18" customHeight="1" x14ac:dyDescent="0.3">
      <c r="A2" s="33">
        <v>315</v>
      </c>
      <c r="B2" s="33" t="s">
        <v>218</v>
      </c>
      <c r="C2" s="33" t="s">
        <v>219</v>
      </c>
      <c r="D2" s="33" t="s">
        <v>220</v>
      </c>
      <c r="E2" s="35">
        <v>44747</v>
      </c>
      <c r="F2" s="33" t="s">
        <v>221</v>
      </c>
      <c r="G2" s="33" t="s">
        <v>205</v>
      </c>
      <c r="H2" s="33" t="s">
        <v>222</v>
      </c>
      <c r="I2" s="33" t="s">
        <v>223</v>
      </c>
      <c r="J2" s="33" t="s">
        <v>224</v>
      </c>
      <c r="L2" s="33" t="s">
        <v>204</v>
      </c>
      <c r="M2" s="33">
        <v>146</v>
      </c>
    </row>
    <row r="3" spans="1:13" ht="18" customHeight="1" x14ac:dyDescent="0.3">
      <c r="A3" s="33">
        <v>253</v>
      </c>
      <c r="B3" s="33" t="s">
        <v>225</v>
      </c>
      <c r="C3" s="33" t="s">
        <v>226</v>
      </c>
      <c r="D3" s="33" t="s">
        <v>220</v>
      </c>
      <c r="E3" s="35">
        <v>44750</v>
      </c>
      <c r="F3" s="33" t="s">
        <v>227</v>
      </c>
      <c r="G3" s="33" t="s">
        <v>208</v>
      </c>
      <c r="H3" s="33" t="s">
        <v>228</v>
      </c>
      <c r="I3" s="33" t="s">
        <v>229</v>
      </c>
      <c r="J3" s="33" t="s">
        <v>230</v>
      </c>
      <c r="L3" s="33" t="s">
        <v>205</v>
      </c>
      <c r="M3" s="33">
        <v>85</v>
      </c>
    </row>
    <row r="4" spans="1:13" ht="18" customHeight="1" x14ac:dyDescent="0.3">
      <c r="A4" s="33">
        <v>12</v>
      </c>
      <c r="B4" s="33" t="s">
        <v>231</v>
      </c>
      <c r="C4" s="33" t="s">
        <v>232</v>
      </c>
      <c r="D4" s="33" t="s">
        <v>220</v>
      </c>
      <c r="E4" s="35">
        <v>44842</v>
      </c>
      <c r="F4" s="33" t="s">
        <v>227</v>
      </c>
      <c r="G4" s="33" t="s">
        <v>208</v>
      </c>
      <c r="H4" s="33" t="s">
        <v>233</v>
      </c>
      <c r="I4" s="33" t="s">
        <v>234</v>
      </c>
      <c r="J4" s="33" t="s">
        <v>235</v>
      </c>
      <c r="L4" s="33" t="s">
        <v>206</v>
      </c>
      <c r="M4" s="33">
        <v>78</v>
      </c>
    </row>
    <row r="5" spans="1:13" ht="18" customHeight="1" x14ac:dyDescent="0.3">
      <c r="A5" s="33">
        <v>116</v>
      </c>
      <c r="B5" s="33" t="s">
        <v>236</v>
      </c>
      <c r="C5" s="33" t="s">
        <v>237</v>
      </c>
      <c r="D5" s="33" t="s">
        <v>238</v>
      </c>
      <c r="E5" s="35">
        <v>44643</v>
      </c>
      <c r="F5" s="33" t="s">
        <v>239</v>
      </c>
      <c r="G5" s="33" t="s">
        <v>204</v>
      </c>
      <c r="H5" s="33" t="s">
        <v>240</v>
      </c>
      <c r="I5" s="33" t="s">
        <v>241</v>
      </c>
      <c r="J5" s="33" t="s">
        <v>228</v>
      </c>
      <c r="L5" s="33" t="s">
        <v>207</v>
      </c>
      <c r="M5" s="33">
        <v>74</v>
      </c>
    </row>
    <row r="6" spans="1:13" ht="18" customHeight="1" x14ac:dyDescent="0.3">
      <c r="A6" s="33">
        <v>471</v>
      </c>
      <c r="B6" s="33" t="s">
        <v>242</v>
      </c>
      <c r="C6" s="33" t="s">
        <v>243</v>
      </c>
      <c r="D6" s="33" t="s">
        <v>220</v>
      </c>
      <c r="E6" s="35">
        <v>44577</v>
      </c>
      <c r="F6" s="33" t="s">
        <v>244</v>
      </c>
      <c r="G6" s="33" t="s">
        <v>206</v>
      </c>
      <c r="H6" s="33" t="s">
        <v>245</v>
      </c>
      <c r="I6" s="33" t="s">
        <v>246</v>
      </c>
      <c r="J6" s="33" t="s">
        <v>247</v>
      </c>
      <c r="L6" s="33" t="s">
        <v>208</v>
      </c>
      <c r="M6" s="33">
        <v>51</v>
      </c>
    </row>
    <row r="7" spans="1:13" ht="18" customHeight="1" x14ac:dyDescent="0.3">
      <c r="A7" s="33">
        <v>374</v>
      </c>
      <c r="B7" s="33" t="s">
        <v>248</v>
      </c>
      <c r="C7" s="33" t="s">
        <v>249</v>
      </c>
      <c r="D7" s="33" t="s">
        <v>238</v>
      </c>
      <c r="E7" s="35">
        <v>44582</v>
      </c>
      <c r="F7" s="33" t="s">
        <v>244</v>
      </c>
      <c r="G7" s="33" t="s">
        <v>206</v>
      </c>
      <c r="H7" s="33" t="s">
        <v>250</v>
      </c>
      <c r="I7" s="33" t="s">
        <v>251</v>
      </c>
      <c r="J7" s="33" t="s">
        <v>252</v>
      </c>
    </row>
    <row r="8" spans="1:13" ht="18" customHeight="1" x14ac:dyDescent="0.3">
      <c r="A8" s="33">
        <v>477</v>
      </c>
      <c r="B8" s="33" t="s">
        <v>253</v>
      </c>
      <c r="C8" s="33" t="s">
        <v>254</v>
      </c>
      <c r="D8" s="33" t="s">
        <v>220</v>
      </c>
      <c r="E8" s="35">
        <v>44738</v>
      </c>
      <c r="F8" s="33" t="s">
        <v>221</v>
      </c>
      <c r="G8" s="33" t="s">
        <v>205</v>
      </c>
      <c r="H8" s="33" t="s">
        <v>255</v>
      </c>
      <c r="I8" s="33" t="s">
        <v>256</v>
      </c>
      <c r="J8" s="33" t="s">
        <v>257</v>
      </c>
    </row>
    <row r="9" spans="1:13" ht="18" customHeight="1" x14ac:dyDescent="0.3">
      <c r="A9" s="33">
        <v>335</v>
      </c>
      <c r="B9" s="33" t="s">
        <v>258</v>
      </c>
      <c r="C9" s="33" t="s">
        <v>259</v>
      </c>
      <c r="D9" s="33" t="s">
        <v>238</v>
      </c>
      <c r="E9" s="35">
        <v>44619</v>
      </c>
      <c r="F9" s="33" t="s">
        <v>221</v>
      </c>
      <c r="G9" s="33" t="s">
        <v>205</v>
      </c>
      <c r="H9" s="33" t="s">
        <v>260</v>
      </c>
      <c r="I9" s="33" t="s">
        <v>261</v>
      </c>
      <c r="J9" s="33" t="s">
        <v>262</v>
      </c>
    </row>
    <row r="10" spans="1:13" ht="18" customHeight="1" x14ac:dyDescent="0.3">
      <c r="A10" s="33">
        <v>350</v>
      </c>
      <c r="B10" s="33" t="s">
        <v>263</v>
      </c>
      <c r="C10" s="33" t="s">
        <v>264</v>
      </c>
      <c r="D10" s="33" t="s">
        <v>238</v>
      </c>
      <c r="E10" s="35">
        <v>44684</v>
      </c>
      <c r="F10" s="33" t="s">
        <v>244</v>
      </c>
      <c r="G10" s="33" t="s">
        <v>206</v>
      </c>
      <c r="H10" s="33" t="s">
        <v>265</v>
      </c>
      <c r="I10" s="33" t="s">
        <v>266</v>
      </c>
      <c r="J10" s="33" t="s">
        <v>230</v>
      </c>
    </row>
    <row r="11" spans="1:13" ht="18" customHeight="1" x14ac:dyDescent="0.3">
      <c r="A11" s="33">
        <v>413</v>
      </c>
      <c r="B11" s="33" t="s">
        <v>267</v>
      </c>
      <c r="C11" s="33" t="s">
        <v>268</v>
      </c>
      <c r="D11" s="33" t="s">
        <v>238</v>
      </c>
      <c r="E11" s="35">
        <v>44699</v>
      </c>
      <c r="F11" s="33" t="s">
        <v>239</v>
      </c>
      <c r="G11" s="33" t="s">
        <v>204</v>
      </c>
      <c r="H11" s="33" t="s">
        <v>269</v>
      </c>
      <c r="I11" s="33" t="s">
        <v>270</v>
      </c>
      <c r="J11" s="33" t="s">
        <v>271</v>
      </c>
    </row>
    <row r="12" spans="1:13" ht="18" customHeight="1" x14ac:dyDescent="0.3">
      <c r="A12" s="33">
        <v>495</v>
      </c>
      <c r="B12" s="33" t="s">
        <v>272</v>
      </c>
      <c r="C12" s="33" t="s">
        <v>273</v>
      </c>
      <c r="D12" s="33" t="s">
        <v>220</v>
      </c>
      <c r="E12" s="35">
        <v>44654</v>
      </c>
      <c r="F12" s="33" t="s">
        <v>221</v>
      </c>
      <c r="G12" s="33" t="s">
        <v>205</v>
      </c>
      <c r="H12" s="33" t="s">
        <v>274</v>
      </c>
      <c r="I12" s="33" t="s">
        <v>275</v>
      </c>
      <c r="J12" s="33" t="s">
        <v>276</v>
      </c>
      <c r="L12" s="36" t="s">
        <v>277</v>
      </c>
      <c r="M12" s="36" t="s">
        <v>278</v>
      </c>
    </row>
    <row r="13" spans="1:13" ht="18" customHeight="1" x14ac:dyDescent="0.3">
      <c r="A13" s="33">
        <v>353</v>
      </c>
      <c r="B13" s="33" t="s">
        <v>279</v>
      </c>
      <c r="C13" s="33" t="s">
        <v>280</v>
      </c>
      <c r="D13" s="33" t="s">
        <v>220</v>
      </c>
      <c r="E13" s="35">
        <v>44656</v>
      </c>
      <c r="F13" s="33" t="s">
        <v>281</v>
      </c>
      <c r="G13" s="33" t="s">
        <v>207</v>
      </c>
      <c r="H13" s="33" t="s">
        <v>282</v>
      </c>
      <c r="I13" s="33" t="s">
        <v>283</v>
      </c>
      <c r="J13" s="33" t="s">
        <v>284</v>
      </c>
      <c r="L13" s="33" t="s">
        <v>238</v>
      </c>
      <c r="M13" s="33">
        <v>219</v>
      </c>
    </row>
    <row r="14" spans="1:13" ht="18" customHeight="1" x14ac:dyDescent="0.3">
      <c r="A14" s="33">
        <v>332</v>
      </c>
      <c r="B14" s="33" t="s">
        <v>285</v>
      </c>
      <c r="C14" s="33" t="s">
        <v>286</v>
      </c>
      <c r="D14" s="33" t="s">
        <v>238</v>
      </c>
      <c r="E14" s="35">
        <v>44858</v>
      </c>
      <c r="F14" s="33" t="s">
        <v>221</v>
      </c>
      <c r="G14" s="33" t="s">
        <v>205</v>
      </c>
      <c r="H14" s="33" t="s">
        <v>287</v>
      </c>
      <c r="I14" s="33" t="s">
        <v>288</v>
      </c>
      <c r="J14" s="33" t="s">
        <v>289</v>
      </c>
      <c r="L14" s="33" t="s">
        <v>220</v>
      </c>
      <c r="M14" s="33">
        <v>215</v>
      </c>
    </row>
    <row r="15" spans="1:13" ht="18" customHeight="1" x14ac:dyDescent="0.3">
      <c r="A15" s="33">
        <v>414</v>
      </c>
      <c r="B15" s="33" t="s">
        <v>290</v>
      </c>
      <c r="C15" s="33" t="s">
        <v>291</v>
      </c>
      <c r="D15" s="33" t="s">
        <v>238</v>
      </c>
      <c r="E15" s="35">
        <v>44794</v>
      </c>
      <c r="F15" s="33" t="s">
        <v>227</v>
      </c>
      <c r="G15" s="33" t="s">
        <v>208</v>
      </c>
      <c r="H15" s="33" t="s">
        <v>292</v>
      </c>
      <c r="I15" s="33" t="s">
        <v>293</v>
      </c>
      <c r="J15" s="33" t="s">
        <v>294</v>
      </c>
    </row>
    <row r="16" spans="1:13" ht="18" customHeight="1" x14ac:dyDescent="0.3">
      <c r="A16" s="33">
        <v>236</v>
      </c>
      <c r="B16" s="33" t="s">
        <v>295</v>
      </c>
      <c r="C16" s="33" t="s">
        <v>296</v>
      </c>
      <c r="D16" s="33" t="s">
        <v>220</v>
      </c>
      <c r="E16" s="35">
        <v>44820</v>
      </c>
      <c r="F16" s="33" t="s">
        <v>221</v>
      </c>
      <c r="G16" s="33" t="s">
        <v>205</v>
      </c>
      <c r="H16" s="33" t="s">
        <v>297</v>
      </c>
      <c r="I16" s="33" t="s">
        <v>298</v>
      </c>
      <c r="J16" s="33" t="s">
        <v>299</v>
      </c>
    </row>
    <row r="17" spans="1:10" ht="18" customHeight="1" x14ac:dyDescent="0.3">
      <c r="A17" s="33">
        <v>164</v>
      </c>
      <c r="B17" s="33" t="s">
        <v>300</v>
      </c>
      <c r="C17" s="33" t="s">
        <v>301</v>
      </c>
      <c r="D17" s="33" t="s">
        <v>238</v>
      </c>
      <c r="E17" s="35">
        <v>44678</v>
      </c>
      <c r="F17" s="33" t="s">
        <v>239</v>
      </c>
      <c r="G17" s="33" t="s">
        <v>204</v>
      </c>
      <c r="H17" s="33" t="s">
        <v>302</v>
      </c>
      <c r="I17" s="33" t="s">
        <v>303</v>
      </c>
      <c r="J17" s="33" t="s">
        <v>304</v>
      </c>
    </row>
    <row r="18" spans="1:10" ht="18" customHeight="1" x14ac:dyDescent="0.3">
      <c r="A18" s="33">
        <v>490</v>
      </c>
      <c r="B18" s="33" t="s">
        <v>305</v>
      </c>
      <c r="C18" s="33" t="s">
        <v>306</v>
      </c>
      <c r="D18" s="33" t="s">
        <v>238</v>
      </c>
      <c r="E18" s="35">
        <v>44603</v>
      </c>
      <c r="F18" s="33" t="s">
        <v>239</v>
      </c>
      <c r="G18" s="33" t="s">
        <v>204</v>
      </c>
      <c r="H18" s="33" t="s">
        <v>307</v>
      </c>
      <c r="I18" s="33" t="s">
        <v>308</v>
      </c>
      <c r="J18" s="33" t="s">
        <v>309</v>
      </c>
    </row>
    <row r="19" spans="1:10" ht="18" customHeight="1" x14ac:dyDescent="0.3">
      <c r="A19" s="33">
        <v>223</v>
      </c>
      <c r="B19" s="33" t="s">
        <v>310</v>
      </c>
      <c r="C19" s="33" t="s">
        <v>311</v>
      </c>
      <c r="D19" s="33" t="s">
        <v>220</v>
      </c>
      <c r="E19" s="35">
        <v>44893</v>
      </c>
      <c r="F19" s="33" t="s">
        <v>244</v>
      </c>
      <c r="G19" s="33" t="s">
        <v>206</v>
      </c>
      <c r="H19" s="33" t="s">
        <v>312</v>
      </c>
      <c r="I19" s="33" t="s">
        <v>313</v>
      </c>
      <c r="J19" s="33" t="s">
        <v>314</v>
      </c>
    </row>
    <row r="20" spans="1:10" ht="18" customHeight="1" x14ac:dyDescent="0.3">
      <c r="A20" s="33">
        <v>204</v>
      </c>
      <c r="B20" s="33" t="s">
        <v>315</v>
      </c>
      <c r="C20" s="33" t="s">
        <v>316</v>
      </c>
      <c r="D20" s="33" t="s">
        <v>220</v>
      </c>
      <c r="E20" s="35">
        <v>44867</v>
      </c>
      <c r="F20" s="33" t="s">
        <v>239</v>
      </c>
      <c r="G20" s="33" t="s">
        <v>204</v>
      </c>
      <c r="H20" s="33" t="s">
        <v>317</v>
      </c>
      <c r="I20" s="33" t="s">
        <v>318</v>
      </c>
      <c r="J20" s="33" t="s">
        <v>319</v>
      </c>
    </row>
    <row r="21" spans="1:10" ht="18" customHeight="1" x14ac:dyDescent="0.3">
      <c r="A21" s="33">
        <v>481</v>
      </c>
      <c r="B21" s="33" t="s">
        <v>320</v>
      </c>
      <c r="C21" s="33" t="s">
        <v>321</v>
      </c>
      <c r="D21" s="33" t="s">
        <v>220</v>
      </c>
      <c r="E21" s="35">
        <v>44756</v>
      </c>
      <c r="F21" s="33" t="s">
        <v>227</v>
      </c>
      <c r="G21" s="33" t="s">
        <v>208</v>
      </c>
      <c r="H21" s="33" t="s">
        <v>322</v>
      </c>
      <c r="I21" s="33" t="s">
        <v>323</v>
      </c>
      <c r="J21" s="33" t="s">
        <v>324</v>
      </c>
    </row>
    <row r="22" spans="1:10" ht="18" customHeight="1" x14ac:dyDescent="0.3">
      <c r="A22" s="33">
        <v>363</v>
      </c>
      <c r="B22" s="33" t="s">
        <v>325</v>
      </c>
      <c r="C22" s="33" t="s">
        <v>326</v>
      </c>
      <c r="D22" s="33" t="s">
        <v>238</v>
      </c>
      <c r="E22" s="35">
        <v>44675</v>
      </c>
      <c r="F22" s="33" t="s">
        <v>221</v>
      </c>
      <c r="G22" s="33" t="s">
        <v>205</v>
      </c>
      <c r="H22" s="33" t="s">
        <v>327</v>
      </c>
      <c r="I22" s="33" t="s">
        <v>328</v>
      </c>
      <c r="J22" s="33" t="s">
        <v>329</v>
      </c>
    </row>
    <row r="23" spans="1:10" ht="18" customHeight="1" x14ac:dyDescent="0.3">
      <c r="A23" s="33">
        <v>397</v>
      </c>
      <c r="B23" s="33" t="s">
        <v>330</v>
      </c>
      <c r="C23" s="33" t="s">
        <v>331</v>
      </c>
      <c r="D23" s="33" t="s">
        <v>238</v>
      </c>
      <c r="E23" s="35">
        <v>44728</v>
      </c>
      <c r="F23" s="33" t="s">
        <v>227</v>
      </c>
      <c r="G23" s="33" t="s">
        <v>208</v>
      </c>
      <c r="H23" s="33" t="s">
        <v>332</v>
      </c>
      <c r="I23" s="33" t="s">
        <v>333</v>
      </c>
      <c r="J23" s="33" t="s">
        <v>328</v>
      </c>
    </row>
    <row r="24" spans="1:10" ht="18" customHeight="1" x14ac:dyDescent="0.3">
      <c r="A24" s="33">
        <v>280</v>
      </c>
      <c r="B24" s="33" t="s">
        <v>334</v>
      </c>
      <c r="C24" s="33" t="s">
        <v>335</v>
      </c>
      <c r="D24" s="33" t="s">
        <v>238</v>
      </c>
      <c r="E24" s="35">
        <v>44563</v>
      </c>
      <c r="F24" s="33" t="s">
        <v>239</v>
      </c>
      <c r="G24" s="33" t="s">
        <v>204</v>
      </c>
      <c r="H24" s="33" t="s">
        <v>336</v>
      </c>
      <c r="I24" s="33" t="s">
        <v>337</v>
      </c>
      <c r="J24" s="33" t="s">
        <v>338</v>
      </c>
    </row>
    <row r="25" spans="1:10" ht="18" customHeight="1" x14ac:dyDescent="0.3">
      <c r="A25" s="33">
        <v>39</v>
      </c>
      <c r="B25" s="33" t="s">
        <v>339</v>
      </c>
      <c r="C25" s="33" t="s">
        <v>340</v>
      </c>
      <c r="D25" s="33" t="s">
        <v>220</v>
      </c>
      <c r="E25" s="35">
        <v>44653</v>
      </c>
      <c r="F25" s="33" t="s">
        <v>227</v>
      </c>
      <c r="G25" s="33" t="s">
        <v>208</v>
      </c>
      <c r="H25" s="33" t="s">
        <v>341</v>
      </c>
      <c r="I25" s="33" t="s">
        <v>342</v>
      </c>
      <c r="J25" s="33" t="s">
        <v>343</v>
      </c>
    </row>
    <row r="26" spans="1:10" ht="18" customHeight="1" x14ac:dyDescent="0.3">
      <c r="A26" s="33">
        <v>303</v>
      </c>
      <c r="B26" s="33" t="s">
        <v>344</v>
      </c>
      <c r="C26" s="33" t="s">
        <v>345</v>
      </c>
      <c r="D26" s="33" t="s">
        <v>238</v>
      </c>
      <c r="E26" s="35">
        <v>44689</v>
      </c>
      <c r="F26" s="33" t="s">
        <v>221</v>
      </c>
      <c r="G26" s="33" t="s">
        <v>205</v>
      </c>
      <c r="H26" s="33" t="s">
        <v>346</v>
      </c>
      <c r="I26" s="33" t="s">
        <v>347</v>
      </c>
      <c r="J26" s="33" t="s">
        <v>348</v>
      </c>
    </row>
    <row r="27" spans="1:10" ht="18" customHeight="1" x14ac:dyDescent="0.3">
      <c r="A27" s="33">
        <v>422</v>
      </c>
      <c r="B27" s="33" t="s">
        <v>349</v>
      </c>
      <c r="C27" s="33" t="s">
        <v>350</v>
      </c>
      <c r="D27" s="33" t="s">
        <v>238</v>
      </c>
      <c r="E27" s="35">
        <v>44784</v>
      </c>
      <c r="F27" s="33" t="s">
        <v>244</v>
      </c>
      <c r="G27" s="33" t="s">
        <v>206</v>
      </c>
      <c r="H27" s="33" t="s">
        <v>351</v>
      </c>
      <c r="I27" s="33" t="s">
        <v>352</v>
      </c>
      <c r="J27" s="33" t="s">
        <v>353</v>
      </c>
    </row>
    <row r="28" spans="1:10" ht="18" customHeight="1" x14ac:dyDescent="0.3">
      <c r="A28" s="33">
        <v>24</v>
      </c>
      <c r="B28" s="33" t="s">
        <v>354</v>
      </c>
      <c r="C28" s="33" t="s">
        <v>355</v>
      </c>
      <c r="D28" s="33" t="s">
        <v>220</v>
      </c>
      <c r="E28" s="35">
        <v>44609</v>
      </c>
      <c r="F28" s="33" t="s">
        <v>221</v>
      </c>
      <c r="G28" s="33" t="s">
        <v>205</v>
      </c>
      <c r="H28" s="33" t="s">
        <v>356</v>
      </c>
      <c r="I28" s="33" t="s">
        <v>251</v>
      </c>
      <c r="J28" s="33" t="s">
        <v>357</v>
      </c>
    </row>
    <row r="29" spans="1:10" ht="18" customHeight="1" x14ac:dyDescent="0.3">
      <c r="A29" s="33">
        <v>112</v>
      </c>
      <c r="B29" s="33" t="s">
        <v>358</v>
      </c>
      <c r="C29" s="33" t="s">
        <v>359</v>
      </c>
      <c r="D29" s="33" t="s">
        <v>238</v>
      </c>
      <c r="E29" s="35">
        <v>44652</v>
      </c>
      <c r="F29" s="33" t="s">
        <v>239</v>
      </c>
      <c r="G29" s="33" t="s">
        <v>204</v>
      </c>
      <c r="H29" s="33" t="s">
        <v>360</v>
      </c>
      <c r="I29" s="33" t="s">
        <v>361</v>
      </c>
      <c r="J29" s="33" t="s">
        <v>362</v>
      </c>
    </row>
    <row r="30" spans="1:10" ht="18" customHeight="1" x14ac:dyDescent="0.3">
      <c r="A30" s="33">
        <v>451</v>
      </c>
      <c r="B30" s="33" t="s">
        <v>363</v>
      </c>
      <c r="C30" s="33" t="s">
        <v>364</v>
      </c>
      <c r="D30" s="33" t="s">
        <v>220</v>
      </c>
      <c r="E30" s="35">
        <v>44584</v>
      </c>
      <c r="F30" s="33" t="s">
        <v>239</v>
      </c>
      <c r="G30" s="33" t="s">
        <v>204</v>
      </c>
      <c r="H30" s="33" t="s">
        <v>365</v>
      </c>
      <c r="I30" s="33" t="s">
        <v>366</v>
      </c>
      <c r="J30" s="33" t="s">
        <v>367</v>
      </c>
    </row>
    <row r="31" spans="1:10" ht="18" customHeight="1" x14ac:dyDescent="0.3">
      <c r="A31" s="33">
        <v>131</v>
      </c>
      <c r="B31" s="33" t="s">
        <v>368</v>
      </c>
      <c r="C31" s="33" t="s">
        <v>369</v>
      </c>
      <c r="D31" s="33" t="s">
        <v>220</v>
      </c>
      <c r="E31" s="35">
        <v>44693</v>
      </c>
      <c r="F31" s="33" t="s">
        <v>239</v>
      </c>
      <c r="G31" s="33" t="s">
        <v>204</v>
      </c>
      <c r="H31" s="33" t="s">
        <v>370</v>
      </c>
      <c r="I31" s="33" t="s">
        <v>371</v>
      </c>
      <c r="J31" s="33" t="s">
        <v>372</v>
      </c>
    </row>
    <row r="32" spans="1:10" ht="18" customHeight="1" x14ac:dyDescent="0.3">
      <c r="A32" s="33">
        <v>160</v>
      </c>
      <c r="B32" s="33" t="s">
        <v>373</v>
      </c>
      <c r="C32" s="33" t="s">
        <v>374</v>
      </c>
      <c r="D32" s="33" t="s">
        <v>220</v>
      </c>
      <c r="E32" s="35">
        <v>44649</v>
      </c>
      <c r="F32" s="33" t="s">
        <v>221</v>
      </c>
      <c r="G32" s="33" t="s">
        <v>205</v>
      </c>
      <c r="H32" s="33" t="s">
        <v>375</v>
      </c>
      <c r="I32" s="33" t="s">
        <v>376</v>
      </c>
      <c r="J32" s="33" t="s">
        <v>377</v>
      </c>
    </row>
    <row r="33" spans="1:10" ht="18" customHeight="1" x14ac:dyDescent="0.3">
      <c r="A33" s="33">
        <v>408</v>
      </c>
      <c r="B33" s="33" t="s">
        <v>378</v>
      </c>
      <c r="C33" s="33" t="s">
        <v>379</v>
      </c>
      <c r="D33" s="33" t="s">
        <v>238</v>
      </c>
      <c r="E33" s="35">
        <v>44857</v>
      </c>
      <c r="F33" s="33" t="s">
        <v>239</v>
      </c>
      <c r="G33" s="33" t="s">
        <v>204</v>
      </c>
      <c r="H33" s="33" t="s">
        <v>292</v>
      </c>
      <c r="I33" s="33" t="s">
        <v>380</v>
      </c>
      <c r="J33" s="33" t="s">
        <v>381</v>
      </c>
    </row>
    <row r="34" spans="1:10" ht="18" customHeight="1" x14ac:dyDescent="0.3">
      <c r="A34" s="33">
        <v>324</v>
      </c>
      <c r="B34" s="33" t="s">
        <v>382</v>
      </c>
      <c r="C34" s="33" t="s">
        <v>383</v>
      </c>
      <c r="D34" s="33" t="s">
        <v>238</v>
      </c>
      <c r="E34" s="35">
        <v>44761</v>
      </c>
      <c r="F34" s="33" t="s">
        <v>221</v>
      </c>
      <c r="G34" s="33" t="s">
        <v>205</v>
      </c>
      <c r="H34" s="33" t="s">
        <v>384</v>
      </c>
      <c r="I34" s="33" t="s">
        <v>224</v>
      </c>
      <c r="J34" s="33" t="s">
        <v>385</v>
      </c>
    </row>
    <row r="35" spans="1:10" ht="18" customHeight="1" x14ac:dyDescent="0.3">
      <c r="A35" s="33">
        <v>310</v>
      </c>
      <c r="B35" s="33" t="s">
        <v>386</v>
      </c>
      <c r="C35" s="33" t="s">
        <v>387</v>
      </c>
      <c r="D35" s="33" t="s">
        <v>238</v>
      </c>
      <c r="E35" s="35">
        <v>44807</v>
      </c>
      <c r="F35" s="33" t="s">
        <v>281</v>
      </c>
      <c r="G35" s="33" t="s">
        <v>207</v>
      </c>
      <c r="H35" s="33" t="s">
        <v>388</v>
      </c>
      <c r="I35" s="33" t="s">
        <v>389</v>
      </c>
      <c r="J35" s="33" t="s">
        <v>390</v>
      </c>
    </row>
    <row r="36" spans="1:10" ht="18" customHeight="1" x14ac:dyDescent="0.3">
      <c r="A36" s="33">
        <v>179</v>
      </c>
      <c r="B36" s="33" t="s">
        <v>391</v>
      </c>
      <c r="C36" s="33" t="s">
        <v>392</v>
      </c>
      <c r="D36" s="33" t="s">
        <v>220</v>
      </c>
      <c r="E36" s="35">
        <v>44833</v>
      </c>
      <c r="F36" s="33" t="s">
        <v>239</v>
      </c>
      <c r="G36" s="33" t="s">
        <v>204</v>
      </c>
      <c r="H36" s="33" t="s">
        <v>393</v>
      </c>
      <c r="I36" s="33" t="s">
        <v>394</v>
      </c>
      <c r="J36" s="33" t="s">
        <v>395</v>
      </c>
    </row>
    <row r="37" spans="1:10" ht="18" customHeight="1" x14ac:dyDescent="0.3">
      <c r="A37" s="33">
        <v>64</v>
      </c>
      <c r="B37" s="33" t="s">
        <v>396</v>
      </c>
      <c r="C37" s="33" t="s">
        <v>397</v>
      </c>
      <c r="D37" s="33" t="s">
        <v>220</v>
      </c>
      <c r="E37" s="35">
        <v>44707</v>
      </c>
      <c r="F37" s="33" t="s">
        <v>221</v>
      </c>
      <c r="G37" s="33" t="s">
        <v>205</v>
      </c>
      <c r="H37" s="33" t="s">
        <v>398</v>
      </c>
      <c r="I37" s="33" t="s">
        <v>399</v>
      </c>
      <c r="J37" s="33" t="s">
        <v>400</v>
      </c>
    </row>
    <row r="38" spans="1:10" ht="18" customHeight="1" x14ac:dyDescent="0.3">
      <c r="A38" s="33">
        <v>318</v>
      </c>
      <c r="B38" s="33" t="s">
        <v>401</v>
      </c>
      <c r="C38" s="33" t="s">
        <v>402</v>
      </c>
      <c r="D38" s="33" t="s">
        <v>220</v>
      </c>
      <c r="E38" s="35">
        <v>44892</v>
      </c>
      <c r="F38" s="33" t="s">
        <v>221</v>
      </c>
      <c r="G38" s="33" t="s">
        <v>205</v>
      </c>
      <c r="H38" s="33" t="s">
        <v>403</v>
      </c>
      <c r="I38" s="33" t="s">
        <v>404</v>
      </c>
      <c r="J38" s="33" t="s">
        <v>405</v>
      </c>
    </row>
    <row r="39" spans="1:10" ht="18" customHeight="1" x14ac:dyDescent="0.3">
      <c r="A39" s="33">
        <v>239</v>
      </c>
      <c r="B39" s="33" t="s">
        <v>406</v>
      </c>
      <c r="C39" s="33" t="s">
        <v>407</v>
      </c>
      <c r="D39" s="33" t="s">
        <v>238</v>
      </c>
      <c r="E39" s="35">
        <v>44767</v>
      </c>
      <c r="F39" s="33" t="s">
        <v>221</v>
      </c>
      <c r="G39" s="33" t="s">
        <v>205</v>
      </c>
      <c r="H39" s="33" t="s">
        <v>303</v>
      </c>
      <c r="I39" s="33" t="s">
        <v>408</v>
      </c>
      <c r="J39" s="33" t="s">
        <v>409</v>
      </c>
    </row>
    <row r="40" spans="1:10" ht="18" customHeight="1" x14ac:dyDescent="0.3">
      <c r="A40" s="33">
        <v>194</v>
      </c>
      <c r="B40" s="33" t="s">
        <v>410</v>
      </c>
      <c r="C40" s="33" t="s">
        <v>411</v>
      </c>
      <c r="D40" s="33" t="s">
        <v>220</v>
      </c>
      <c r="E40" s="35">
        <v>44924</v>
      </c>
      <c r="F40" s="33" t="s">
        <v>239</v>
      </c>
      <c r="G40" s="33" t="s">
        <v>204</v>
      </c>
      <c r="H40" s="33" t="s">
        <v>412</v>
      </c>
      <c r="I40" s="33" t="s">
        <v>282</v>
      </c>
      <c r="J40" s="33" t="s">
        <v>413</v>
      </c>
    </row>
    <row r="41" spans="1:10" ht="18" customHeight="1" x14ac:dyDescent="0.3">
      <c r="A41" s="33">
        <v>267</v>
      </c>
      <c r="B41" s="33" t="s">
        <v>414</v>
      </c>
      <c r="C41" s="33" t="s">
        <v>415</v>
      </c>
      <c r="D41" s="33" t="s">
        <v>220</v>
      </c>
      <c r="E41" s="35">
        <v>44910</v>
      </c>
      <c r="F41" s="33" t="s">
        <v>239</v>
      </c>
      <c r="G41" s="33" t="s">
        <v>204</v>
      </c>
      <c r="H41" s="33" t="s">
        <v>416</v>
      </c>
      <c r="I41" s="33" t="s">
        <v>417</v>
      </c>
      <c r="J41" s="33" t="s">
        <v>418</v>
      </c>
    </row>
    <row r="42" spans="1:10" ht="18" customHeight="1" x14ac:dyDescent="0.3">
      <c r="A42" s="33">
        <v>334</v>
      </c>
      <c r="B42" s="33" t="s">
        <v>419</v>
      </c>
      <c r="C42" s="33" t="s">
        <v>420</v>
      </c>
      <c r="D42" s="33" t="s">
        <v>238</v>
      </c>
      <c r="E42" s="35">
        <v>44881</v>
      </c>
      <c r="F42" s="33" t="s">
        <v>244</v>
      </c>
      <c r="G42" s="33" t="s">
        <v>206</v>
      </c>
      <c r="H42" s="33" t="s">
        <v>421</v>
      </c>
      <c r="I42" s="33" t="s">
        <v>422</v>
      </c>
      <c r="J42" s="33" t="s">
        <v>423</v>
      </c>
    </row>
    <row r="43" spans="1:10" ht="18" customHeight="1" x14ac:dyDescent="0.3">
      <c r="A43" s="33">
        <v>47</v>
      </c>
      <c r="B43" s="33" t="s">
        <v>424</v>
      </c>
      <c r="C43" s="33" t="s">
        <v>425</v>
      </c>
      <c r="D43" s="33" t="s">
        <v>238</v>
      </c>
      <c r="E43" s="35">
        <v>44693</v>
      </c>
      <c r="F43" s="33" t="s">
        <v>227</v>
      </c>
      <c r="G43" s="33" t="s">
        <v>208</v>
      </c>
      <c r="H43" s="33" t="s">
        <v>426</v>
      </c>
      <c r="I43" s="33" t="s">
        <v>427</v>
      </c>
      <c r="J43" s="33" t="s">
        <v>428</v>
      </c>
    </row>
    <row r="44" spans="1:10" ht="18" customHeight="1" x14ac:dyDescent="0.3">
      <c r="A44" s="33">
        <v>287</v>
      </c>
      <c r="B44" s="33" t="s">
        <v>429</v>
      </c>
      <c r="C44" s="33" t="s">
        <v>430</v>
      </c>
      <c r="D44" s="33" t="s">
        <v>220</v>
      </c>
      <c r="E44" s="35">
        <v>44608</v>
      </c>
      <c r="F44" s="33" t="s">
        <v>239</v>
      </c>
      <c r="G44" s="33" t="s">
        <v>204</v>
      </c>
      <c r="H44" s="33" t="s">
        <v>431</v>
      </c>
      <c r="I44" s="33" t="s">
        <v>432</v>
      </c>
      <c r="J44" s="33" t="s">
        <v>433</v>
      </c>
    </row>
    <row r="45" spans="1:10" ht="18" customHeight="1" x14ac:dyDescent="0.3">
      <c r="A45" s="33">
        <v>145</v>
      </c>
      <c r="B45" s="33" t="s">
        <v>434</v>
      </c>
      <c r="C45" s="33" t="s">
        <v>435</v>
      </c>
      <c r="D45" s="33" t="s">
        <v>238</v>
      </c>
      <c r="E45" s="35">
        <v>44653</v>
      </c>
      <c r="F45" s="33" t="s">
        <v>244</v>
      </c>
      <c r="G45" s="33" t="s">
        <v>206</v>
      </c>
      <c r="H45" s="33" t="s">
        <v>436</v>
      </c>
      <c r="I45" s="33" t="s">
        <v>294</v>
      </c>
      <c r="J45" s="33" t="s">
        <v>292</v>
      </c>
    </row>
    <row r="46" spans="1:10" ht="18" customHeight="1" x14ac:dyDescent="0.3">
      <c r="A46" s="33">
        <v>270</v>
      </c>
      <c r="B46" s="33" t="s">
        <v>437</v>
      </c>
      <c r="C46" s="33" t="s">
        <v>438</v>
      </c>
      <c r="D46" s="33" t="s">
        <v>220</v>
      </c>
      <c r="E46" s="35">
        <v>44827</v>
      </c>
      <c r="F46" s="33" t="s">
        <v>281</v>
      </c>
      <c r="G46" s="33" t="s">
        <v>207</v>
      </c>
      <c r="H46" s="33" t="s">
        <v>439</v>
      </c>
      <c r="I46" s="33" t="s">
        <v>440</v>
      </c>
      <c r="J46" s="33" t="s">
        <v>441</v>
      </c>
    </row>
    <row r="47" spans="1:10" ht="18" customHeight="1" x14ac:dyDescent="0.3">
      <c r="A47" s="33">
        <v>183</v>
      </c>
      <c r="B47" s="33" t="s">
        <v>442</v>
      </c>
      <c r="C47" s="33" t="s">
        <v>443</v>
      </c>
      <c r="D47" s="33" t="s">
        <v>220</v>
      </c>
      <c r="E47" s="35">
        <v>44900</v>
      </c>
      <c r="F47" s="33" t="s">
        <v>281</v>
      </c>
      <c r="G47" s="33" t="s">
        <v>207</v>
      </c>
      <c r="H47" s="33" t="s">
        <v>444</v>
      </c>
      <c r="I47" s="33" t="s">
        <v>445</v>
      </c>
      <c r="J47" s="33" t="s">
        <v>446</v>
      </c>
    </row>
    <row r="48" spans="1:10" ht="18" customHeight="1" x14ac:dyDescent="0.3">
      <c r="A48" s="33">
        <v>2</v>
      </c>
      <c r="B48" s="33" t="s">
        <v>447</v>
      </c>
      <c r="C48" s="33" t="s">
        <v>448</v>
      </c>
      <c r="D48" s="33" t="s">
        <v>238</v>
      </c>
      <c r="E48" s="35">
        <v>44775</v>
      </c>
      <c r="F48" s="33" t="s">
        <v>221</v>
      </c>
      <c r="G48" s="33" t="s">
        <v>205</v>
      </c>
      <c r="H48" s="33" t="s">
        <v>449</v>
      </c>
      <c r="I48" s="33" t="s">
        <v>450</v>
      </c>
      <c r="J48" s="33" t="s">
        <v>360</v>
      </c>
    </row>
    <row r="49" spans="1:10" ht="18" customHeight="1" x14ac:dyDescent="0.3">
      <c r="A49" s="33">
        <v>229</v>
      </c>
      <c r="B49" s="33" t="s">
        <v>451</v>
      </c>
      <c r="C49" s="33" t="s">
        <v>452</v>
      </c>
      <c r="D49" s="33" t="s">
        <v>238</v>
      </c>
      <c r="E49" s="35">
        <v>44766</v>
      </c>
      <c r="F49" s="33" t="s">
        <v>227</v>
      </c>
      <c r="G49" s="33" t="s">
        <v>208</v>
      </c>
      <c r="H49" s="33" t="s">
        <v>453</v>
      </c>
      <c r="I49" s="33" t="s">
        <v>454</v>
      </c>
      <c r="J49" s="33" t="s">
        <v>455</v>
      </c>
    </row>
    <row r="50" spans="1:10" ht="18" customHeight="1" x14ac:dyDescent="0.3">
      <c r="A50" s="33">
        <v>385</v>
      </c>
      <c r="B50" s="33" t="s">
        <v>456</v>
      </c>
      <c r="C50" s="33" t="s">
        <v>457</v>
      </c>
      <c r="D50" s="33" t="s">
        <v>238</v>
      </c>
      <c r="E50" s="35">
        <v>44753</v>
      </c>
      <c r="F50" s="33" t="s">
        <v>244</v>
      </c>
      <c r="G50" s="33" t="s">
        <v>206</v>
      </c>
      <c r="H50" s="33" t="s">
        <v>458</v>
      </c>
      <c r="I50" s="33" t="s">
        <v>459</v>
      </c>
      <c r="J50" s="33" t="s">
        <v>460</v>
      </c>
    </row>
    <row r="51" spans="1:10" ht="18" customHeight="1" x14ac:dyDescent="0.3">
      <c r="A51" s="33">
        <v>407</v>
      </c>
      <c r="B51" s="33" t="s">
        <v>461</v>
      </c>
      <c r="C51" s="33" t="s">
        <v>462</v>
      </c>
      <c r="D51" s="33" t="s">
        <v>220</v>
      </c>
      <c r="E51" s="35">
        <v>44621</v>
      </c>
      <c r="F51" s="33" t="s">
        <v>227</v>
      </c>
      <c r="G51" s="33" t="s">
        <v>208</v>
      </c>
      <c r="H51" s="33" t="s">
        <v>463</v>
      </c>
      <c r="I51" s="33" t="s">
        <v>464</v>
      </c>
      <c r="J51" s="33" t="s">
        <v>465</v>
      </c>
    </row>
    <row r="52" spans="1:10" ht="18" customHeight="1" x14ac:dyDescent="0.3">
      <c r="A52" s="33">
        <v>493</v>
      </c>
      <c r="B52" s="33" t="s">
        <v>466</v>
      </c>
      <c r="C52" s="33" t="s">
        <v>467</v>
      </c>
      <c r="D52" s="33" t="s">
        <v>220</v>
      </c>
      <c r="E52" s="35">
        <v>44855</v>
      </c>
      <c r="F52" s="33" t="s">
        <v>244</v>
      </c>
      <c r="G52" s="33" t="s">
        <v>206</v>
      </c>
      <c r="H52" s="33" t="s">
        <v>468</v>
      </c>
      <c r="I52" s="33" t="s">
        <v>469</v>
      </c>
      <c r="J52" s="33" t="s">
        <v>470</v>
      </c>
    </row>
    <row r="53" spans="1:10" ht="18" customHeight="1" x14ac:dyDescent="0.3">
      <c r="A53" s="33">
        <v>34</v>
      </c>
      <c r="B53" s="33" t="s">
        <v>471</v>
      </c>
      <c r="C53" s="33" t="s">
        <v>472</v>
      </c>
      <c r="D53" s="33" t="s">
        <v>238</v>
      </c>
      <c r="E53" s="35">
        <v>44654</v>
      </c>
      <c r="F53" s="33" t="s">
        <v>281</v>
      </c>
      <c r="G53" s="33" t="s">
        <v>207</v>
      </c>
      <c r="H53" s="33" t="s">
        <v>473</v>
      </c>
      <c r="I53" s="33" t="s">
        <v>474</v>
      </c>
      <c r="J53" s="33" t="s">
        <v>475</v>
      </c>
    </row>
    <row r="54" spans="1:10" ht="18" customHeight="1" x14ac:dyDescent="0.3">
      <c r="A54" s="33">
        <v>190</v>
      </c>
      <c r="B54" s="33" t="s">
        <v>476</v>
      </c>
      <c r="C54" s="33" t="s">
        <v>477</v>
      </c>
      <c r="D54" s="33" t="s">
        <v>238</v>
      </c>
      <c r="E54" s="35">
        <v>44689</v>
      </c>
      <c r="F54" s="33" t="s">
        <v>227</v>
      </c>
      <c r="G54" s="33" t="s">
        <v>208</v>
      </c>
      <c r="H54" s="33" t="s">
        <v>470</v>
      </c>
      <c r="I54" s="33" t="s">
        <v>478</v>
      </c>
      <c r="J54" s="33" t="s">
        <v>479</v>
      </c>
    </row>
    <row r="55" spans="1:10" ht="18" customHeight="1" x14ac:dyDescent="0.3">
      <c r="A55" s="33">
        <v>266</v>
      </c>
      <c r="B55" s="33" t="s">
        <v>480</v>
      </c>
      <c r="C55" s="33" t="s">
        <v>481</v>
      </c>
      <c r="D55" s="33" t="s">
        <v>238</v>
      </c>
      <c r="E55" s="35">
        <v>44795</v>
      </c>
      <c r="F55" s="33" t="s">
        <v>239</v>
      </c>
      <c r="G55" s="33" t="s">
        <v>204</v>
      </c>
      <c r="H55" s="33" t="s">
        <v>482</v>
      </c>
      <c r="I55" s="33" t="s">
        <v>483</v>
      </c>
      <c r="J55" s="33" t="s">
        <v>484</v>
      </c>
    </row>
    <row r="56" spans="1:10" ht="18" customHeight="1" x14ac:dyDescent="0.3">
      <c r="A56" s="33">
        <v>222</v>
      </c>
      <c r="B56" s="33" t="s">
        <v>485</v>
      </c>
      <c r="C56" s="33" t="s">
        <v>486</v>
      </c>
      <c r="D56" s="33" t="s">
        <v>220</v>
      </c>
      <c r="E56" s="35">
        <v>44694</v>
      </c>
      <c r="F56" s="33" t="s">
        <v>244</v>
      </c>
      <c r="G56" s="33" t="s">
        <v>206</v>
      </c>
      <c r="H56" s="33" t="s">
        <v>487</v>
      </c>
      <c r="I56" s="33" t="s">
        <v>488</v>
      </c>
      <c r="J56" s="33" t="s">
        <v>489</v>
      </c>
    </row>
    <row r="57" spans="1:10" ht="18" customHeight="1" x14ac:dyDescent="0.3">
      <c r="A57" s="33">
        <v>382</v>
      </c>
      <c r="B57" s="33" t="s">
        <v>490</v>
      </c>
      <c r="C57" s="33" t="s">
        <v>491</v>
      </c>
      <c r="D57" s="33" t="s">
        <v>220</v>
      </c>
      <c r="E57" s="35">
        <v>44850</v>
      </c>
      <c r="F57" s="33" t="s">
        <v>227</v>
      </c>
      <c r="G57" s="33" t="s">
        <v>208</v>
      </c>
      <c r="H57" s="33" t="s">
        <v>492</v>
      </c>
      <c r="I57" s="33" t="s">
        <v>493</v>
      </c>
      <c r="J57" s="33" t="s">
        <v>494</v>
      </c>
    </row>
    <row r="58" spans="1:10" ht="18" customHeight="1" x14ac:dyDescent="0.3">
      <c r="A58" s="33">
        <v>142</v>
      </c>
      <c r="B58" s="33" t="s">
        <v>495</v>
      </c>
      <c r="C58" s="33" t="s">
        <v>496</v>
      </c>
      <c r="D58" s="33" t="s">
        <v>238</v>
      </c>
      <c r="E58" s="35">
        <v>44683</v>
      </c>
      <c r="F58" s="33" t="s">
        <v>239</v>
      </c>
      <c r="G58" s="33" t="s">
        <v>204</v>
      </c>
      <c r="H58" s="33" t="s">
        <v>287</v>
      </c>
      <c r="I58" s="33" t="s">
        <v>497</v>
      </c>
      <c r="J58" s="33" t="s">
        <v>498</v>
      </c>
    </row>
    <row r="59" spans="1:10" ht="18" customHeight="1" x14ac:dyDescent="0.3">
      <c r="A59" s="33">
        <v>150</v>
      </c>
      <c r="B59" s="33" t="s">
        <v>499</v>
      </c>
      <c r="C59" s="33" t="s">
        <v>500</v>
      </c>
      <c r="D59" s="33" t="s">
        <v>238</v>
      </c>
      <c r="E59" s="35">
        <v>44622</v>
      </c>
      <c r="F59" s="33" t="s">
        <v>221</v>
      </c>
      <c r="G59" s="33" t="s">
        <v>205</v>
      </c>
      <c r="H59" s="33" t="s">
        <v>501</v>
      </c>
      <c r="I59" s="33" t="s">
        <v>502</v>
      </c>
      <c r="J59" s="33" t="s">
        <v>503</v>
      </c>
    </row>
    <row r="60" spans="1:10" ht="18" customHeight="1" x14ac:dyDescent="0.3">
      <c r="A60" s="33">
        <v>14</v>
      </c>
      <c r="B60" s="33" t="s">
        <v>504</v>
      </c>
      <c r="C60" s="33" t="s">
        <v>505</v>
      </c>
      <c r="D60" s="33" t="s">
        <v>220</v>
      </c>
      <c r="E60" s="35">
        <v>44775</v>
      </c>
      <c r="F60" s="33" t="s">
        <v>281</v>
      </c>
      <c r="G60" s="33" t="s">
        <v>207</v>
      </c>
      <c r="H60" s="33" t="s">
        <v>506</v>
      </c>
      <c r="I60" s="33" t="s">
        <v>507</v>
      </c>
      <c r="J60" s="33" t="s">
        <v>508</v>
      </c>
    </row>
    <row r="61" spans="1:10" ht="18" customHeight="1" x14ac:dyDescent="0.3">
      <c r="A61" s="33">
        <v>371</v>
      </c>
      <c r="B61" s="33" t="s">
        <v>509</v>
      </c>
      <c r="C61" s="33" t="s">
        <v>510</v>
      </c>
      <c r="D61" s="33" t="s">
        <v>238</v>
      </c>
      <c r="E61" s="35">
        <v>44844</v>
      </c>
      <c r="F61" s="33" t="s">
        <v>244</v>
      </c>
      <c r="G61" s="33" t="s">
        <v>206</v>
      </c>
      <c r="H61" s="33" t="s">
        <v>511</v>
      </c>
      <c r="I61" s="33" t="s">
        <v>512</v>
      </c>
      <c r="J61" s="33" t="s">
        <v>513</v>
      </c>
    </row>
    <row r="62" spans="1:10" ht="18" customHeight="1" x14ac:dyDescent="0.3">
      <c r="A62" s="33">
        <v>328</v>
      </c>
      <c r="B62" s="33" t="s">
        <v>514</v>
      </c>
      <c r="C62" s="33" t="s">
        <v>515</v>
      </c>
      <c r="D62" s="33" t="s">
        <v>220</v>
      </c>
      <c r="E62" s="35">
        <v>44568</v>
      </c>
      <c r="F62" s="33" t="s">
        <v>239</v>
      </c>
      <c r="G62" s="33" t="s">
        <v>204</v>
      </c>
      <c r="H62" s="33" t="s">
        <v>511</v>
      </c>
      <c r="I62" s="33" t="s">
        <v>516</v>
      </c>
      <c r="J62" s="33" t="s">
        <v>513</v>
      </c>
    </row>
    <row r="63" spans="1:10" ht="18" customHeight="1" x14ac:dyDescent="0.3">
      <c r="A63" s="33">
        <v>171</v>
      </c>
      <c r="B63" s="33" t="s">
        <v>517</v>
      </c>
      <c r="C63" s="33" t="s">
        <v>518</v>
      </c>
      <c r="D63" s="33" t="s">
        <v>220</v>
      </c>
      <c r="E63" s="35">
        <v>44710</v>
      </c>
      <c r="F63" s="33" t="s">
        <v>239</v>
      </c>
      <c r="G63" s="33" t="s">
        <v>204</v>
      </c>
      <c r="H63" s="33" t="s">
        <v>519</v>
      </c>
      <c r="I63" s="33" t="s">
        <v>520</v>
      </c>
      <c r="J63" s="33" t="s">
        <v>521</v>
      </c>
    </row>
    <row r="64" spans="1:10" ht="18" customHeight="1" x14ac:dyDescent="0.3">
      <c r="A64" s="33">
        <v>68</v>
      </c>
      <c r="B64" s="33" t="s">
        <v>522</v>
      </c>
      <c r="C64" s="33" t="s">
        <v>523</v>
      </c>
      <c r="D64" s="33" t="s">
        <v>220</v>
      </c>
      <c r="E64" s="35">
        <v>44882</v>
      </c>
      <c r="F64" s="33" t="s">
        <v>221</v>
      </c>
      <c r="G64" s="33" t="s">
        <v>205</v>
      </c>
      <c r="H64" s="33" t="s">
        <v>524</v>
      </c>
      <c r="I64" s="33" t="s">
        <v>525</v>
      </c>
      <c r="J64" s="33" t="s">
        <v>526</v>
      </c>
    </row>
    <row r="65" spans="1:10" ht="18" customHeight="1" x14ac:dyDescent="0.3">
      <c r="A65" s="33">
        <v>346</v>
      </c>
      <c r="B65" s="33" t="s">
        <v>527</v>
      </c>
      <c r="C65" s="33" t="s">
        <v>528</v>
      </c>
      <c r="D65" s="33" t="s">
        <v>220</v>
      </c>
      <c r="E65" s="35">
        <v>44636</v>
      </c>
      <c r="F65" s="33" t="s">
        <v>239</v>
      </c>
      <c r="G65" s="33" t="s">
        <v>204</v>
      </c>
      <c r="H65" s="33" t="s">
        <v>529</v>
      </c>
      <c r="I65" s="33" t="s">
        <v>530</v>
      </c>
      <c r="J65" s="33" t="s">
        <v>531</v>
      </c>
    </row>
    <row r="66" spans="1:10" ht="18" customHeight="1" x14ac:dyDescent="0.3">
      <c r="A66" s="33">
        <v>415</v>
      </c>
      <c r="B66" s="33" t="s">
        <v>532</v>
      </c>
      <c r="C66" s="33" t="s">
        <v>533</v>
      </c>
      <c r="D66" s="33" t="s">
        <v>220</v>
      </c>
      <c r="E66" s="35">
        <v>44661</v>
      </c>
      <c r="F66" s="33" t="s">
        <v>244</v>
      </c>
      <c r="G66" s="33" t="s">
        <v>206</v>
      </c>
      <c r="H66" s="33" t="s">
        <v>529</v>
      </c>
      <c r="I66" s="33" t="s">
        <v>534</v>
      </c>
      <c r="J66" s="33" t="s">
        <v>535</v>
      </c>
    </row>
    <row r="67" spans="1:10" ht="18" customHeight="1" x14ac:dyDescent="0.3">
      <c r="A67" s="33">
        <v>115</v>
      </c>
      <c r="B67" s="33" t="s">
        <v>536</v>
      </c>
      <c r="C67" s="33" t="s">
        <v>537</v>
      </c>
      <c r="D67" s="33" t="s">
        <v>220</v>
      </c>
      <c r="E67" s="35">
        <v>44832</v>
      </c>
      <c r="F67" s="33" t="s">
        <v>227</v>
      </c>
      <c r="G67" s="33" t="s">
        <v>208</v>
      </c>
      <c r="H67" s="33" t="s">
        <v>538</v>
      </c>
      <c r="I67" s="33" t="s">
        <v>539</v>
      </c>
      <c r="J67" s="33" t="s">
        <v>257</v>
      </c>
    </row>
    <row r="68" spans="1:10" ht="18" customHeight="1" x14ac:dyDescent="0.3">
      <c r="A68" s="33">
        <v>42</v>
      </c>
      <c r="B68" s="33" t="s">
        <v>540</v>
      </c>
      <c r="C68" s="33" t="s">
        <v>541</v>
      </c>
      <c r="D68" s="33" t="s">
        <v>220</v>
      </c>
      <c r="E68" s="35">
        <v>44783</v>
      </c>
      <c r="F68" s="33" t="s">
        <v>281</v>
      </c>
      <c r="G68" s="33" t="s">
        <v>207</v>
      </c>
      <c r="H68" s="33" t="s">
        <v>542</v>
      </c>
      <c r="I68" s="33" t="s">
        <v>543</v>
      </c>
      <c r="J68" s="33" t="s">
        <v>304</v>
      </c>
    </row>
    <row r="69" spans="1:10" ht="18" customHeight="1" x14ac:dyDescent="0.3">
      <c r="A69" s="33">
        <v>378</v>
      </c>
      <c r="B69" s="33" t="s">
        <v>544</v>
      </c>
      <c r="C69" s="33" t="s">
        <v>545</v>
      </c>
      <c r="D69" s="33" t="s">
        <v>238</v>
      </c>
      <c r="E69" s="35">
        <v>44710</v>
      </c>
      <c r="F69" s="33" t="s">
        <v>239</v>
      </c>
      <c r="G69" s="33" t="s">
        <v>204</v>
      </c>
      <c r="H69" s="33" t="s">
        <v>546</v>
      </c>
      <c r="I69" s="33" t="s">
        <v>547</v>
      </c>
      <c r="J69" s="33" t="s">
        <v>548</v>
      </c>
    </row>
    <row r="70" spans="1:10" ht="18" customHeight="1" x14ac:dyDescent="0.3">
      <c r="A70" s="33">
        <v>449</v>
      </c>
      <c r="B70" s="33" t="s">
        <v>549</v>
      </c>
      <c r="C70" s="33" t="s">
        <v>550</v>
      </c>
      <c r="D70" s="33" t="s">
        <v>238</v>
      </c>
      <c r="E70" s="35">
        <v>44645</v>
      </c>
      <c r="F70" s="33" t="s">
        <v>281</v>
      </c>
      <c r="G70" s="33" t="s">
        <v>207</v>
      </c>
      <c r="H70" s="33" t="s">
        <v>551</v>
      </c>
      <c r="I70" s="33" t="s">
        <v>552</v>
      </c>
      <c r="J70" s="33" t="s">
        <v>553</v>
      </c>
    </row>
    <row r="71" spans="1:10" ht="18" customHeight="1" x14ac:dyDescent="0.3">
      <c r="A71" s="33">
        <v>317</v>
      </c>
      <c r="B71" s="33" t="s">
        <v>554</v>
      </c>
      <c r="C71" s="33" t="s">
        <v>555</v>
      </c>
      <c r="D71" s="33" t="s">
        <v>238</v>
      </c>
      <c r="E71" s="35">
        <v>44770</v>
      </c>
      <c r="F71" s="33" t="s">
        <v>239</v>
      </c>
      <c r="G71" s="33" t="s">
        <v>204</v>
      </c>
      <c r="H71" s="33" t="s">
        <v>556</v>
      </c>
      <c r="I71" s="33" t="s">
        <v>479</v>
      </c>
      <c r="J71" s="33" t="s">
        <v>557</v>
      </c>
    </row>
    <row r="72" spans="1:10" ht="18" customHeight="1" x14ac:dyDescent="0.3">
      <c r="A72" s="33">
        <v>426</v>
      </c>
      <c r="B72" s="33" t="s">
        <v>558</v>
      </c>
      <c r="C72" s="33" t="s">
        <v>559</v>
      </c>
      <c r="D72" s="33" t="s">
        <v>220</v>
      </c>
      <c r="E72" s="35">
        <v>44768</v>
      </c>
      <c r="F72" s="33" t="s">
        <v>281</v>
      </c>
      <c r="G72" s="33" t="s">
        <v>207</v>
      </c>
      <c r="H72" s="33" t="s">
        <v>560</v>
      </c>
      <c r="I72" s="33" t="s">
        <v>561</v>
      </c>
      <c r="J72" s="33" t="s">
        <v>228</v>
      </c>
    </row>
    <row r="73" spans="1:10" ht="18" customHeight="1" x14ac:dyDescent="0.3">
      <c r="A73" s="33">
        <v>25</v>
      </c>
      <c r="B73" s="33" t="s">
        <v>562</v>
      </c>
      <c r="C73" s="33" t="s">
        <v>563</v>
      </c>
      <c r="D73" s="33" t="s">
        <v>220</v>
      </c>
      <c r="E73" s="35">
        <v>44582</v>
      </c>
      <c r="F73" s="33" t="s">
        <v>281</v>
      </c>
      <c r="G73" s="33" t="s">
        <v>207</v>
      </c>
      <c r="H73" s="33" t="s">
        <v>564</v>
      </c>
      <c r="I73" s="33" t="s">
        <v>565</v>
      </c>
      <c r="J73" s="33" t="s">
        <v>566</v>
      </c>
    </row>
    <row r="74" spans="1:10" ht="18" customHeight="1" x14ac:dyDescent="0.3">
      <c r="A74" s="33">
        <v>462</v>
      </c>
      <c r="B74" s="33" t="s">
        <v>567</v>
      </c>
      <c r="C74" s="33" t="s">
        <v>568</v>
      </c>
      <c r="D74" s="33" t="s">
        <v>220</v>
      </c>
      <c r="E74" s="35">
        <v>44751</v>
      </c>
      <c r="F74" s="33" t="s">
        <v>239</v>
      </c>
      <c r="G74" s="33" t="s">
        <v>204</v>
      </c>
      <c r="H74" s="33" t="s">
        <v>569</v>
      </c>
      <c r="I74" s="33" t="s">
        <v>570</v>
      </c>
      <c r="J74" s="33" t="s">
        <v>342</v>
      </c>
    </row>
    <row r="75" spans="1:10" ht="18" customHeight="1" x14ac:dyDescent="0.3">
      <c r="A75" s="33">
        <v>252</v>
      </c>
      <c r="B75" s="33" t="s">
        <v>571</v>
      </c>
      <c r="C75" s="33" t="s">
        <v>572</v>
      </c>
      <c r="D75" s="33" t="s">
        <v>238</v>
      </c>
      <c r="E75" s="35">
        <v>44643</v>
      </c>
      <c r="F75" s="33" t="s">
        <v>239</v>
      </c>
      <c r="G75" s="33" t="s">
        <v>204</v>
      </c>
      <c r="H75" s="33" t="s">
        <v>573</v>
      </c>
      <c r="I75" s="33" t="s">
        <v>574</v>
      </c>
      <c r="J75" s="33" t="s">
        <v>390</v>
      </c>
    </row>
    <row r="76" spans="1:10" ht="18" customHeight="1" x14ac:dyDescent="0.3">
      <c r="A76" s="33">
        <v>392</v>
      </c>
      <c r="B76" s="33" t="s">
        <v>575</v>
      </c>
      <c r="C76" s="33" t="s">
        <v>576</v>
      </c>
      <c r="D76" s="33" t="s">
        <v>238</v>
      </c>
      <c r="E76" s="35">
        <v>44919</v>
      </c>
      <c r="F76" s="33" t="s">
        <v>239</v>
      </c>
      <c r="G76" s="33" t="s">
        <v>204</v>
      </c>
      <c r="H76" s="33" t="s">
        <v>577</v>
      </c>
      <c r="I76" s="33" t="s">
        <v>578</v>
      </c>
      <c r="J76" s="33" t="s">
        <v>579</v>
      </c>
    </row>
    <row r="77" spans="1:10" ht="18" customHeight="1" x14ac:dyDescent="0.3">
      <c r="A77" s="33">
        <v>487</v>
      </c>
      <c r="B77" s="33" t="s">
        <v>580</v>
      </c>
      <c r="C77" s="33" t="s">
        <v>581</v>
      </c>
      <c r="D77" s="33" t="s">
        <v>220</v>
      </c>
      <c r="E77" s="35">
        <v>44815</v>
      </c>
      <c r="F77" s="33" t="s">
        <v>239</v>
      </c>
      <c r="G77" s="33" t="s">
        <v>204</v>
      </c>
      <c r="H77" s="33" t="s">
        <v>582</v>
      </c>
      <c r="I77" s="33" t="s">
        <v>583</v>
      </c>
      <c r="J77" s="33" t="s">
        <v>271</v>
      </c>
    </row>
    <row r="78" spans="1:10" ht="18" customHeight="1" x14ac:dyDescent="0.3">
      <c r="A78" s="33">
        <v>134</v>
      </c>
      <c r="B78" s="33" t="s">
        <v>584</v>
      </c>
      <c r="C78" s="33" t="s">
        <v>585</v>
      </c>
      <c r="D78" s="33" t="s">
        <v>220</v>
      </c>
      <c r="E78" s="35">
        <v>44753</v>
      </c>
      <c r="F78" s="33" t="s">
        <v>239</v>
      </c>
      <c r="G78" s="33" t="s">
        <v>204</v>
      </c>
      <c r="H78" s="33" t="s">
        <v>511</v>
      </c>
      <c r="I78" s="33" t="s">
        <v>586</v>
      </c>
      <c r="J78" s="33" t="s">
        <v>257</v>
      </c>
    </row>
    <row r="79" spans="1:10" ht="18" customHeight="1" x14ac:dyDescent="0.3">
      <c r="A79" s="33">
        <v>11</v>
      </c>
      <c r="B79" s="33" t="s">
        <v>587</v>
      </c>
      <c r="C79" s="33" t="s">
        <v>588</v>
      </c>
      <c r="D79" s="33" t="s">
        <v>238</v>
      </c>
      <c r="E79" s="35">
        <v>44690</v>
      </c>
      <c r="F79" s="33" t="s">
        <v>281</v>
      </c>
      <c r="G79" s="33" t="s">
        <v>207</v>
      </c>
      <c r="H79" s="33" t="s">
        <v>589</v>
      </c>
      <c r="I79" s="33" t="s">
        <v>408</v>
      </c>
      <c r="J79" s="33" t="s">
        <v>590</v>
      </c>
    </row>
    <row r="80" spans="1:10" ht="18" customHeight="1" x14ac:dyDescent="0.3">
      <c r="A80" s="33">
        <v>458</v>
      </c>
      <c r="B80" s="33" t="s">
        <v>591</v>
      </c>
      <c r="C80" s="33" t="s">
        <v>592</v>
      </c>
      <c r="D80" s="33" t="s">
        <v>220</v>
      </c>
      <c r="E80" s="35">
        <v>44694</v>
      </c>
      <c r="F80" s="33" t="s">
        <v>239</v>
      </c>
      <c r="G80" s="33" t="s">
        <v>204</v>
      </c>
      <c r="H80" s="33" t="s">
        <v>255</v>
      </c>
      <c r="I80" s="33" t="s">
        <v>593</v>
      </c>
      <c r="J80" s="33" t="s">
        <v>474</v>
      </c>
    </row>
    <row r="81" spans="1:10" ht="18" customHeight="1" x14ac:dyDescent="0.3">
      <c r="A81" s="33">
        <v>130</v>
      </c>
      <c r="B81" s="33" t="s">
        <v>594</v>
      </c>
      <c r="C81" s="33" t="s">
        <v>595</v>
      </c>
      <c r="D81" s="33" t="s">
        <v>238</v>
      </c>
      <c r="E81" s="35">
        <v>44863</v>
      </c>
      <c r="F81" s="33" t="s">
        <v>281</v>
      </c>
      <c r="G81" s="33" t="s">
        <v>207</v>
      </c>
      <c r="H81" s="33" t="s">
        <v>596</v>
      </c>
      <c r="I81" s="33" t="s">
        <v>597</v>
      </c>
      <c r="J81" s="33" t="s">
        <v>598</v>
      </c>
    </row>
    <row r="82" spans="1:10" ht="18" customHeight="1" x14ac:dyDescent="0.3">
      <c r="A82" s="33">
        <v>330</v>
      </c>
      <c r="B82" s="33" t="s">
        <v>599</v>
      </c>
      <c r="C82" s="33" t="s">
        <v>600</v>
      </c>
      <c r="D82" s="33" t="s">
        <v>238</v>
      </c>
      <c r="E82" s="35">
        <v>44815</v>
      </c>
      <c r="F82" s="33" t="s">
        <v>221</v>
      </c>
      <c r="G82" s="33" t="s">
        <v>205</v>
      </c>
      <c r="H82" s="33" t="s">
        <v>398</v>
      </c>
      <c r="I82" s="33" t="s">
        <v>601</v>
      </c>
      <c r="J82" s="33" t="s">
        <v>404</v>
      </c>
    </row>
    <row r="83" spans="1:10" ht="18" customHeight="1" x14ac:dyDescent="0.3">
      <c r="A83" s="33">
        <v>167</v>
      </c>
      <c r="B83" s="33" t="s">
        <v>602</v>
      </c>
      <c r="C83" s="33" t="s">
        <v>603</v>
      </c>
      <c r="D83" s="33" t="s">
        <v>220</v>
      </c>
      <c r="E83" s="35">
        <v>44563</v>
      </c>
      <c r="F83" s="33" t="s">
        <v>221</v>
      </c>
      <c r="G83" s="33" t="s">
        <v>205</v>
      </c>
      <c r="H83" s="33" t="s">
        <v>604</v>
      </c>
      <c r="I83" s="33" t="s">
        <v>605</v>
      </c>
      <c r="J83" s="33" t="s">
        <v>606</v>
      </c>
    </row>
    <row r="84" spans="1:10" ht="18" customHeight="1" x14ac:dyDescent="0.3">
      <c r="A84" s="33">
        <v>140</v>
      </c>
      <c r="B84" s="33" t="s">
        <v>607</v>
      </c>
      <c r="C84" s="33" t="s">
        <v>608</v>
      </c>
      <c r="D84" s="33" t="s">
        <v>220</v>
      </c>
      <c r="E84" s="35">
        <v>44627</v>
      </c>
      <c r="F84" s="33" t="s">
        <v>239</v>
      </c>
      <c r="G84" s="33" t="s">
        <v>204</v>
      </c>
      <c r="H84" s="33" t="s">
        <v>455</v>
      </c>
      <c r="I84" s="33" t="s">
        <v>322</v>
      </c>
      <c r="J84" s="33" t="s">
        <v>494</v>
      </c>
    </row>
    <row r="85" spans="1:10" ht="18" customHeight="1" x14ac:dyDescent="0.3">
      <c r="A85" s="33">
        <v>423</v>
      </c>
      <c r="B85" s="33" t="s">
        <v>609</v>
      </c>
      <c r="C85" s="33" t="s">
        <v>610</v>
      </c>
      <c r="D85" s="33" t="s">
        <v>238</v>
      </c>
      <c r="E85" s="35">
        <v>44841</v>
      </c>
      <c r="F85" s="33" t="s">
        <v>227</v>
      </c>
      <c r="G85" s="33" t="s">
        <v>208</v>
      </c>
      <c r="H85" s="33" t="s">
        <v>596</v>
      </c>
      <c r="I85" s="33" t="s">
        <v>611</v>
      </c>
      <c r="J85" s="33" t="s">
        <v>612</v>
      </c>
    </row>
    <row r="86" spans="1:10" ht="18" customHeight="1" x14ac:dyDescent="0.3">
      <c r="A86" s="33">
        <v>365</v>
      </c>
      <c r="B86" s="33" t="s">
        <v>613</v>
      </c>
      <c r="C86" s="33" t="s">
        <v>614</v>
      </c>
      <c r="D86" s="33" t="s">
        <v>238</v>
      </c>
      <c r="E86" s="35">
        <v>44841</v>
      </c>
      <c r="F86" s="33" t="s">
        <v>227</v>
      </c>
      <c r="G86" s="33" t="s">
        <v>208</v>
      </c>
      <c r="H86" s="33" t="s">
        <v>473</v>
      </c>
      <c r="I86" s="33" t="s">
        <v>615</v>
      </c>
      <c r="J86" s="33" t="s">
        <v>616</v>
      </c>
    </row>
    <row r="87" spans="1:10" ht="18" customHeight="1" x14ac:dyDescent="0.3">
      <c r="A87" s="33">
        <v>452</v>
      </c>
      <c r="B87" s="33" t="s">
        <v>617</v>
      </c>
      <c r="C87" s="33" t="s">
        <v>618</v>
      </c>
      <c r="D87" s="33" t="s">
        <v>220</v>
      </c>
      <c r="E87" s="35">
        <v>44769</v>
      </c>
      <c r="F87" s="33" t="s">
        <v>239</v>
      </c>
      <c r="G87" s="33" t="s">
        <v>204</v>
      </c>
      <c r="H87" s="33" t="s">
        <v>346</v>
      </c>
      <c r="I87" s="33" t="s">
        <v>619</v>
      </c>
      <c r="J87" s="33" t="s">
        <v>459</v>
      </c>
    </row>
    <row r="88" spans="1:10" ht="18" customHeight="1" x14ac:dyDescent="0.3">
      <c r="A88" s="33">
        <v>424</v>
      </c>
      <c r="B88" s="33" t="s">
        <v>620</v>
      </c>
      <c r="C88" s="33" t="s">
        <v>621</v>
      </c>
      <c r="D88" s="33" t="s">
        <v>220</v>
      </c>
      <c r="E88" s="35">
        <v>44585</v>
      </c>
      <c r="F88" s="33" t="s">
        <v>239</v>
      </c>
      <c r="G88" s="33" t="s">
        <v>204</v>
      </c>
      <c r="H88" s="33" t="s">
        <v>622</v>
      </c>
      <c r="I88" s="33" t="s">
        <v>623</v>
      </c>
      <c r="J88" s="33" t="s">
        <v>624</v>
      </c>
    </row>
    <row r="89" spans="1:10" ht="18" customHeight="1" x14ac:dyDescent="0.3">
      <c r="A89" s="33">
        <v>75</v>
      </c>
      <c r="B89" s="33" t="s">
        <v>625</v>
      </c>
      <c r="C89" s="33" t="s">
        <v>626</v>
      </c>
      <c r="D89" s="33" t="s">
        <v>238</v>
      </c>
      <c r="E89" s="35">
        <v>44796</v>
      </c>
      <c r="F89" s="33" t="s">
        <v>244</v>
      </c>
      <c r="G89" s="33" t="s">
        <v>206</v>
      </c>
      <c r="H89" s="33" t="s">
        <v>627</v>
      </c>
      <c r="I89" s="33" t="s">
        <v>628</v>
      </c>
      <c r="J89" s="33" t="s">
        <v>299</v>
      </c>
    </row>
    <row r="90" spans="1:10" ht="18" customHeight="1" x14ac:dyDescent="0.3">
      <c r="A90" s="33">
        <v>71</v>
      </c>
      <c r="B90" s="33" t="s">
        <v>629</v>
      </c>
      <c r="C90" s="33" t="s">
        <v>630</v>
      </c>
      <c r="D90" s="33" t="s">
        <v>220</v>
      </c>
      <c r="E90" s="35">
        <v>44762</v>
      </c>
      <c r="F90" s="33" t="s">
        <v>244</v>
      </c>
      <c r="G90" s="33" t="s">
        <v>206</v>
      </c>
      <c r="H90" s="33" t="s">
        <v>631</v>
      </c>
      <c r="I90" s="33" t="s">
        <v>632</v>
      </c>
      <c r="J90" s="33" t="s">
        <v>492</v>
      </c>
    </row>
    <row r="91" spans="1:10" ht="18" customHeight="1" x14ac:dyDescent="0.3">
      <c r="A91" s="33">
        <v>313</v>
      </c>
      <c r="B91" s="33" t="s">
        <v>633</v>
      </c>
      <c r="C91" s="33" t="s">
        <v>634</v>
      </c>
      <c r="D91" s="33" t="s">
        <v>220</v>
      </c>
      <c r="E91" s="35">
        <v>44896</v>
      </c>
      <c r="F91" s="33" t="s">
        <v>221</v>
      </c>
      <c r="G91" s="33" t="s">
        <v>205</v>
      </c>
      <c r="H91" s="33" t="s">
        <v>635</v>
      </c>
      <c r="I91" s="33" t="s">
        <v>636</v>
      </c>
      <c r="J91" s="33" t="s">
        <v>637</v>
      </c>
    </row>
    <row r="92" spans="1:10" ht="18" customHeight="1" x14ac:dyDescent="0.3">
      <c r="A92" s="33">
        <v>301</v>
      </c>
      <c r="B92" s="33" t="s">
        <v>638</v>
      </c>
      <c r="C92" s="33" t="s">
        <v>639</v>
      </c>
      <c r="D92" s="33" t="s">
        <v>220</v>
      </c>
      <c r="E92" s="35">
        <v>44714</v>
      </c>
      <c r="F92" s="33" t="s">
        <v>239</v>
      </c>
      <c r="G92" s="33" t="s">
        <v>204</v>
      </c>
      <c r="H92" s="33" t="s">
        <v>640</v>
      </c>
      <c r="I92" s="33" t="s">
        <v>377</v>
      </c>
      <c r="J92" s="33" t="s">
        <v>641</v>
      </c>
    </row>
    <row r="93" spans="1:10" ht="18" customHeight="1" x14ac:dyDescent="0.3">
      <c r="A93" s="33">
        <v>359</v>
      </c>
      <c r="B93" s="33" t="s">
        <v>642</v>
      </c>
      <c r="C93" s="33" t="s">
        <v>643</v>
      </c>
      <c r="D93" s="33" t="s">
        <v>238</v>
      </c>
      <c r="E93" s="35">
        <v>44584</v>
      </c>
      <c r="F93" s="33" t="s">
        <v>239</v>
      </c>
      <c r="G93" s="33" t="s">
        <v>204</v>
      </c>
      <c r="H93" s="33" t="s">
        <v>389</v>
      </c>
      <c r="I93" s="33" t="s">
        <v>644</v>
      </c>
      <c r="J93" s="33" t="s">
        <v>645</v>
      </c>
    </row>
    <row r="94" spans="1:10" ht="18" customHeight="1" x14ac:dyDescent="0.3">
      <c r="A94" s="33">
        <v>474</v>
      </c>
      <c r="B94" s="33" t="s">
        <v>646</v>
      </c>
      <c r="C94" s="33" t="s">
        <v>647</v>
      </c>
      <c r="D94" s="33" t="s">
        <v>238</v>
      </c>
      <c r="E94" s="35">
        <v>44605</v>
      </c>
      <c r="F94" s="33" t="s">
        <v>239</v>
      </c>
      <c r="G94" s="33" t="s">
        <v>204</v>
      </c>
      <c r="H94" s="33" t="s">
        <v>245</v>
      </c>
      <c r="I94" s="33" t="s">
        <v>648</v>
      </c>
      <c r="J94" s="33" t="s">
        <v>649</v>
      </c>
    </row>
    <row r="95" spans="1:10" ht="18" customHeight="1" x14ac:dyDescent="0.3">
      <c r="A95" s="33">
        <v>111</v>
      </c>
      <c r="B95" s="33" t="s">
        <v>650</v>
      </c>
      <c r="C95" s="33" t="s">
        <v>651</v>
      </c>
      <c r="D95" s="33" t="s">
        <v>220</v>
      </c>
      <c r="E95" s="35">
        <v>44804</v>
      </c>
      <c r="F95" s="33" t="s">
        <v>221</v>
      </c>
      <c r="G95" s="33" t="s">
        <v>205</v>
      </c>
      <c r="H95" s="33" t="s">
        <v>487</v>
      </c>
      <c r="I95" s="33" t="s">
        <v>250</v>
      </c>
      <c r="J95" s="33" t="s">
        <v>652</v>
      </c>
    </row>
    <row r="96" spans="1:10" ht="18" customHeight="1" x14ac:dyDescent="0.3">
      <c r="A96" s="33">
        <v>126</v>
      </c>
      <c r="B96" s="33" t="s">
        <v>653</v>
      </c>
      <c r="C96" s="33" t="s">
        <v>654</v>
      </c>
      <c r="D96" s="33" t="s">
        <v>220</v>
      </c>
      <c r="E96" s="35">
        <v>44822</v>
      </c>
      <c r="F96" s="33" t="s">
        <v>221</v>
      </c>
      <c r="G96" s="33" t="s">
        <v>205</v>
      </c>
      <c r="H96" s="33" t="s">
        <v>655</v>
      </c>
      <c r="I96" s="33" t="s">
        <v>656</v>
      </c>
      <c r="J96" s="33" t="s">
        <v>657</v>
      </c>
    </row>
    <row r="97" spans="1:10" ht="18" customHeight="1" x14ac:dyDescent="0.3">
      <c r="A97" s="33">
        <v>356</v>
      </c>
      <c r="B97" s="33" t="s">
        <v>658</v>
      </c>
      <c r="C97" s="33" t="s">
        <v>659</v>
      </c>
      <c r="D97" s="33" t="s">
        <v>238</v>
      </c>
      <c r="E97" s="35">
        <v>44570</v>
      </c>
      <c r="F97" s="33" t="s">
        <v>281</v>
      </c>
      <c r="G97" s="33" t="s">
        <v>207</v>
      </c>
      <c r="H97" s="33" t="s">
        <v>660</v>
      </c>
      <c r="I97" s="33" t="s">
        <v>632</v>
      </c>
      <c r="J97" s="33" t="s">
        <v>661</v>
      </c>
    </row>
    <row r="98" spans="1:10" ht="18" customHeight="1" x14ac:dyDescent="0.3">
      <c r="A98" s="33">
        <v>166</v>
      </c>
      <c r="B98" s="33" t="s">
        <v>662</v>
      </c>
      <c r="C98" s="33" t="s">
        <v>663</v>
      </c>
      <c r="D98" s="33" t="s">
        <v>220</v>
      </c>
      <c r="E98" s="35">
        <v>44796</v>
      </c>
      <c r="F98" s="33" t="s">
        <v>221</v>
      </c>
      <c r="G98" s="33" t="s">
        <v>205</v>
      </c>
      <c r="H98" s="33" t="s">
        <v>664</v>
      </c>
      <c r="I98" s="33" t="s">
        <v>535</v>
      </c>
      <c r="J98" s="33" t="s">
        <v>665</v>
      </c>
    </row>
    <row r="99" spans="1:10" ht="18" customHeight="1" x14ac:dyDescent="0.3">
      <c r="A99" s="33">
        <v>162</v>
      </c>
      <c r="B99" s="33" t="s">
        <v>666</v>
      </c>
      <c r="C99" s="33" t="s">
        <v>667</v>
      </c>
      <c r="D99" s="33" t="s">
        <v>238</v>
      </c>
      <c r="E99" s="35">
        <v>44639</v>
      </c>
      <c r="F99" s="33" t="s">
        <v>281</v>
      </c>
      <c r="G99" s="33" t="s">
        <v>207</v>
      </c>
      <c r="H99" s="33" t="s">
        <v>668</v>
      </c>
      <c r="I99" s="33" t="s">
        <v>669</v>
      </c>
      <c r="J99" s="33" t="s">
        <v>670</v>
      </c>
    </row>
    <row r="100" spans="1:10" ht="18" customHeight="1" x14ac:dyDescent="0.3">
      <c r="A100" s="33">
        <v>459</v>
      </c>
      <c r="B100" s="33" t="s">
        <v>671</v>
      </c>
      <c r="C100" s="33" t="s">
        <v>672</v>
      </c>
      <c r="D100" s="33" t="s">
        <v>220</v>
      </c>
      <c r="E100" s="35">
        <v>44743</v>
      </c>
      <c r="F100" s="33" t="s">
        <v>239</v>
      </c>
      <c r="G100" s="33" t="s">
        <v>204</v>
      </c>
      <c r="H100" s="33" t="s">
        <v>673</v>
      </c>
      <c r="I100" s="33" t="s">
        <v>674</v>
      </c>
      <c r="J100" s="33" t="s">
        <v>675</v>
      </c>
    </row>
    <row r="101" spans="1:10" ht="18" customHeight="1" x14ac:dyDescent="0.3">
      <c r="A101" s="33">
        <v>211</v>
      </c>
      <c r="B101" s="33" t="s">
        <v>676</v>
      </c>
      <c r="C101" s="33" t="s">
        <v>677</v>
      </c>
      <c r="D101" s="33" t="s">
        <v>238</v>
      </c>
      <c r="E101" s="35">
        <v>44621</v>
      </c>
      <c r="F101" s="33" t="s">
        <v>244</v>
      </c>
      <c r="G101" s="33" t="s">
        <v>206</v>
      </c>
      <c r="H101" s="33" t="s">
        <v>678</v>
      </c>
      <c r="I101" s="33" t="s">
        <v>418</v>
      </c>
      <c r="J101" s="33" t="s">
        <v>484</v>
      </c>
    </row>
    <row r="102" spans="1:10" ht="18" customHeight="1" x14ac:dyDescent="0.3">
      <c r="A102" s="33">
        <v>132</v>
      </c>
      <c r="B102" s="33" t="s">
        <v>679</v>
      </c>
      <c r="C102" s="33" t="s">
        <v>680</v>
      </c>
      <c r="D102" s="33" t="s">
        <v>220</v>
      </c>
      <c r="E102" s="35">
        <v>44601</v>
      </c>
      <c r="F102" s="33" t="s">
        <v>244</v>
      </c>
      <c r="G102" s="33" t="s">
        <v>206</v>
      </c>
      <c r="H102" s="33" t="s">
        <v>681</v>
      </c>
      <c r="I102" s="33" t="s">
        <v>682</v>
      </c>
      <c r="J102" s="33" t="s">
        <v>683</v>
      </c>
    </row>
    <row r="103" spans="1:10" ht="18" customHeight="1" x14ac:dyDescent="0.3">
      <c r="A103" s="33">
        <v>333</v>
      </c>
      <c r="B103" s="33" t="s">
        <v>684</v>
      </c>
      <c r="C103" s="33" t="s">
        <v>685</v>
      </c>
      <c r="D103" s="33" t="s">
        <v>220</v>
      </c>
      <c r="E103" s="35">
        <v>44857</v>
      </c>
      <c r="F103" s="33" t="s">
        <v>239</v>
      </c>
      <c r="G103" s="33" t="s">
        <v>204</v>
      </c>
      <c r="H103" s="33" t="s">
        <v>686</v>
      </c>
      <c r="I103" s="33" t="s">
        <v>348</v>
      </c>
      <c r="J103" s="33" t="s">
        <v>233</v>
      </c>
    </row>
    <row r="104" spans="1:10" ht="18" customHeight="1" x14ac:dyDescent="0.3">
      <c r="A104" s="33">
        <v>298</v>
      </c>
      <c r="B104" s="33" t="s">
        <v>687</v>
      </c>
      <c r="C104" s="33" t="s">
        <v>688</v>
      </c>
      <c r="D104" s="33" t="s">
        <v>220</v>
      </c>
      <c r="E104" s="35">
        <v>44821</v>
      </c>
      <c r="F104" s="33" t="s">
        <v>244</v>
      </c>
      <c r="G104" s="33" t="s">
        <v>206</v>
      </c>
      <c r="H104" s="33" t="s">
        <v>689</v>
      </c>
      <c r="I104" s="33" t="s">
        <v>247</v>
      </c>
      <c r="J104" s="33" t="s">
        <v>484</v>
      </c>
    </row>
    <row r="105" spans="1:10" ht="18" customHeight="1" x14ac:dyDescent="0.3">
      <c r="A105" s="33">
        <v>273</v>
      </c>
      <c r="B105" s="33" t="s">
        <v>690</v>
      </c>
      <c r="C105" s="33" t="s">
        <v>691</v>
      </c>
      <c r="D105" s="33" t="s">
        <v>238</v>
      </c>
      <c r="E105" s="35">
        <v>44599</v>
      </c>
      <c r="F105" s="33" t="s">
        <v>221</v>
      </c>
      <c r="G105" s="33" t="s">
        <v>205</v>
      </c>
      <c r="H105" s="33" t="s">
        <v>692</v>
      </c>
      <c r="I105" s="33" t="s">
        <v>251</v>
      </c>
      <c r="J105" s="33" t="s">
        <v>693</v>
      </c>
    </row>
    <row r="106" spans="1:10" ht="18" customHeight="1" x14ac:dyDescent="0.3">
      <c r="A106" s="33">
        <v>321</v>
      </c>
      <c r="B106" s="33" t="s">
        <v>694</v>
      </c>
      <c r="C106" s="33" t="s">
        <v>695</v>
      </c>
      <c r="D106" s="33" t="s">
        <v>238</v>
      </c>
      <c r="E106" s="35">
        <v>44756</v>
      </c>
      <c r="F106" s="33" t="s">
        <v>281</v>
      </c>
      <c r="G106" s="33" t="s">
        <v>207</v>
      </c>
      <c r="H106" s="33" t="s">
        <v>696</v>
      </c>
      <c r="I106" s="33" t="s">
        <v>697</v>
      </c>
      <c r="J106" s="33" t="s">
        <v>698</v>
      </c>
    </row>
    <row r="107" spans="1:10" ht="18" customHeight="1" x14ac:dyDescent="0.3">
      <c r="A107" s="33">
        <v>119</v>
      </c>
      <c r="B107" s="33" t="s">
        <v>699</v>
      </c>
      <c r="C107" s="33" t="s">
        <v>700</v>
      </c>
      <c r="D107" s="33" t="s">
        <v>238</v>
      </c>
      <c r="E107" s="35">
        <v>44690</v>
      </c>
      <c r="F107" s="33" t="s">
        <v>239</v>
      </c>
      <c r="G107" s="33" t="s">
        <v>204</v>
      </c>
      <c r="H107" s="33" t="s">
        <v>701</v>
      </c>
      <c r="I107" s="33" t="s">
        <v>702</v>
      </c>
      <c r="J107" s="33" t="s">
        <v>262</v>
      </c>
    </row>
    <row r="108" spans="1:10" ht="18" customHeight="1" x14ac:dyDescent="0.3">
      <c r="A108" s="33">
        <v>472</v>
      </c>
      <c r="B108" s="33" t="s">
        <v>703</v>
      </c>
      <c r="C108" s="33" t="s">
        <v>704</v>
      </c>
      <c r="D108" s="33" t="s">
        <v>238</v>
      </c>
      <c r="E108" s="35">
        <v>44901</v>
      </c>
      <c r="F108" s="33" t="s">
        <v>244</v>
      </c>
      <c r="G108" s="33" t="s">
        <v>206</v>
      </c>
      <c r="H108" s="33" t="s">
        <v>705</v>
      </c>
      <c r="I108" s="33" t="s">
        <v>706</v>
      </c>
      <c r="J108" s="33" t="s">
        <v>707</v>
      </c>
    </row>
    <row r="109" spans="1:10" ht="18" customHeight="1" x14ac:dyDescent="0.3">
      <c r="A109" s="33">
        <v>396</v>
      </c>
      <c r="B109" s="33" t="s">
        <v>708</v>
      </c>
      <c r="C109" s="33" t="s">
        <v>709</v>
      </c>
      <c r="D109" s="33" t="s">
        <v>238</v>
      </c>
      <c r="E109" s="35">
        <v>44871</v>
      </c>
      <c r="F109" s="33" t="s">
        <v>244</v>
      </c>
      <c r="G109" s="33" t="s">
        <v>206</v>
      </c>
      <c r="H109" s="33" t="s">
        <v>710</v>
      </c>
      <c r="I109" s="33" t="s">
        <v>283</v>
      </c>
      <c r="J109" s="33" t="s">
        <v>711</v>
      </c>
    </row>
    <row r="110" spans="1:10" ht="18" customHeight="1" x14ac:dyDescent="0.3">
      <c r="A110" s="33">
        <v>269</v>
      </c>
      <c r="B110" s="33" t="s">
        <v>712</v>
      </c>
      <c r="C110" s="33" t="s">
        <v>713</v>
      </c>
      <c r="D110" s="33" t="s">
        <v>238</v>
      </c>
      <c r="E110" s="35">
        <v>44720</v>
      </c>
      <c r="F110" s="33" t="s">
        <v>239</v>
      </c>
      <c r="G110" s="33" t="s">
        <v>204</v>
      </c>
      <c r="H110" s="33" t="s">
        <v>433</v>
      </c>
      <c r="I110" s="33" t="s">
        <v>322</v>
      </c>
      <c r="J110" s="33" t="s">
        <v>251</v>
      </c>
    </row>
    <row r="111" spans="1:10" ht="18" customHeight="1" x14ac:dyDescent="0.3">
      <c r="A111" s="33">
        <v>16</v>
      </c>
      <c r="B111" s="33" t="s">
        <v>714</v>
      </c>
      <c r="C111" s="33" t="s">
        <v>715</v>
      </c>
      <c r="D111" s="33" t="s">
        <v>238</v>
      </c>
      <c r="E111" s="35">
        <v>44713</v>
      </c>
      <c r="F111" s="33" t="s">
        <v>244</v>
      </c>
      <c r="G111" s="33" t="s">
        <v>206</v>
      </c>
      <c r="H111" s="33" t="s">
        <v>716</v>
      </c>
      <c r="I111" s="33" t="s">
        <v>702</v>
      </c>
      <c r="J111" s="33" t="s">
        <v>717</v>
      </c>
    </row>
    <row r="112" spans="1:10" ht="18" customHeight="1" x14ac:dyDescent="0.3">
      <c r="A112" s="33">
        <v>281</v>
      </c>
      <c r="B112" s="33" t="s">
        <v>718</v>
      </c>
      <c r="C112" s="33" t="s">
        <v>719</v>
      </c>
      <c r="D112" s="33" t="s">
        <v>238</v>
      </c>
      <c r="E112" s="35">
        <v>44711</v>
      </c>
      <c r="F112" s="33" t="s">
        <v>221</v>
      </c>
      <c r="G112" s="33" t="s">
        <v>205</v>
      </c>
      <c r="H112" s="33" t="s">
        <v>282</v>
      </c>
      <c r="I112" s="33" t="s">
        <v>720</v>
      </c>
      <c r="J112" s="33" t="s">
        <v>721</v>
      </c>
    </row>
    <row r="113" spans="1:10" ht="18" customHeight="1" x14ac:dyDescent="0.3">
      <c r="A113" s="33">
        <v>149</v>
      </c>
      <c r="B113" s="33" t="s">
        <v>722</v>
      </c>
      <c r="C113" s="33" t="s">
        <v>723</v>
      </c>
      <c r="D113" s="33" t="s">
        <v>220</v>
      </c>
      <c r="E113" s="35">
        <v>44882</v>
      </c>
      <c r="F113" s="33" t="s">
        <v>281</v>
      </c>
      <c r="G113" s="33" t="s">
        <v>207</v>
      </c>
      <c r="H113" s="33" t="s">
        <v>724</v>
      </c>
      <c r="I113" s="33" t="s">
        <v>459</v>
      </c>
      <c r="J113" s="33" t="s">
        <v>388</v>
      </c>
    </row>
    <row r="114" spans="1:10" ht="18" customHeight="1" x14ac:dyDescent="0.3">
      <c r="A114" s="33">
        <v>380</v>
      </c>
      <c r="B114" s="33" t="s">
        <v>725</v>
      </c>
      <c r="C114" s="33" t="s">
        <v>726</v>
      </c>
      <c r="D114" s="33" t="s">
        <v>220</v>
      </c>
      <c r="E114" s="35">
        <v>44563</v>
      </c>
      <c r="F114" s="33" t="s">
        <v>239</v>
      </c>
      <c r="G114" s="33" t="s">
        <v>204</v>
      </c>
      <c r="H114" s="33" t="s">
        <v>727</v>
      </c>
      <c r="I114" s="33" t="s">
        <v>728</v>
      </c>
      <c r="J114" s="33" t="s">
        <v>729</v>
      </c>
    </row>
    <row r="115" spans="1:10" ht="18" customHeight="1" x14ac:dyDescent="0.3">
      <c r="A115" s="33">
        <v>114</v>
      </c>
      <c r="B115" s="33" t="s">
        <v>730</v>
      </c>
      <c r="C115" s="33" t="s">
        <v>731</v>
      </c>
      <c r="D115" s="33" t="s">
        <v>220</v>
      </c>
      <c r="E115" s="35">
        <v>44889</v>
      </c>
      <c r="F115" s="33" t="s">
        <v>239</v>
      </c>
      <c r="G115" s="33" t="s">
        <v>204</v>
      </c>
      <c r="H115" s="33" t="s">
        <v>732</v>
      </c>
      <c r="I115" s="33" t="s">
        <v>733</v>
      </c>
      <c r="J115" s="33" t="s">
        <v>734</v>
      </c>
    </row>
    <row r="116" spans="1:10" ht="18" customHeight="1" x14ac:dyDescent="0.3">
      <c r="A116" s="33">
        <v>381</v>
      </c>
      <c r="B116" s="33" t="s">
        <v>735</v>
      </c>
      <c r="C116" s="33" t="s">
        <v>736</v>
      </c>
      <c r="D116" s="33" t="s">
        <v>238</v>
      </c>
      <c r="E116" s="35">
        <v>44714</v>
      </c>
      <c r="F116" s="33" t="s">
        <v>221</v>
      </c>
      <c r="G116" s="33" t="s">
        <v>205</v>
      </c>
      <c r="H116" s="33" t="s">
        <v>737</v>
      </c>
      <c r="I116" s="33" t="s">
        <v>516</v>
      </c>
      <c r="J116" s="33" t="s">
        <v>738</v>
      </c>
    </row>
    <row r="117" spans="1:10" ht="18" customHeight="1" x14ac:dyDescent="0.3">
      <c r="A117" s="33">
        <v>342</v>
      </c>
      <c r="B117" s="33" t="s">
        <v>739</v>
      </c>
      <c r="C117" s="33" t="s">
        <v>740</v>
      </c>
      <c r="D117" s="33" t="s">
        <v>220</v>
      </c>
      <c r="E117" s="35">
        <v>44570</v>
      </c>
      <c r="F117" s="33" t="s">
        <v>281</v>
      </c>
      <c r="G117" s="33" t="s">
        <v>207</v>
      </c>
      <c r="H117" s="33" t="s">
        <v>741</v>
      </c>
      <c r="I117" s="33" t="s">
        <v>742</v>
      </c>
      <c r="J117" s="33" t="s">
        <v>743</v>
      </c>
    </row>
    <row r="118" spans="1:10" ht="18" customHeight="1" x14ac:dyDescent="0.3">
      <c r="A118" s="33">
        <v>276</v>
      </c>
      <c r="B118" s="33" t="s">
        <v>744</v>
      </c>
      <c r="C118" s="33" t="s">
        <v>745</v>
      </c>
      <c r="D118" s="33" t="s">
        <v>238</v>
      </c>
      <c r="E118" s="35">
        <v>44632</v>
      </c>
      <c r="F118" s="33" t="s">
        <v>281</v>
      </c>
      <c r="G118" s="33" t="s">
        <v>207</v>
      </c>
      <c r="H118" s="33" t="s">
        <v>681</v>
      </c>
      <c r="I118" s="33" t="s">
        <v>746</v>
      </c>
      <c r="J118" s="33" t="s">
        <v>747</v>
      </c>
    </row>
    <row r="119" spans="1:10" ht="18" customHeight="1" x14ac:dyDescent="0.3">
      <c r="A119" s="33">
        <v>293</v>
      </c>
      <c r="B119" s="33" t="s">
        <v>748</v>
      </c>
      <c r="C119" s="33" t="s">
        <v>749</v>
      </c>
      <c r="D119" s="33" t="s">
        <v>220</v>
      </c>
      <c r="E119" s="35">
        <v>44573</v>
      </c>
      <c r="F119" s="33" t="s">
        <v>227</v>
      </c>
      <c r="G119" s="33" t="s">
        <v>208</v>
      </c>
      <c r="H119" s="33" t="s">
        <v>270</v>
      </c>
      <c r="I119" s="33" t="s">
        <v>720</v>
      </c>
      <c r="J119" s="33" t="s">
        <v>750</v>
      </c>
    </row>
    <row r="120" spans="1:10" ht="18" customHeight="1" x14ac:dyDescent="0.3">
      <c r="A120" s="33">
        <v>386</v>
      </c>
      <c r="B120" s="33" t="s">
        <v>751</v>
      </c>
      <c r="C120" s="33" t="s">
        <v>752</v>
      </c>
      <c r="D120" s="33" t="s">
        <v>220</v>
      </c>
      <c r="E120" s="35">
        <v>44734</v>
      </c>
      <c r="F120" s="33" t="s">
        <v>221</v>
      </c>
      <c r="G120" s="33" t="s">
        <v>205</v>
      </c>
      <c r="H120" s="33" t="s">
        <v>753</v>
      </c>
      <c r="I120" s="33" t="s">
        <v>754</v>
      </c>
      <c r="J120" s="33" t="s">
        <v>561</v>
      </c>
    </row>
    <row r="121" spans="1:10" ht="18" customHeight="1" x14ac:dyDescent="0.3">
      <c r="A121" s="33">
        <v>362</v>
      </c>
      <c r="B121" s="33" t="s">
        <v>755</v>
      </c>
      <c r="C121" s="33" t="s">
        <v>756</v>
      </c>
      <c r="D121" s="33" t="s">
        <v>238</v>
      </c>
      <c r="E121" s="35">
        <v>44916</v>
      </c>
      <c r="F121" s="33" t="s">
        <v>239</v>
      </c>
      <c r="G121" s="33" t="s">
        <v>204</v>
      </c>
      <c r="H121" s="33" t="s">
        <v>757</v>
      </c>
      <c r="I121" s="33" t="s">
        <v>758</v>
      </c>
      <c r="J121" s="33" t="s">
        <v>759</v>
      </c>
    </row>
    <row r="122" spans="1:10" ht="18" customHeight="1" x14ac:dyDescent="0.3">
      <c r="A122" s="33">
        <v>283</v>
      </c>
      <c r="B122" s="33" t="s">
        <v>760</v>
      </c>
      <c r="C122" s="33" t="s">
        <v>761</v>
      </c>
      <c r="D122" s="33" t="s">
        <v>238</v>
      </c>
      <c r="E122" s="35">
        <v>44889</v>
      </c>
      <c r="F122" s="33" t="s">
        <v>281</v>
      </c>
      <c r="G122" s="33" t="s">
        <v>207</v>
      </c>
      <c r="H122" s="33" t="s">
        <v>762</v>
      </c>
      <c r="I122" s="33" t="s">
        <v>763</v>
      </c>
      <c r="J122" s="33" t="s">
        <v>764</v>
      </c>
    </row>
    <row r="123" spans="1:10" ht="18" customHeight="1" x14ac:dyDescent="0.3">
      <c r="A123" s="33">
        <v>388</v>
      </c>
      <c r="B123" s="33" t="s">
        <v>765</v>
      </c>
      <c r="C123" s="33" t="s">
        <v>766</v>
      </c>
      <c r="D123" s="33" t="s">
        <v>220</v>
      </c>
      <c r="E123" s="35">
        <v>44581</v>
      </c>
      <c r="F123" s="33" t="s">
        <v>239</v>
      </c>
      <c r="G123" s="33" t="s">
        <v>204</v>
      </c>
      <c r="H123" s="33" t="s">
        <v>366</v>
      </c>
      <c r="I123" s="33" t="s">
        <v>328</v>
      </c>
      <c r="J123" s="33" t="s">
        <v>767</v>
      </c>
    </row>
    <row r="124" spans="1:10" ht="18" customHeight="1" x14ac:dyDescent="0.3">
      <c r="A124" s="33">
        <v>437</v>
      </c>
      <c r="B124" s="33" t="s">
        <v>768</v>
      </c>
      <c r="C124" s="33" t="s">
        <v>769</v>
      </c>
      <c r="D124" s="33" t="s">
        <v>238</v>
      </c>
      <c r="E124" s="35">
        <v>44576</v>
      </c>
      <c r="F124" s="33" t="s">
        <v>221</v>
      </c>
      <c r="G124" s="33" t="s">
        <v>205</v>
      </c>
      <c r="H124" s="33" t="s">
        <v>770</v>
      </c>
      <c r="I124" s="33" t="s">
        <v>771</v>
      </c>
      <c r="J124" s="33" t="s">
        <v>772</v>
      </c>
    </row>
    <row r="125" spans="1:10" ht="18" customHeight="1" x14ac:dyDescent="0.3">
      <c r="A125" s="33">
        <v>450</v>
      </c>
      <c r="B125" s="33" t="s">
        <v>773</v>
      </c>
      <c r="C125" s="33" t="s">
        <v>774</v>
      </c>
      <c r="D125" s="33" t="s">
        <v>220</v>
      </c>
      <c r="E125" s="35">
        <v>44619</v>
      </c>
      <c r="F125" s="33" t="s">
        <v>239</v>
      </c>
      <c r="G125" s="33" t="s">
        <v>204</v>
      </c>
      <c r="H125" s="33" t="s">
        <v>775</v>
      </c>
      <c r="I125" s="33" t="s">
        <v>776</v>
      </c>
      <c r="J125" s="33" t="s">
        <v>777</v>
      </c>
    </row>
    <row r="126" spans="1:10" ht="18" customHeight="1" x14ac:dyDescent="0.3">
      <c r="A126" s="33">
        <v>136</v>
      </c>
      <c r="B126" s="33" t="s">
        <v>778</v>
      </c>
      <c r="C126" s="33" t="s">
        <v>779</v>
      </c>
      <c r="D126" s="33" t="s">
        <v>220</v>
      </c>
      <c r="E126" s="35">
        <v>44860</v>
      </c>
      <c r="F126" s="33" t="s">
        <v>244</v>
      </c>
      <c r="G126" s="33" t="s">
        <v>206</v>
      </c>
      <c r="H126" s="33" t="s">
        <v>780</v>
      </c>
      <c r="I126" s="33" t="s">
        <v>781</v>
      </c>
      <c r="J126" s="33" t="s">
        <v>782</v>
      </c>
    </row>
    <row r="127" spans="1:10" ht="18" customHeight="1" x14ac:dyDescent="0.3">
      <c r="A127" s="33">
        <v>61</v>
      </c>
      <c r="B127" s="33" t="s">
        <v>783</v>
      </c>
      <c r="C127" s="33" t="s">
        <v>784</v>
      </c>
      <c r="D127" s="33" t="s">
        <v>238</v>
      </c>
      <c r="E127" s="35">
        <v>44769</v>
      </c>
      <c r="F127" s="33" t="s">
        <v>281</v>
      </c>
      <c r="G127" s="33" t="s">
        <v>207</v>
      </c>
      <c r="H127" s="33" t="s">
        <v>785</v>
      </c>
      <c r="I127" s="33" t="s">
        <v>786</v>
      </c>
      <c r="J127" s="33" t="s">
        <v>787</v>
      </c>
    </row>
    <row r="128" spans="1:10" ht="18" customHeight="1" x14ac:dyDescent="0.3">
      <c r="A128" s="33">
        <v>364</v>
      </c>
      <c r="B128" s="33" t="s">
        <v>788</v>
      </c>
      <c r="C128" s="33" t="s">
        <v>789</v>
      </c>
      <c r="D128" s="33" t="s">
        <v>220</v>
      </c>
      <c r="E128" s="35">
        <v>44883</v>
      </c>
      <c r="F128" s="33" t="s">
        <v>239</v>
      </c>
      <c r="G128" s="33" t="s">
        <v>204</v>
      </c>
      <c r="H128" s="33" t="s">
        <v>790</v>
      </c>
      <c r="I128" s="33" t="s">
        <v>652</v>
      </c>
      <c r="J128" s="33" t="s">
        <v>791</v>
      </c>
    </row>
    <row r="129" spans="1:10" ht="18" customHeight="1" x14ac:dyDescent="0.3">
      <c r="A129" s="33">
        <v>496</v>
      </c>
      <c r="B129" s="33" t="s">
        <v>792</v>
      </c>
      <c r="C129" s="33" t="s">
        <v>793</v>
      </c>
      <c r="D129" s="33" t="s">
        <v>220</v>
      </c>
      <c r="E129" s="35">
        <v>44867</v>
      </c>
      <c r="F129" s="33" t="s">
        <v>244</v>
      </c>
      <c r="G129" s="33" t="s">
        <v>206</v>
      </c>
      <c r="H129" s="33" t="s">
        <v>794</v>
      </c>
      <c r="I129" s="33" t="s">
        <v>795</v>
      </c>
      <c r="J129" s="33" t="s">
        <v>796</v>
      </c>
    </row>
    <row r="130" spans="1:10" ht="18" customHeight="1" x14ac:dyDescent="0.3">
      <c r="A130" s="33">
        <v>464</v>
      </c>
      <c r="B130" s="33" t="s">
        <v>797</v>
      </c>
      <c r="C130" s="33" t="s">
        <v>798</v>
      </c>
      <c r="D130" s="33" t="s">
        <v>238</v>
      </c>
      <c r="E130" s="35">
        <v>44827</v>
      </c>
      <c r="F130" s="33" t="s">
        <v>239</v>
      </c>
      <c r="G130" s="33" t="s">
        <v>204</v>
      </c>
      <c r="H130" s="33" t="s">
        <v>240</v>
      </c>
      <c r="I130" s="33" t="s">
        <v>561</v>
      </c>
      <c r="J130" s="33" t="s">
        <v>799</v>
      </c>
    </row>
    <row r="131" spans="1:10" ht="18" customHeight="1" x14ac:dyDescent="0.3">
      <c r="A131" s="33">
        <v>419</v>
      </c>
      <c r="B131" s="33" t="s">
        <v>800</v>
      </c>
      <c r="C131" s="33" t="s">
        <v>801</v>
      </c>
      <c r="D131" s="33" t="s">
        <v>220</v>
      </c>
      <c r="E131" s="35">
        <v>44869</v>
      </c>
      <c r="F131" s="33" t="s">
        <v>281</v>
      </c>
      <c r="G131" s="33" t="s">
        <v>207</v>
      </c>
      <c r="H131" s="33" t="s">
        <v>802</v>
      </c>
      <c r="I131" s="33" t="s">
        <v>803</v>
      </c>
      <c r="J131" s="33" t="s">
        <v>804</v>
      </c>
    </row>
    <row r="132" spans="1:10" ht="18" customHeight="1" x14ac:dyDescent="0.3">
      <c r="A132" s="33">
        <v>247</v>
      </c>
      <c r="B132" s="33" t="s">
        <v>805</v>
      </c>
      <c r="C132" s="33" t="s">
        <v>806</v>
      </c>
      <c r="D132" s="33" t="s">
        <v>220</v>
      </c>
      <c r="E132" s="35">
        <v>44762</v>
      </c>
      <c r="F132" s="33" t="s">
        <v>221</v>
      </c>
      <c r="G132" s="33" t="s">
        <v>205</v>
      </c>
      <c r="H132" s="33" t="s">
        <v>807</v>
      </c>
      <c r="I132" s="33" t="s">
        <v>427</v>
      </c>
      <c r="J132" s="33" t="s">
        <v>808</v>
      </c>
    </row>
    <row r="133" spans="1:10" ht="18" customHeight="1" x14ac:dyDescent="0.3">
      <c r="A133" s="33">
        <v>73</v>
      </c>
      <c r="B133" s="33" t="s">
        <v>809</v>
      </c>
      <c r="C133" s="33" t="s">
        <v>810</v>
      </c>
      <c r="D133" s="33" t="s">
        <v>220</v>
      </c>
      <c r="E133" s="35">
        <v>44665</v>
      </c>
      <c r="F133" s="33" t="s">
        <v>244</v>
      </c>
      <c r="G133" s="33" t="s">
        <v>206</v>
      </c>
      <c r="H133" s="33" t="s">
        <v>811</v>
      </c>
      <c r="I133" s="33" t="s">
        <v>441</v>
      </c>
      <c r="J133" s="33" t="s">
        <v>812</v>
      </c>
    </row>
    <row r="134" spans="1:10" ht="18" customHeight="1" x14ac:dyDescent="0.3">
      <c r="A134" s="33">
        <v>139</v>
      </c>
      <c r="B134" s="33" t="s">
        <v>813</v>
      </c>
      <c r="C134" s="33" t="s">
        <v>814</v>
      </c>
      <c r="D134" s="33" t="s">
        <v>220</v>
      </c>
      <c r="E134" s="35">
        <v>44648</v>
      </c>
      <c r="F134" s="33" t="s">
        <v>227</v>
      </c>
      <c r="G134" s="33" t="s">
        <v>208</v>
      </c>
      <c r="H134" s="33" t="s">
        <v>815</v>
      </c>
      <c r="I134" s="33" t="s">
        <v>816</v>
      </c>
      <c r="J134" s="33" t="s">
        <v>817</v>
      </c>
    </row>
    <row r="135" spans="1:10" ht="18" customHeight="1" x14ac:dyDescent="0.3">
      <c r="A135" s="33">
        <v>258</v>
      </c>
      <c r="B135" s="33" t="s">
        <v>818</v>
      </c>
      <c r="C135" s="33" t="s">
        <v>819</v>
      </c>
      <c r="D135" s="33" t="s">
        <v>220</v>
      </c>
      <c r="E135" s="35">
        <v>44717</v>
      </c>
      <c r="F135" s="33" t="s">
        <v>244</v>
      </c>
      <c r="G135" s="33" t="s">
        <v>206</v>
      </c>
      <c r="H135" s="33" t="s">
        <v>484</v>
      </c>
      <c r="I135" s="33" t="s">
        <v>820</v>
      </c>
      <c r="J135" s="33" t="s">
        <v>294</v>
      </c>
    </row>
    <row r="136" spans="1:10" ht="18" customHeight="1" x14ac:dyDescent="0.3">
      <c r="A136" s="33">
        <v>349</v>
      </c>
      <c r="B136" s="33" t="s">
        <v>821</v>
      </c>
      <c r="C136" s="33" t="s">
        <v>822</v>
      </c>
      <c r="D136" s="33" t="s">
        <v>238</v>
      </c>
      <c r="E136" s="35">
        <v>44673</v>
      </c>
      <c r="F136" s="33" t="s">
        <v>239</v>
      </c>
      <c r="G136" s="33" t="s">
        <v>204</v>
      </c>
      <c r="H136" s="33" t="s">
        <v>823</v>
      </c>
      <c r="I136" s="33" t="s">
        <v>824</v>
      </c>
      <c r="J136" s="33" t="s">
        <v>825</v>
      </c>
    </row>
    <row r="137" spans="1:10" ht="18" customHeight="1" x14ac:dyDescent="0.3">
      <c r="A137" s="33">
        <v>325</v>
      </c>
      <c r="B137" s="33" t="s">
        <v>826</v>
      </c>
      <c r="C137" s="33" t="s">
        <v>827</v>
      </c>
      <c r="D137" s="33" t="s">
        <v>238</v>
      </c>
      <c r="E137" s="35">
        <v>44875</v>
      </c>
      <c r="F137" s="33" t="s">
        <v>281</v>
      </c>
      <c r="G137" s="33" t="s">
        <v>207</v>
      </c>
      <c r="H137" s="33" t="s">
        <v>828</v>
      </c>
      <c r="I137" s="33" t="s">
        <v>829</v>
      </c>
      <c r="J137" s="33" t="s">
        <v>830</v>
      </c>
    </row>
    <row r="138" spans="1:10" ht="18" customHeight="1" x14ac:dyDescent="0.3">
      <c r="A138" s="33">
        <v>250</v>
      </c>
      <c r="B138" s="33" t="s">
        <v>831</v>
      </c>
      <c r="C138" s="33" t="s">
        <v>832</v>
      </c>
      <c r="D138" s="33" t="s">
        <v>220</v>
      </c>
      <c r="E138" s="35">
        <v>44856</v>
      </c>
      <c r="F138" s="33" t="s">
        <v>239</v>
      </c>
      <c r="G138" s="33" t="s">
        <v>204</v>
      </c>
      <c r="H138" s="33" t="s">
        <v>336</v>
      </c>
      <c r="I138" s="33" t="s">
        <v>833</v>
      </c>
      <c r="J138" s="33" t="s">
        <v>834</v>
      </c>
    </row>
    <row r="139" spans="1:10" ht="18" customHeight="1" x14ac:dyDescent="0.3">
      <c r="A139" s="33">
        <v>153</v>
      </c>
      <c r="B139" s="33" t="s">
        <v>835</v>
      </c>
      <c r="C139" s="33" t="s">
        <v>836</v>
      </c>
      <c r="D139" s="33" t="s">
        <v>238</v>
      </c>
      <c r="E139" s="35">
        <v>44802</v>
      </c>
      <c r="F139" s="33" t="s">
        <v>239</v>
      </c>
      <c r="G139" s="33" t="s">
        <v>204</v>
      </c>
      <c r="H139" s="33" t="s">
        <v>601</v>
      </c>
      <c r="I139" s="33" t="s">
        <v>746</v>
      </c>
      <c r="J139" s="33" t="s">
        <v>546</v>
      </c>
    </row>
    <row r="140" spans="1:10" ht="18" customHeight="1" x14ac:dyDescent="0.3">
      <c r="A140" s="33">
        <v>286</v>
      </c>
      <c r="B140" s="33" t="s">
        <v>837</v>
      </c>
      <c r="C140" s="33" t="s">
        <v>838</v>
      </c>
      <c r="D140" s="33" t="s">
        <v>238</v>
      </c>
      <c r="E140" s="35">
        <v>44563</v>
      </c>
      <c r="F140" s="33" t="s">
        <v>281</v>
      </c>
      <c r="G140" s="33" t="s">
        <v>207</v>
      </c>
      <c r="H140" s="33" t="s">
        <v>336</v>
      </c>
      <c r="I140" s="33" t="s">
        <v>839</v>
      </c>
      <c r="J140" s="33" t="s">
        <v>840</v>
      </c>
    </row>
    <row r="141" spans="1:10" ht="18" customHeight="1" x14ac:dyDescent="0.3">
      <c r="A141" s="33">
        <v>32</v>
      </c>
      <c r="B141" s="33" t="s">
        <v>841</v>
      </c>
      <c r="C141" s="33" t="s">
        <v>842</v>
      </c>
      <c r="D141" s="33" t="s">
        <v>220</v>
      </c>
      <c r="E141" s="35">
        <v>44922</v>
      </c>
      <c r="F141" s="33" t="s">
        <v>221</v>
      </c>
      <c r="G141" s="33" t="s">
        <v>205</v>
      </c>
      <c r="H141" s="33" t="s">
        <v>843</v>
      </c>
      <c r="I141" s="33" t="s">
        <v>844</v>
      </c>
      <c r="J141" s="33" t="s">
        <v>845</v>
      </c>
    </row>
    <row r="142" spans="1:10" ht="18" customHeight="1" x14ac:dyDescent="0.3">
      <c r="A142" s="33">
        <v>49</v>
      </c>
      <c r="B142" s="33" t="s">
        <v>846</v>
      </c>
      <c r="C142" s="33" t="s">
        <v>847</v>
      </c>
      <c r="D142" s="33" t="s">
        <v>220</v>
      </c>
      <c r="E142" s="35">
        <v>44672</v>
      </c>
      <c r="F142" s="33" t="s">
        <v>281</v>
      </c>
      <c r="G142" s="33" t="s">
        <v>207</v>
      </c>
      <c r="H142" s="33" t="s">
        <v>848</v>
      </c>
      <c r="I142" s="33" t="s">
        <v>849</v>
      </c>
      <c r="J142" s="33" t="s">
        <v>850</v>
      </c>
    </row>
    <row r="143" spans="1:10" ht="18" customHeight="1" x14ac:dyDescent="0.3">
      <c r="A143" s="33">
        <v>420</v>
      </c>
      <c r="B143" s="33" t="s">
        <v>851</v>
      </c>
      <c r="C143" s="33" t="s">
        <v>852</v>
      </c>
      <c r="D143" s="33" t="s">
        <v>238</v>
      </c>
      <c r="E143" s="35">
        <v>44698</v>
      </c>
      <c r="F143" s="33" t="s">
        <v>244</v>
      </c>
      <c r="G143" s="33" t="s">
        <v>206</v>
      </c>
      <c r="H143" s="33" t="s">
        <v>853</v>
      </c>
      <c r="I143" s="33" t="s">
        <v>743</v>
      </c>
      <c r="J143" s="33" t="s">
        <v>854</v>
      </c>
    </row>
    <row r="144" spans="1:10" ht="18" customHeight="1" x14ac:dyDescent="0.3">
      <c r="A144" s="33">
        <v>202</v>
      </c>
      <c r="B144" s="33" t="s">
        <v>855</v>
      </c>
      <c r="C144" s="33" t="s">
        <v>856</v>
      </c>
      <c r="D144" s="33" t="s">
        <v>238</v>
      </c>
      <c r="E144" s="35">
        <v>44766</v>
      </c>
      <c r="F144" s="33" t="s">
        <v>227</v>
      </c>
      <c r="G144" s="33" t="s">
        <v>208</v>
      </c>
      <c r="H144" s="33" t="s">
        <v>857</v>
      </c>
      <c r="I144" s="33" t="s">
        <v>858</v>
      </c>
      <c r="J144" s="33" t="s">
        <v>859</v>
      </c>
    </row>
    <row r="145" spans="1:10" ht="18" customHeight="1" x14ac:dyDescent="0.3">
      <c r="A145" s="33">
        <v>37</v>
      </c>
      <c r="B145" s="33" t="s">
        <v>860</v>
      </c>
      <c r="C145" s="33" t="s">
        <v>861</v>
      </c>
      <c r="D145" s="33" t="s">
        <v>220</v>
      </c>
      <c r="E145" s="35">
        <v>44728</v>
      </c>
      <c r="F145" s="33" t="s">
        <v>244</v>
      </c>
      <c r="G145" s="33" t="s">
        <v>206</v>
      </c>
      <c r="H145" s="33" t="s">
        <v>862</v>
      </c>
      <c r="I145" s="33" t="s">
        <v>863</v>
      </c>
      <c r="J145" s="33" t="s">
        <v>864</v>
      </c>
    </row>
    <row r="146" spans="1:10" ht="18" customHeight="1" x14ac:dyDescent="0.3">
      <c r="A146" s="33">
        <v>366</v>
      </c>
      <c r="B146" s="33" t="s">
        <v>865</v>
      </c>
      <c r="C146" s="33" t="s">
        <v>866</v>
      </c>
      <c r="D146" s="33" t="s">
        <v>238</v>
      </c>
      <c r="E146" s="35">
        <v>44827</v>
      </c>
      <c r="F146" s="33" t="s">
        <v>221</v>
      </c>
      <c r="G146" s="33" t="s">
        <v>205</v>
      </c>
      <c r="H146" s="33" t="s">
        <v>867</v>
      </c>
      <c r="I146" s="33" t="s">
        <v>868</v>
      </c>
      <c r="J146" s="33" t="s">
        <v>869</v>
      </c>
    </row>
    <row r="147" spans="1:10" ht="18" customHeight="1" x14ac:dyDescent="0.3">
      <c r="A147" s="33">
        <v>434</v>
      </c>
      <c r="B147" s="33" t="s">
        <v>870</v>
      </c>
      <c r="C147" s="33" t="s">
        <v>871</v>
      </c>
      <c r="D147" s="33" t="s">
        <v>238</v>
      </c>
      <c r="E147" s="35">
        <v>44730</v>
      </c>
      <c r="F147" s="33" t="s">
        <v>244</v>
      </c>
      <c r="G147" s="33" t="s">
        <v>206</v>
      </c>
      <c r="H147" s="33" t="s">
        <v>409</v>
      </c>
      <c r="I147" s="33" t="s">
        <v>872</v>
      </c>
      <c r="J147" s="33" t="s">
        <v>707</v>
      </c>
    </row>
    <row r="148" spans="1:10" ht="18" customHeight="1" x14ac:dyDescent="0.3">
      <c r="A148" s="33">
        <v>172</v>
      </c>
      <c r="B148" s="33" t="s">
        <v>873</v>
      </c>
      <c r="C148" s="33" t="s">
        <v>874</v>
      </c>
      <c r="D148" s="33" t="s">
        <v>238</v>
      </c>
      <c r="E148" s="35">
        <v>44737</v>
      </c>
      <c r="F148" s="33" t="s">
        <v>239</v>
      </c>
      <c r="G148" s="33" t="s">
        <v>204</v>
      </c>
      <c r="H148" s="33" t="s">
        <v>875</v>
      </c>
      <c r="I148" s="33" t="s">
        <v>734</v>
      </c>
      <c r="J148" s="33" t="s">
        <v>876</v>
      </c>
    </row>
    <row r="149" spans="1:10" ht="18" customHeight="1" x14ac:dyDescent="0.3">
      <c r="A149" s="33">
        <v>52</v>
      </c>
      <c r="B149" s="33" t="s">
        <v>877</v>
      </c>
      <c r="C149" s="33" t="s">
        <v>878</v>
      </c>
      <c r="D149" s="33" t="s">
        <v>220</v>
      </c>
      <c r="E149" s="35">
        <v>44917</v>
      </c>
      <c r="F149" s="33" t="s">
        <v>239</v>
      </c>
      <c r="G149" s="33" t="s">
        <v>204</v>
      </c>
      <c r="H149" s="33" t="s">
        <v>879</v>
      </c>
      <c r="I149" s="33" t="s">
        <v>880</v>
      </c>
      <c r="J149" s="33" t="s">
        <v>372</v>
      </c>
    </row>
    <row r="150" spans="1:10" ht="18" customHeight="1" x14ac:dyDescent="0.3">
      <c r="A150" s="33">
        <v>395</v>
      </c>
      <c r="B150" s="33" t="s">
        <v>881</v>
      </c>
      <c r="C150" s="33" t="s">
        <v>882</v>
      </c>
      <c r="D150" s="33" t="s">
        <v>238</v>
      </c>
      <c r="E150" s="35">
        <v>44890</v>
      </c>
      <c r="F150" s="33" t="s">
        <v>221</v>
      </c>
      <c r="G150" s="33" t="s">
        <v>205</v>
      </c>
      <c r="H150" s="33" t="s">
        <v>883</v>
      </c>
      <c r="I150" s="33" t="s">
        <v>884</v>
      </c>
      <c r="J150" s="33" t="s">
        <v>885</v>
      </c>
    </row>
    <row r="151" spans="1:10" ht="18" customHeight="1" x14ac:dyDescent="0.3">
      <c r="A151" s="33">
        <v>46</v>
      </c>
      <c r="B151" s="33" t="s">
        <v>886</v>
      </c>
      <c r="C151" s="33" t="s">
        <v>887</v>
      </c>
      <c r="D151" s="33" t="s">
        <v>220</v>
      </c>
      <c r="E151" s="35">
        <v>44636</v>
      </c>
      <c r="F151" s="33" t="s">
        <v>281</v>
      </c>
      <c r="G151" s="33" t="s">
        <v>207</v>
      </c>
      <c r="H151" s="33" t="s">
        <v>655</v>
      </c>
      <c r="I151" s="33" t="s">
        <v>888</v>
      </c>
      <c r="J151" s="33" t="s">
        <v>889</v>
      </c>
    </row>
    <row r="152" spans="1:10" ht="18" customHeight="1" x14ac:dyDescent="0.3">
      <c r="A152" s="33">
        <v>361</v>
      </c>
      <c r="B152" s="33" t="s">
        <v>890</v>
      </c>
      <c r="C152" s="33" t="s">
        <v>891</v>
      </c>
      <c r="D152" s="33" t="s">
        <v>220</v>
      </c>
      <c r="E152" s="35">
        <v>44831</v>
      </c>
      <c r="F152" s="33" t="s">
        <v>221</v>
      </c>
      <c r="G152" s="33" t="s">
        <v>205</v>
      </c>
      <c r="H152" s="33" t="s">
        <v>892</v>
      </c>
      <c r="I152" s="33" t="s">
        <v>362</v>
      </c>
      <c r="J152" s="33" t="s">
        <v>893</v>
      </c>
    </row>
    <row r="153" spans="1:10" ht="18" customHeight="1" x14ac:dyDescent="0.3">
      <c r="A153" s="33">
        <v>358</v>
      </c>
      <c r="B153" s="33" t="s">
        <v>894</v>
      </c>
      <c r="C153" s="33" t="s">
        <v>895</v>
      </c>
      <c r="D153" s="33" t="s">
        <v>220</v>
      </c>
      <c r="E153" s="35">
        <v>44771</v>
      </c>
      <c r="F153" s="33" t="s">
        <v>244</v>
      </c>
      <c r="G153" s="33" t="s">
        <v>206</v>
      </c>
      <c r="H153" s="33" t="s">
        <v>854</v>
      </c>
      <c r="I153" s="33" t="s">
        <v>516</v>
      </c>
      <c r="J153" s="33" t="s">
        <v>896</v>
      </c>
    </row>
    <row r="154" spans="1:10" ht="18" customHeight="1" x14ac:dyDescent="0.3">
      <c r="A154" s="33">
        <v>44</v>
      </c>
      <c r="B154" s="33" t="s">
        <v>897</v>
      </c>
      <c r="C154" s="33" t="s">
        <v>898</v>
      </c>
      <c r="D154" s="33" t="s">
        <v>238</v>
      </c>
      <c r="E154" s="35">
        <v>44701</v>
      </c>
      <c r="F154" s="33" t="s">
        <v>227</v>
      </c>
      <c r="G154" s="33" t="s">
        <v>208</v>
      </c>
      <c r="H154" s="33" t="s">
        <v>899</v>
      </c>
      <c r="I154" s="33" t="s">
        <v>900</v>
      </c>
      <c r="J154" s="33" t="s">
        <v>901</v>
      </c>
    </row>
    <row r="155" spans="1:10" ht="18" customHeight="1" x14ac:dyDescent="0.3">
      <c r="A155" s="33">
        <v>416</v>
      </c>
      <c r="B155" s="33" t="s">
        <v>902</v>
      </c>
      <c r="C155" s="33" t="s">
        <v>903</v>
      </c>
      <c r="D155" s="33" t="s">
        <v>238</v>
      </c>
      <c r="E155" s="35">
        <v>44703</v>
      </c>
      <c r="F155" s="33" t="s">
        <v>281</v>
      </c>
      <c r="G155" s="33" t="s">
        <v>207</v>
      </c>
      <c r="H155" s="33" t="s">
        <v>904</v>
      </c>
      <c r="I155" s="33" t="s">
        <v>235</v>
      </c>
      <c r="J155" s="33" t="s">
        <v>905</v>
      </c>
    </row>
    <row r="156" spans="1:10" ht="18" customHeight="1" x14ac:dyDescent="0.3">
      <c r="A156" s="33">
        <v>74</v>
      </c>
      <c r="B156" s="33" t="s">
        <v>906</v>
      </c>
      <c r="C156" s="33" t="s">
        <v>907</v>
      </c>
      <c r="D156" s="33" t="s">
        <v>238</v>
      </c>
      <c r="E156" s="35">
        <v>44857</v>
      </c>
      <c r="F156" s="33" t="s">
        <v>239</v>
      </c>
      <c r="G156" s="33" t="s">
        <v>204</v>
      </c>
      <c r="H156" s="33" t="s">
        <v>265</v>
      </c>
      <c r="I156" s="33" t="s">
        <v>908</v>
      </c>
      <c r="J156" s="33" t="s">
        <v>909</v>
      </c>
    </row>
    <row r="157" spans="1:10" ht="18" customHeight="1" x14ac:dyDescent="0.3">
      <c r="A157" s="33">
        <v>180</v>
      </c>
      <c r="B157" s="33" t="s">
        <v>910</v>
      </c>
      <c r="C157" s="33" t="s">
        <v>911</v>
      </c>
      <c r="D157" s="33" t="s">
        <v>238</v>
      </c>
      <c r="E157" s="35">
        <v>44616</v>
      </c>
      <c r="F157" s="33" t="s">
        <v>227</v>
      </c>
      <c r="G157" s="33" t="s">
        <v>208</v>
      </c>
      <c r="H157" s="33" t="s">
        <v>223</v>
      </c>
      <c r="I157" s="33" t="s">
        <v>912</v>
      </c>
      <c r="J157" s="33" t="s">
        <v>876</v>
      </c>
    </row>
    <row r="158" spans="1:10" ht="18" customHeight="1" x14ac:dyDescent="0.3">
      <c r="A158" s="33">
        <v>159</v>
      </c>
      <c r="B158" s="33" t="s">
        <v>913</v>
      </c>
      <c r="C158" s="33" t="s">
        <v>914</v>
      </c>
      <c r="D158" s="33" t="s">
        <v>238</v>
      </c>
      <c r="E158" s="35">
        <v>44686</v>
      </c>
      <c r="F158" s="33" t="s">
        <v>221</v>
      </c>
      <c r="G158" s="33" t="s">
        <v>205</v>
      </c>
      <c r="H158" s="33" t="s">
        <v>915</v>
      </c>
      <c r="I158" s="33" t="s">
        <v>916</v>
      </c>
      <c r="J158" s="33" t="s">
        <v>844</v>
      </c>
    </row>
    <row r="159" spans="1:10" ht="18" customHeight="1" x14ac:dyDescent="0.3">
      <c r="A159" s="33">
        <v>106</v>
      </c>
      <c r="B159" s="33" t="s">
        <v>917</v>
      </c>
      <c r="C159" s="33" t="s">
        <v>918</v>
      </c>
      <c r="D159" s="33" t="s">
        <v>220</v>
      </c>
      <c r="E159" s="35">
        <v>44858</v>
      </c>
      <c r="F159" s="33" t="s">
        <v>244</v>
      </c>
      <c r="G159" s="33" t="s">
        <v>206</v>
      </c>
      <c r="H159" s="33" t="s">
        <v>817</v>
      </c>
      <c r="I159" s="33" t="s">
        <v>919</v>
      </c>
      <c r="J159" s="33" t="s">
        <v>920</v>
      </c>
    </row>
    <row r="160" spans="1:10" ht="18" customHeight="1" x14ac:dyDescent="0.3">
      <c r="A160" s="33">
        <v>65</v>
      </c>
      <c r="B160" s="33" t="s">
        <v>921</v>
      </c>
      <c r="C160" s="33" t="s">
        <v>922</v>
      </c>
      <c r="D160" s="33" t="s">
        <v>238</v>
      </c>
      <c r="E160" s="35">
        <v>44623</v>
      </c>
      <c r="F160" s="33" t="s">
        <v>244</v>
      </c>
      <c r="G160" s="33" t="s">
        <v>206</v>
      </c>
      <c r="H160" s="33" t="s">
        <v>453</v>
      </c>
      <c r="I160" s="33" t="s">
        <v>863</v>
      </c>
      <c r="J160" s="33" t="s">
        <v>893</v>
      </c>
    </row>
    <row r="161" spans="1:10" ht="18" customHeight="1" x14ac:dyDescent="0.3">
      <c r="A161" s="33">
        <v>457</v>
      </c>
      <c r="B161" s="33" t="s">
        <v>923</v>
      </c>
      <c r="C161" s="33" t="s">
        <v>924</v>
      </c>
      <c r="D161" s="33" t="s">
        <v>238</v>
      </c>
      <c r="E161" s="35">
        <v>44595</v>
      </c>
      <c r="F161" s="33" t="s">
        <v>281</v>
      </c>
      <c r="G161" s="33" t="s">
        <v>207</v>
      </c>
      <c r="H161" s="33" t="s">
        <v>925</v>
      </c>
      <c r="I161" s="33" t="s">
        <v>631</v>
      </c>
      <c r="J161" s="33" t="s">
        <v>926</v>
      </c>
    </row>
    <row r="162" spans="1:10" ht="18" customHeight="1" x14ac:dyDescent="0.3">
      <c r="A162" s="33">
        <v>255</v>
      </c>
      <c r="B162" s="33" t="s">
        <v>927</v>
      </c>
      <c r="C162" s="33" t="s">
        <v>928</v>
      </c>
      <c r="D162" s="33" t="s">
        <v>220</v>
      </c>
      <c r="E162" s="35">
        <v>44793</v>
      </c>
      <c r="F162" s="33" t="s">
        <v>244</v>
      </c>
      <c r="G162" s="33" t="s">
        <v>206</v>
      </c>
      <c r="H162" s="33" t="s">
        <v>302</v>
      </c>
      <c r="I162" s="33" t="s">
        <v>929</v>
      </c>
      <c r="J162" s="33" t="s">
        <v>930</v>
      </c>
    </row>
    <row r="163" spans="1:10" ht="18" customHeight="1" x14ac:dyDescent="0.3">
      <c r="A163" s="33">
        <v>436</v>
      </c>
      <c r="B163" s="33" t="s">
        <v>931</v>
      </c>
      <c r="C163" s="33" t="s">
        <v>932</v>
      </c>
      <c r="D163" s="33" t="s">
        <v>238</v>
      </c>
      <c r="E163" s="35">
        <v>44683</v>
      </c>
      <c r="F163" s="33" t="s">
        <v>239</v>
      </c>
      <c r="G163" s="33" t="s">
        <v>204</v>
      </c>
      <c r="H163" s="33" t="s">
        <v>933</v>
      </c>
      <c r="I163" s="33" t="s">
        <v>777</v>
      </c>
      <c r="J163" s="33" t="s">
        <v>934</v>
      </c>
    </row>
    <row r="164" spans="1:10" ht="18" customHeight="1" x14ac:dyDescent="0.3">
      <c r="A164" s="33">
        <v>175</v>
      </c>
      <c r="B164" s="33" t="s">
        <v>935</v>
      </c>
      <c r="C164" s="33" t="s">
        <v>936</v>
      </c>
      <c r="D164" s="33" t="s">
        <v>238</v>
      </c>
      <c r="E164" s="35">
        <v>44565</v>
      </c>
      <c r="F164" s="33" t="s">
        <v>239</v>
      </c>
      <c r="G164" s="33" t="s">
        <v>204</v>
      </c>
      <c r="H164" s="33" t="s">
        <v>925</v>
      </c>
      <c r="I164" s="33" t="s">
        <v>417</v>
      </c>
      <c r="J164" s="33" t="s">
        <v>863</v>
      </c>
    </row>
    <row r="165" spans="1:10" ht="18" customHeight="1" x14ac:dyDescent="0.3">
      <c r="A165" s="33">
        <v>274</v>
      </c>
      <c r="B165" s="33" t="s">
        <v>937</v>
      </c>
      <c r="C165" s="33" t="s">
        <v>938</v>
      </c>
      <c r="D165" s="33" t="s">
        <v>220</v>
      </c>
      <c r="E165" s="35">
        <v>44607</v>
      </c>
      <c r="F165" s="33" t="s">
        <v>239</v>
      </c>
      <c r="G165" s="33" t="s">
        <v>204</v>
      </c>
      <c r="H165" s="33" t="s">
        <v>327</v>
      </c>
      <c r="I165" s="33" t="s">
        <v>498</v>
      </c>
      <c r="J165" s="33" t="s">
        <v>329</v>
      </c>
    </row>
    <row r="166" spans="1:10" ht="18" customHeight="1" x14ac:dyDescent="0.3">
      <c r="A166" s="33">
        <v>59</v>
      </c>
      <c r="B166" s="33" t="s">
        <v>939</v>
      </c>
      <c r="C166" s="33" t="s">
        <v>940</v>
      </c>
      <c r="D166" s="33" t="s">
        <v>220</v>
      </c>
      <c r="E166" s="35">
        <v>44770</v>
      </c>
      <c r="F166" s="33" t="s">
        <v>239</v>
      </c>
      <c r="G166" s="33" t="s">
        <v>204</v>
      </c>
      <c r="H166" s="33" t="s">
        <v>265</v>
      </c>
      <c r="I166" s="33" t="s">
        <v>941</v>
      </c>
      <c r="J166" s="33" t="s">
        <v>869</v>
      </c>
    </row>
    <row r="167" spans="1:10" ht="18" customHeight="1" x14ac:dyDescent="0.3">
      <c r="A167" s="33">
        <v>411</v>
      </c>
      <c r="B167" s="33" t="s">
        <v>942</v>
      </c>
      <c r="C167" s="33" t="s">
        <v>943</v>
      </c>
      <c r="D167" s="33" t="s">
        <v>238</v>
      </c>
      <c r="E167" s="35">
        <v>44673</v>
      </c>
      <c r="F167" s="33" t="s">
        <v>281</v>
      </c>
      <c r="G167" s="33" t="s">
        <v>207</v>
      </c>
      <c r="H167" s="33" t="s">
        <v>848</v>
      </c>
      <c r="I167" s="33" t="s">
        <v>944</v>
      </c>
      <c r="J167" s="33" t="s">
        <v>945</v>
      </c>
    </row>
    <row r="168" spans="1:10" ht="18" customHeight="1" x14ac:dyDescent="0.3">
      <c r="A168" s="33">
        <v>259</v>
      </c>
      <c r="B168" s="33" t="s">
        <v>946</v>
      </c>
      <c r="C168" s="33" t="s">
        <v>947</v>
      </c>
      <c r="D168" s="33" t="s">
        <v>220</v>
      </c>
      <c r="E168" s="35">
        <v>44707</v>
      </c>
      <c r="F168" s="33" t="s">
        <v>227</v>
      </c>
      <c r="G168" s="33" t="s">
        <v>208</v>
      </c>
      <c r="H168" s="33" t="s">
        <v>948</v>
      </c>
      <c r="I168" s="33" t="s">
        <v>815</v>
      </c>
      <c r="J168" s="33" t="s">
        <v>494</v>
      </c>
    </row>
    <row r="169" spans="1:10" ht="18" customHeight="1" x14ac:dyDescent="0.3">
      <c r="A169" s="33">
        <v>337</v>
      </c>
      <c r="B169" s="33" t="s">
        <v>949</v>
      </c>
      <c r="C169" s="33" t="s">
        <v>950</v>
      </c>
      <c r="D169" s="33" t="s">
        <v>220</v>
      </c>
      <c r="E169" s="35">
        <v>44875</v>
      </c>
      <c r="F169" s="33" t="s">
        <v>239</v>
      </c>
      <c r="G169" s="33" t="s">
        <v>204</v>
      </c>
      <c r="H169" s="33" t="s">
        <v>951</v>
      </c>
      <c r="I169" s="33" t="s">
        <v>561</v>
      </c>
      <c r="J169" s="33" t="s">
        <v>791</v>
      </c>
    </row>
    <row r="170" spans="1:10" ht="18" customHeight="1" x14ac:dyDescent="0.3">
      <c r="A170" s="33">
        <v>354</v>
      </c>
      <c r="B170" s="33" t="s">
        <v>952</v>
      </c>
      <c r="C170" s="33" t="s">
        <v>953</v>
      </c>
      <c r="D170" s="33" t="s">
        <v>238</v>
      </c>
      <c r="E170" s="35">
        <v>44811</v>
      </c>
      <c r="F170" s="33" t="s">
        <v>221</v>
      </c>
      <c r="G170" s="33" t="s">
        <v>205</v>
      </c>
      <c r="H170" s="33" t="s">
        <v>433</v>
      </c>
      <c r="I170" s="33" t="s">
        <v>954</v>
      </c>
      <c r="J170" s="33" t="s">
        <v>377</v>
      </c>
    </row>
    <row r="171" spans="1:10" ht="18" customHeight="1" x14ac:dyDescent="0.3">
      <c r="A171" s="33">
        <v>329</v>
      </c>
      <c r="B171" s="33" t="s">
        <v>955</v>
      </c>
      <c r="C171" s="33" t="s">
        <v>956</v>
      </c>
      <c r="D171" s="33" t="s">
        <v>220</v>
      </c>
      <c r="E171" s="35">
        <v>44653</v>
      </c>
      <c r="F171" s="33" t="s">
        <v>227</v>
      </c>
      <c r="G171" s="33" t="s">
        <v>208</v>
      </c>
      <c r="H171" s="33" t="s">
        <v>957</v>
      </c>
      <c r="I171" s="33" t="s">
        <v>289</v>
      </c>
      <c r="J171" s="33" t="s">
        <v>958</v>
      </c>
    </row>
    <row r="172" spans="1:10" ht="18" customHeight="1" x14ac:dyDescent="0.3">
      <c r="A172" s="33">
        <v>186</v>
      </c>
      <c r="B172" s="33" t="s">
        <v>959</v>
      </c>
      <c r="C172" s="33" t="s">
        <v>960</v>
      </c>
      <c r="D172" s="33" t="s">
        <v>238</v>
      </c>
      <c r="E172" s="35">
        <v>44914</v>
      </c>
      <c r="F172" s="33" t="s">
        <v>227</v>
      </c>
      <c r="G172" s="33" t="s">
        <v>208</v>
      </c>
      <c r="H172" s="33" t="s">
        <v>961</v>
      </c>
      <c r="I172" s="33" t="s">
        <v>530</v>
      </c>
      <c r="J172" s="33" t="s">
        <v>962</v>
      </c>
    </row>
    <row r="173" spans="1:10" ht="18" customHeight="1" x14ac:dyDescent="0.3">
      <c r="A173" s="33">
        <v>448</v>
      </c>
      <c r="B173" s="33" t="s">
        <v>963</v>
      </c>
      <c r="C173" s="33" t="s">
        <v>964</v>
      </c>
      <c r="D173" s="33" t="s">
        <v>238</v>
      </c>
      <c r="E173" s="35">
        <v>44770</v>
      </c>
      <c r="F173" s="33" t="s">
        <v>239</v>
      </c>
      <c r="G173" s="33" t="s">
        <v>204</v>
      </c>
      <c r="H173" s="33" t="s">
        <v>965</v>
      </c>
      <c r="I173" s="33" t="s">
        <v>966</v>
      </c>
      <c r="J173" s="33" t="s">
        <v>394</v>
      </c>
    </row>
    <row r="174" spans="1:10" ht="18" customHeight="1" x14ac:dyDescent="0.3">
      <c r="A174" s="33">
        <v>377</v>
      </c>
      <c r="B174" s="33" t="s">
        <v>967</v>
      </c>
      <c r="C174" s="33" t="s">
        <v>968</v>
      </c>
      <c r="D174" s="33" t="s">
        <v>238</v>
      </c>
      <c r="E174" s="35">
        <v>44794</v>
      </c>
      <c r="F174" s="33" t="s">
        <v>221</v>
      </c>
      <c r="G174" s="33" t="s">
        <v>205</v>
      </c>
      <c r="H174" s="33" t="s">
        <v>969</v>
      </c>
      <c r="I174" s="33" t="s">
        <v>970</v>
      </c>
      <c r="J174" s="33" t="s">
        <v>526</v>
      </c>
    </row>
    <row r="175" spans="1:10" ht="18" customHeight="1" x14ac:dyDescent="0.3">
      <c r="A175" s="33">
        <v>316</v>
      </c>
      <c r="B175" s="33" t="s">
        <v>971</v>
      </c>
      <c r="C175" s="33" t="s">
        <v>972</v>
      </c>
      <c r="D175" s="33" t="s">
        <v>220</v>
      </c>
      <c r="E175" s="35">
        <v>44787</v>
      </c>
      <c r="F175" s="33" t="s">
        <v>281</v>
      </c>
      <c r="G175" s="33" t="s">
        <v>207</v>
      </c>
      <c r="H175" s="33" t="s">
        <v>256</v>
      </c>
      <c r="I175" s="33" t="s">
        <v>314</v>
      </c>
      <c r="J175" s="33" t="s">
        <v>370</v>
      </c>
    </row>
    <row r="176" spans="1:10" ht="18" customHeight="1" x14ac:dyDescent="0.3">
      <c r="A176" s="33">
        <v>322</v>
      </c>
      <c r="B176" s="33" t="s">
        <v>973</v>
      </c>
      <c r="C176" s="33" t="s">
        <v>974</v>
      </c>
      <c r="D176" s="33" t="s">
        <v>220</v>
      </c>
      <c r="E176" s="35">
        <v>44886</v>
      </c>
      <c r="F176" s="33" t="s">
        <v>244</v>
      </c>
      <c r="G176" s="33" t="s">
        <v>206</v>
      </c>
      <c r="H176" s="33" t="s">
        <v>975</v>
      </c>
      <c r="I176" s="33" t="s">
        <v>454</v>
      </c>
      <c r="J176" s="33" t="s">
        <v>976</v>
      </c>
    </row>
    <row r="177" spans="1:10" ht="18" customHeight="1" x14ac:dyDescent="0.3">
      <c r="A177" s="33">
        <v>62</v>
      </c>
      <c r="B177" s="33" t="s">
        <v>977</v>
      </c>
      <c r="C177" s="33" t="s">
        <v>978</v>
      </c>
      <c r="D177" s="33" t="s">
        <v>238</v>
      </c>
      <c r="E177" s="35">
        <v>44671</v>
      </c>
      <c r="F177" s="33" t="s">
        <v>239</v>
      </c>
      <c r="G177" s="33" t="s">
        <v>204</v>
      </c>
      <c r="H177" s="33" t="s">
        <v>979</v>
      </c>
      <c r="I177" s="33" t="s">
        <v>520</v>
      </c>
      <c r="J177" s="33" t="s">
        <v>675</v>
      </c>
    </row>
    <row r="178" spans="1:10" ht="18" customHeight="1" x14ac:dyDescent="0.3">
      <c r="A178" s="33">
        <v>295</v>
      </c>
      <c r="B178" s="33" t="s">
        <v>980</v>
      </c>
      <c r="C178" s="33" t="s">
        <v>981</v>
      </c>
      <c r="D178" s="33" t="s">
        <v>238</v>
      </c>
      <c r="E178" s="35">
        <v>44588</v>
      </c>
      <c r="F178" s="33" t="s">
        <v>239</v>
      </c>
      <c r="G178" s="33" t="s">
        <v>204</v>
      </c>
      <c r="H178" s="33" t="s">
        <v>982</v>
      </c>
      <c r="I178" s="33" t="s">
        <v>758</v>
      </c>
      <c r="J178" s="33" t="s">
        <v>983</v>
      </c>
    </row>
    <row r="179" spans="1:10" ht="18" customHeight="1" x14ac:dyDescent="0.3">
      <c r="A179" s="33">
        <v>235</v>
      </c>
      <c r="B179" s="33" t="s">
        <v>984</v>
      </c>
      <c r="C179" s="33" t="s">
        <v>985</v>
      </c>
      <c r="D179" s="33" t="s">
        <v>238</v>
      </c>
      <c r="E179" s="35">
        <v>44635</v>
      </c>
      <c r="F179" s="33" t="s">
        <v>221</v>
      </c>
      <c r="G179" s="33" t="s">
        <v>205</v>
      </c>
      <c r="H179" s="33" t="s">
        <v>986</v>
      </c>
      <c r="I179" s="33" t="s">
        <v>786</v>
      </c>
      <c r="J179" s="33" t="s">
        <v>427</v>
      </c>
    </row>
    <row r="180" spans="1:10" ht="18" customHeight="1" x14ac:dyDescent="0.3">
      <c r="A180" s="33">
        <v>156</v>
      </c>
      <c r="B180" s="33" t="s">
        <v>987</v>
      </c>
      <c r="C180" s="33" t="s">
        <v>988</v>
      </c>
      <c r="D180" s="33" t="s">
        <v>220</v>
      </c>
      <c r="E180" s="35">
        <v>44905</v>
      </c>
      <c r="F180" s="33" t="s">
        <v>244</v>
      </c>
      <c r="G180" s="33" t="s">
        <v>206</v>
      </c>
      <c r="H180" s="33" t="s">
        <v>989</v>
      </c>
      <c r="I180" s="33" t="s">
        <v>763</v>
      </c>
      <c r="J180" s="33" t="s">
        <v>990</v>
      </c>
    </row>
    <row r="181" spans="1:10" ht="18" customHeight="1" x14ac:dyDescent="0.3">
      <c r="A181" s="33">
        <v>327</v>
      </c>
      <c r="B181" s="33" t="s">
        <v>991</v>
      </c>
      <c r="C181" s="33" t="s">
        <v>992</v>
      </c>
      <c r="D181" s="33" t="s">
        <v>238</v>
      </c>
      <c r="E181" s="35">
        <v>44565</v>
      </c>
      <c r="F181" s="33" t="s">
        <v>281</v>
      </c>
      <c r="G181" s="33" t="s">
        <v>207</v>
      </c>
      <c r="H181" s="33" t="s">
        <v>966</v>
      </c>
      <c r="I181" s="33" t="s">
        <v>993</v>
      </c>
      <c r="J181" s="33" t="s">
        <v>753</v>
      </c>
    </row>
    <row r="182" spans="1:10" ht="18" customHeight="1" x14ac:dyDescent="0.3">
      <c r="A182" s="33">
        <v>275</v>
      </c>
      <c r="B182" s="33" t="s">
        <v>994</v>
      </c>
      <c r="C182" s="33" t="s">
        <v>995</v>
      </c>
      <c r="D182" s="33" t="s">
        <v>238</v>
      </c>
      <c r="E182" s="35">
        <v>44651</v>
      </c>
      <c r="F182" s="33" t="s">
        <v>281</v>
      </c>
      <c r="G182" s="33" t="s">
        <v>207</v>
      </c>
      <c r="H182" s="33" t="s">
        <v>996</v>
      </c>
      <c r="I182" s="33" t="s">
        <v>997</v>
      </c>
      <c r="J182" s="33" t="s">
        <v>803</v>
      </c>
    </row>
    <row r="183" spans="1:10" ht="18" customHeight="1" x14ac:dyDescent="0.3">
      <c r="A183" s="33">
        <v>177</v>
      </c>
      <c r="B183" s="33" t="s">
        <v>998</v>
      </c>
      <c r="C183" s="33" t="s">
        <v>999</v>
      </c>
      <c r="D183" s="33" t="s">
        <v>238</v>
      </c>
      <c r="E183" s="35">
        <v>44857</v>
      </c>
      <c r="F183" s="33" t="s">
        <v>281</v>
      </c>
      <c r="G183" s="33" t="s">
        <v>207</v>
      </c>
      <c r="H183" s="33" t="s">
        <v>524</v>
      </c>
      <c r="I183" s="33" t="s">
        <v>1000</v>
      </c>
      <c r="J183" s="33" t="s">
        <v>479</v>
      </c>
    </row>
    <row r="184" spans="1:10" ht="18" customHeight="1" x14ac:dyDescent="0.3">
      <c r="A184" s="33">
        <v>181</v>
      </c>
      <c r="B184" s="33" t="s">
        <v>1001</v>
      </c>
      <c r="C184" s="33" t="s">
        <v>1002</v>
      </c>
      <c r="D184" s="33" t="s">
        <v>220</v>
      </c>
      <c r="E184" s="35">
        <v>44568</v>
      </c>
      <c r="F184" s="33" t="s">
        <v>244</v>
      </c>
      <c r="G184" s="33" t="s">
        <v>206</v>
      </c>
      <c r="H184" s="33" t="s">
        <v>875</v>
      </c>
      <c r="I184" s="33" t="s">
        <v>1003</v>
      </c>
      <c r="J184" s="33" t="s">
        <v>1004</v>
      </c>
    </row>
    <row r="185" spans="1:10" ht="18" customHeight="1" x14ac:dyDescent="0.3">
      <c r="A185" s="33">
        <v>478</v>
      </c>
      <c r="B185" s="33" t="s">
        <v>1005</v>
      </c>
      <c r="C185" s="33" t="s">
        <v>1006</v>
      </c>
      <c r="D185" s="33" t="s">
        <v>238</v>
      </c>
      <c r="E185" s="35">
        <v>44726</v>
      </c>
      <c r="F185" s="33" t="s">
        <v>244</v>
      </c>
      <c r="G185" s="33" t="s">
        <v>206</v>
      </c>
      <c r="H185" s="33" t="s">
        <v>1007</v>
      </c>
      <c r="I185" s="33" t="s">
        <v>294</v>
      </c>
      <c r="J185" s="33" t="s">
        <v>1008</v>
      </c>
    </row>
    <row r="186" spans="1:10" ht="18" customHeight="1" x14ac:dyDescent="0.3">
      <c r="A186" s="33">
        <v>429</v>
      </c>
      <c r="B186" s="33" t="s">
        <v>1009</v>
      </c>
      <c r="C186" s="33" t="s">
        <v>1010</v>
      </c>
      <c r="D186" s="33" t="s">
        <v>220</v>
      </c>
      <c r="E186" s="35">
        <v>44625</v>
      </c>
      <c r="F186" s="33" t="s">
        <v>281</v>
      </c>
      <c r="G186" s="33" t="s">
        <v>207</v>
      </c>
      <c r="H186" s="33" t="s">
        <v>1011</v>
      </c>
      <c r="I186" s="33" t="s">
        <v>1012</v>
      </c>
      <c r="J186" s="33" t="s">
        <v>717</v>
      </c>
    </row>
    <row r="187" spans="1:10" ht="18" customHeight="1" x14ac:dyDescent="0.3">
      <c r="A187" s="33">
        <v>431</v>
      </c>
      <c r="B187" s="33" t="s">
        <v>1013</v>
      </c>
      <c r="C187" s="33" t="s">
        <v>1014</v>
      </c>
      <c r="D187" s="33" t="s">
        <v>238</v>
      </c>
      <c r="E187" s="35">
        <v>44623</v>
      </c>
      <c r="F187" s="33" t="s">
        <v>239</v>
      </c>
      <c r="G187" s="33" t="s">
        <v>204</v>
      </c>
      <c r="H187" s="33" t="s">
        <v>1015</v>
      </c>
      <c r="I187" s="33" t="s">
        <v>682</v>
      </c>
      <c r="J187" s="33" t="s">
        <v>1016</v>
      </c>
    </row>
    <row r="188" spans="1:10" ht="18" customHeight="1" x14ac:dyDescent="0.3">
      <c r="A188" s="33">
        <v>147</v>
      </c>
      <c r="B188" s="33" t="s">
        <v>1017</v>
      </c>
      <c r="C188" s="33" t="s">
        <v>1018</v>
      </c>
      <c r="D188" s="33" t="s">
        <v>220</v>
      </c>
      <c r="E188" s="35">
        <v>44827</v>
      </c>
      <c r="F188" s="33" t="s">
        <v>239</v>
      </c>
      <c r="G188" s="33" t="s">
        <v>204</v>
      </c>
      <c r="H188" s="33" t="s">
        <v>1019</v>
      </c>
      <c r="I188" s="33" t="s">
        <v>993</v>
      </c>
      <c r="J188" s="33" t="s">
        <v>958</v>
      </c>
    </row>
    <row r="189" spans="1:10" ht="18" customHeight="1" x14ac:dyDescent="0.3">
      <c r="A189" s="33">
        <v>312</v>
      </c>
      <c r="B189" s="33" t="s">
        <v>1020</v>
      </c>
      <c r="C189" s="33" t="s">
        <v>1021</v>
      </c>
      <c r="D189" s="33" t="s">
        <v>220</v>
      </c>
      <c r="E189" s="35">
        <v>44886</v>
      </c>
      <c r="F189" s="33" t="s">
        <v>239</v>
      </c>
      <c r="G189" s="33" t="s">
        <v>204</v>
      </c>
      <c r="H189" s="33" t="s">
        <v>840</v>
      </c>
      <c r="I189" s="33" t="s">
        <v>390</v>
      </c>
      <c r="J189" s="33" t="s">
        <v>1022</v>
      </c>
    </row>
    <row r="190" spans="1:10" ht="18" customHeight="1" x14ac:dyDescent="0.3">
      <c r="A190" s="33">
        <v>41</v>
      </c>
      <c r="B190" s="33" t="s">
        <v>1023</v>
      </c>
      <c r="C190" s="33" t="s">
        <v>1024</v>
      </c>
      <c r="D190" s="33" t="s">
        <v>220</v>
      </c>
      <c r="E190" s="35">
        <v>44842</v>
      </c>
      <c r="F190" s="33" t="s">
        <v>239</v>
      </c>
      <c r="G190" s="33" t="s">
        <v>204</v>
      </c>
      <c r="H190" s="33" t="s">
        <v>1025</v>
      </c>
      <c r="I190" s="33" t="s">
        <v>372</v>
      </c>
      <c r="J190" s="33" t="s">
        <v>470</v>
      </c>
    </row>
    <row r="191" spans="1:10" ht="18" customHeight="1" x14ac:dyDescent="0.3">
      <c r="A191" s="33">
        <v>389</v>
      </c>
      <c r="B191" s="33" t="s">
        <v>1026</v>
      </c>
      <c r="C191" s="33" t="s">
        <v>1027</v>
      </c>
      <c r="D191" s="33" t="s">
        <v>220</v>
      </c>
      <c r="E191" s="35">
        <v>44876</v>
      </c>
      <c r="F191" s="33" t="s">
        <v>239</v>
      </c>
      <c r="G191" s="33" t="s">
        <v>204</v>
      </c>
      <c r="H191" s="33" t="s">
        <v>1028</v>
      </c>
      <c r="I191" s="33" t="s">
        <v>807</v>
      </c>
      <c r="J191" s="33" t="s">
        <v>566</v>
      </c>
    </row>
    <row r="192" spans="1:10" ht="18" customHeight="1" x14ac:dyDescent="0.3">
      <c r="A192" s="33">
        <v>249</v>
      </c>
      <c r="B192" s="33" t="s">
        <v>1029</v>
      </c>
      <c r="C192" s="33" t="s">
        <v>1030</v>
      </c>
      <c r="D192" s="33" t="s">
        <v>220</v>
      </c>
      <c r="E192" s="35">
        <v>44781</v>
      </c>
      <c r="F192" s="33" t="s">
        <v>239</v>
      </c>
      <c r="G192" s="33" t="s">
        <v>204</v>
      </c>
      <c r="H192" s="33" t="s">
        <v>849</v>
      </c>
      <c r="I192" s="33" t="s">
        <v>1031</v>
      </c>
      <c r="J192" s="33" t="s">
        <v>1032</v>
      </c>
    </row>
    <row r="193" spans="1:10" ht="18" customHeight="1" x14ac:dyDescent="0.3">
      <c r="A193" s="33">
        <v>168</v>
      </c>
      <c r="B193" s="33" t="s">
        <v>1033</v>
      </c>
      <c r="C193" s="33" t="s">
        <v>1034</v>
      </c>
      <c r="D193" s="33" t="s">
        <v>220</v>
      </c>
      <c r="E193" s="35">
        <v>44706</v>
      </c>
      <c r="F193" s="33" t="s">
        <v>221</v>
      </c>
      <c r="G193" s="33" t="s">
        <v>205</v>
      </c>
      <c r="H193" s="33" t="s">
        <v>1035</v>
      </c>
      <c r="I193" s="33" t="s">
        <v>1031</v>
      </c>
      <c r="J193" s="33" t="s">
        <v>1036</v>
      </c>
    </row>
    <row r="194" spans="1:10" ht="18" customHeight="1" x14ac:dyDescent="0.3">
      <c r="A194" s="33">
        <v>121</v>
      </c>
      <c r="B194" s="33" t="s">
        <v>1037</v>
      </c>
      <c r="C194" s="33" t="s">
        <v>1038</v>
      </c>
      <c r="D194" s="33" t="s">
        <v>220</v>
      </c>
      <c r="E194" s="35">
        <v>44763</v>
      </c>
      <c r="F194" s="33" t="s">
        <v>239</v>
      </c>
      <c r="G194" s="33" t="s">
        <v>204</v>
      </c>
      <c r="H194" s="33" t="s">
        <v>1039</v>
      </c>
      <c r="I194" s="33" t="s">
        <v>479</v>
      </c>
      <c r="J194" s="33" t="s">
        <v>1040</v>
      </c>
    </row>
    <row r="195" spans="1:10" ht="18" customHeight="1" x14ac:dyDescent="0.3">
      <c r="A195" s="33">
        <v>405</v>
      </c>
      <c r="B195" s="33" t="s">
        <v>1041</v>
      </c>
      <c r="C195" s="33" t="s">
        <v>1042</v>
      </c>
      <c r="D195" s="33" t="s">
        <v>238</v>
      </c>
      <c r="E195" s="35">
        <v>44798</v>
      </c>
      <c r="F195" s="33" t="s">
        <v>244</v>
      </c>
      <c r="G195" s="33" t="s">
        <v>206</v>
      </c>
      <c r="H195" s="33" t="s">
        <v>444</v>
      </c>
      <c r="I195" s="33" t="s">
        <v>1043</v>
      </c>
      <c r="J195" s="33" t="s">
        <v>1044</v>
      </c>
    </row>
    <row r="196" spans="1:10" ht="18" customHeight="1" x14ac:dyDescent="0.3">
      <c r="A196" s="33">
        <v>376</v>
      </c>
      <c r="B196" s="33" t="s">
        <v>1045</v>
      </c>
      <c r="C196" s="33" t="s">
        <v>1046</v>
      </c>
      <c r="D196" s="33" t="s">
        <v>220</v>
      </c>
      <c r="E196" s="35">
        <v>44730</v>
      </c>
      <c r="F196" s="33" t="s">
        <v>227</v>
      </c>
      <c r="G196" s="33" t="s">
        <v>208</v>
      </c>
      <c r="H196" s="33" t="s">
        <v>426</v>
      </c>
      <c r="I196" s="33" t="s">
        <v>1047</v>
      </c>
      <c r="J196" s="33" t="s">
        <v>1048</v>
      </c>
    </row>
    <row r="197" spans="1:10" ht="18" customHeight="1" x14ac:dyDescent="0.3">
      <c r="A197" s="33">
        <v>489</v>
      </c>
      <c r="B197" s="33" t="s">
        <v>1049</v>
      </c>
      <c r="C197" s="33" t="s">
        <v>1050</v>
      </c>
      <c r="D197" s="33" t="s">
        <v>220</v>
      </c>
      <c r="E197" s="35">
        <v>44587</v>
      </c>
      <c r="F197" s="33" t="s">
        <v>239</v>
      </c>
      <c r="G197" s="33" t="s">
        <v>204</v>
      </c>
      <c r="H197" s="33" t="s">
        <v>1051</v>
      </c>
      <c r="I197" s="33" t="s">
        <v>1052</v>
      </c>
      <c r="J197" s="33" t="s">
        <v>912</v>
      </c>
    </row>
    <row r="198" spans="1:10" ht="18" customHeight="1" x14ac:dyDescent="0.3">
      <c r="A198" s="33">
        <v>483</v>
      </c>
      <c r="B198" s="33" t="s">
        <v>1053</v>
      </c>
      <c r="C198" s="33" t="s">
        <v>1054</v>
      </c>
      <c r="D198" s="33" t="s">
        <v>220</v>
      </c>
      <c r="E198" s="35">
        <v>44855</v>
      </c>
      <c r="F198" s="33" t="s">
        <v>239</v>
      </c>
      <c r="G198" s="33" t="s">
        <v>204</v>
      </c>
      <c r="H198" s="33" t="s">
        <v>1055</v>
      </c>
      <c r="I198" s="33" t="s">
        <v>843</v>
      </c>
      <c r="J198" s="33" t="s">
        <v>1056</v>
      </c>
    </row>
    <row r="199" spans="1:10" ht="18" customHeight="1" x14ac:dyDescent="0.3">
      <c r="A199" s="33">
        <v>107</v>
      </c>
      <c r="B199" s="33" t="s">
        <v>1057</v>
      </c>
      <c r="C199" s="33" t="s">
        <v>1058</v>
      </c>
      <c r="D199" s="33" t="s">
        <v>238</v>
      </c>
      <c r="E199" s="35">
        <v>44744</v>
      </c>
      <c r="F199" s="33" t="s">
        <v>281</v>
      </c>
      <c r="G199" s="33" t="s">
        <v>207</v>
      </c>
      <c r="H199" s="33" t="s">
        <v>1059</v>
      </c>
      <c r="I199" s="33" t="s">
        <v>1060</v>
      </c>
      <c r="J199" s="33" t="s">
        <v>590</v>
      </c>
    </row>
    <row r="200" spans="1:10" ht="18" customHeight="1" x14ac:dyDescent="0.3">
      <c r="A200" s="33">
        <v>51</v>
      </c>
      <c r="B200" s="33" t="s">
        <v>1061</v>
      </c>
      <c r="C200" s="33" t="s">
        <v>1062</v>
      </c>
      <c r="D200" s="33" t="s">
        <v>238</v>
      </c>
      <c r="E200" s="35">
        <v>44605</v>
      </c>
      <c r="F200" s="33" t="s">
        <v>221</v>
      </c>
      <c r="G200" s="33" t="s">
        <v>205</v>
      </c>
      <c r="H200" s="33" t="s">
        <v>1063</v>
      </c>
      <c r="I200" s="33" t="s">
        <v>1064</v>
      </c>
      <c r="J200" s="33" t="s">
        <v>893</v>
      </c>
    </row>
    <row r="201" spans="1:10" ht="18" customHeight="1" x14ac:dyDescent="0.3">
      <c r="A201" s="33">
        <v>9</v>
      </c>
      <c r="B201" s="33" t="s">
        <v>1065</v>
      </c>
      <c r="C201" s="33" t="s">
        <v>1066</v>
      </c>
      <c r="D201" s="33" t="s">
        <v>220</v>
      </c>
      <c r="E201" s="35">
        <v>44900</v>
      </c>
      <c r="F201" s="33" t="s">
        <v>281</v>
      </c>
      <c r="G201" s="33" t="s">
        <v>207</v>
      </c>
      <c r="H201" s="33" t="s">
        <v>1067</v>
      </c>
      <c r="I201" s="33" t="s">
        <v>1056</v>
      </c>
      <c r="J201" s="33" t="s">
        <v>1068</v>
      </c>
    </row>
    <row r="202" spans="1:10" ht="18" customHeight="1" x14ac:dyDescent="0.3">
      <c r="A202" s="33">
        <v>456</v>
      </c>
      <c r="B202" s="33" t="s">
        <v>1069</v>
      </c>
      <c r="C202" s="33" t="s">
        <v>1070</v>
      </c>
      <c r="D202" s="33" t="s">
        <v>220</v>
      </c>
      <c r="E202" s="35">
        <v>44618</v>
      </c>
      <c r="F202" s="33" t="s">
        <v>239</v>
      </c>
      <c r="G202" s="33" t="s">
        <v>204</v>
      </c>
      <c r="H202" s="33" t="s">
        <v>1071</v>
      </c>
      <c r="I202" s="33" t="s">
        <v>896</v>
      </c>
      <c r="J202" s="33" t="s">
        <v>976</v>
      </c>
    </row>
    <row r="203" spans="1:10" ht="18" customHeight="1" x14ac:dyDescent="0.3">
      <c r="A203" s="33">
        <v>110</v>
      </c>
      <c r="B203" s="33" t="s">
        <v>1072</v>
      </c>
      <c r="C203" s="33" t="s">
        <v>1073</v>
      </c>
      <c r="D203" s="33" t="s">
        <v>238</v>
      </c>
      <c r="E203" s="35">
        <v>44580</v>
      </c>
      <c r="F203" s="33" t="s">
        <v>221</v>
      </c>
      <c r="G203" s="33" t="s">
        <v>205</v>
      </c>
      <c r="H203" s="33" t="s">
        <v>1074</v>
      </c>
      <c r="I203" s="33" t="s">
        <v>1075</v>
      </c>
      <c r="J203" s="33" t="s">
        <v>1076</v>
      </c>
    </row>
    <row r="204" spans="1:10" ht="18" customHeight="1" x14ac:dyDescent="0.3">
      <c r="A204" s="33">
        <v>216</v>
      </c>
      <c r="B204" s="33" t="s">
        <v>1077</v>
      </c>
      <c r="C204" s="33" t="s">
        <v>1078</v>
      </c>
      <c r="D204" s="33" t="s">
        <v>238</v>
      </c>
      <c r="E204" s="35">
        <v>44655</v>
      </c>
      <c r="F204" s="33" t="s">
        <v>281</v>
      </c>
      <c r="G204" s="33" t="s">
        <v>207</v>
      </c>
      <c r="H204" s="33" t="s">
        <v>298</v>
      </c>
      <c r="I204" s="33" t="s">
        <v>707</v>
      </c>
      <c r="J204" s="33" t="s">
        <v>683</v>
      </c>
    </row>
    <row r="205" spans="1:10" ht="18" customHeight="1" x14ac:dyDescent="0.3">
      <c r="A205" s="33">
        <v>77</v>
      </c>
      <c r="B205" s="33" t="s">
        <v>1079</v>
      </c>
      <c r="C205" s="33" t="s">
        <v>1080</v>
      </c>
      <c r="D205" s="33" t="s">
        <v>238</v>
      </c>
      <c r="E205" s="35">
        <v>44644</v>
      </c>
      <c r="F205" s="33" t="s">
        <v>239</v>
      </c>
      <c r="G205" s="33" t="s">
        <v>204</v>
      </c>
      <c r="H205" s="33" t="s">
        <v>776</v>
      </c>
      <c r="I205" s="33" t="s">
        <v>1081</v>
      </c>
      <c r="J205" s="33" t="s">
        <v>1082</v>
      </c>
    </row>
    <row r="206" spans="1:10" ht="18" customHeight="1" x14ac:dyDescent="0.3">
      <c r="A206" s="33">
        <v>192</v>
      </c>
      <c r="B206" s="33" t="s">
        <v>1083</v>
      </c>
      <c r="C206" s="33" t="s">
        <v>1084</v>
      </c>
      <c r="D206" s="33" t="s">
        <v>220</v>
      </c>
      <c r="E206" s="35">
        <v>44572</v>
      </c>
      <c r="F206" s="33" t="s">
        <v>239</v>
      </c>
      <c r="G206" s="33" t="s">
        <v>204</v>
      </c>
      <c r="H206" s="33" t="s">
        <v>1067</v>
      </c>
      <c r="I206" s="33" t="s">
        <v>1085</v>
      </c>
      <c r="J206" s="33" t="s">
        <v>1086</v>
      </c>
    </row>
    <row r="207" spans="1:10" ht="18" customHeight="1" x14ac:dyDescent="0.3">
      <c r="A207" s="33">
        <v>308</v>
      </c>
      <c r="B207" s="33" t="s">
        <v>1087</v>
      </c>
      <c r="C207" s="33" t="s">
        <v>1088</v>
      </c>
      <c r="D207" s="33" t="s">
        <v>220</v>
      </c>
      <c r="E207" s="35">
        <v>44562</v>
      </c>
      <c r="F207" s="33" t="s">
        <v>227</v>
      </c>
      <c r="G207" s="33" t="s">
        <v>208</v>
      </c>
      <c r="H207" s="33" t="s">
        <v>252</v>
      </c>
      <c r="I207" s="33" t="s">
        <v>1089</v>
      </c>
      <c r="J207" s="33" t="s">
        <v>1090</v>
      </c>
    </row>
    <row r="208" spans="1:10" ht="18" customHeight="1" x14ac:dyDescent="0.3">
      <c r="A208" s="33">
        <v>455</v>
      </c>
      <c r="B208" s="33" t="s">
        <v>1091</v>
      </c>
      <c r="C208" s="33" t="s">
        <v>1092</v>
      </c>
      <c r="D208" s="33" t="s">
        <v>220</v>
      </c>
      <c r="E208" s="35">
        <v>44820</v>
      </c>
      <c r="F208" s="33" t="s">
        <v>244</v>
      </c>
      <c r="G208" s="33" t="s">
        <v>206</v>
      </c>
      <c r="H208" s="33" t="s">
        <v>1093</v>
      </c>
      <c r="I208" s="33" t="s">
        <v>223</v>
      </c>
      <c r="J208" s="33" t="s">
        <v>400</v>
      </c>
    </row>
    <row r="209" spans="1:10" ht="18" customHeight="1" x14ac:dyDescent="0.3">
      <c r="A209" s="33">
        <v>480</v>
      </c>
      <c r="B209" s="33" t="s">
        <v>1094</v>
      </c>
      <c r="C209" s="33" t="s">
        <v>1095</v>
      </c>
      <c r="D209" s="33" t="s">
        <v>220</v>
      </c>
      <c r="E209" s="35">
        <v>44568</v>
      </c>
      <c r="F209" s="33" t="s">
        <v>221</v>
      </c>
      <c r="G209" s="33" t="s">
        <v>205</v>
      </c>
      <c r="H209" s="33" t="s">
        <v>292</v>
      </c>
      <c r="I209" s="33" t="s">
        <v>393</v>
      </c>
      <c r="J209" s="33" t="s">
        <v>772</v>
      </c>
    </row>
    <row r="210" spans="1:10" ht="18" customHeight="1" x14ac:dyDescent="0.3">
      <c r="A210" s="33">
        <v>203</v>
      </c>
      <c r="B210" s="33" t="s">
        <v>1096</v>
      </c>
      <c r="C210" s="33" t="s">
        <v>1097</v>
      </c>
      <c r="D210" s="33" t="s">
        <v>238</v>
      </c>
      <c r="E210" s="35">
        <v>44685</v>
      </c>
      <c r="F210" s="33" t="s">
        <v>239</v>
      </c>
      <c r="G210" s="33" t="s">
        <v>204</v>
      </c>
      <c r="H210" s="33" t="s">
        <v>1098</v>
      </c>
      <c r="I210" s="33" t="s">
        <v>1056</v>
      </c>
      <c r="J210" s="33" t="s">
        <v>1099</v>
      </c>
    </row>
    <row r="211" spans="1:10" ht="18" customHeight="1" x14ac:dyDescent="0.3">
      <c r="A211" s="33">
        <v>21</v>
      </c>
      <c r="B211" s="33" t="s">
        <v>1100</v>
      </c>
      <c r="C211" s="33" t="s">
        <v>1101</v>
      </c>
      <c r="D211" s="33" t="s">
        <v>220</v>
      </c>
      <c r="E211" s="35">
        <v>44881</v>
      </c>
      <c r="F211" s="33" t="s">
        <v>227</v>
      </c>
      <c r="G211" s="33" t="s">
        <v>208</v>
      </c>
      <c r="H211" s="33" t="s">
        <v>1102</v>
      </c>
      <c r="I211" s="33" t="s">
        <v>570</v>
      </c>
      <c r="J211" s="33" t="s">
        <v>1103</v>
      </c>
    </row>
    <row r="212" spans="1:10" ht="18" customHeight="1" x14ac:dyDescent="0.3">
      <c r="A212" s="33">
        <v>302</v>
      </c>
      <c r="B212" s="33" t="s">
        <v>1104</v>
      </c>
      <c r="C212" s="33" t="s">
        <v>1105</v>
      </c>
      <c r="D212" s="33" t="s">
        <v>238</v>
      </c>
      <c r="E212" s="35">
        <v>44859</v>
      </c>
      <c r="F212" s="33" t="s">
        <v>239</v>
      </c>
      <c r="G212" s="33" t="s">
        <v>204</v>
      </c>
      <c r="H212" s="33" t="s">
        <v>380</v>
      </c>
      <c r="I212" s="33" t="s">
        <v>1106</v>
      </c>
      <c r="J212" s="33" t="s">
        <v>245</v>
      </c>
    </row>
    <row r="213" spans="1:10" ht="18" customHeight="1" x14ac:dyDescent="0.3">
      <c r="A213" s="33">
        <v>341</v>
      </c>
      <c r="B213" s="33" t="s">
        <v>1107</v>
      </c>
      <c r="C213" s="33" t="s">
        <v>1108</v>
      </c>
      <c r="D213" s="33" t="s">
        <v>238</v>
      </c>
      <c r="E213" s="35">
        <v>44724</v>
      </c>
      <c r="F213" s="33" t="s">
        <v>239</v>
      </c>
      <c r="G213" s="33" t="s">
        <v>204</v>
      </c>
      <c r="H213" s="33" t="s">
        <v>948</v>
      </c>
      <c r="I213" s="33" t="s">
        <v>512</v>
      </c>
      <c r="J213" s="33" t="s">
        <v>1109</v>
      </c>
    </row>
    <row r="214" spans="1:10" ht="18" customHeight="1" x14ac:dyDescent="0.3">
      <c r="A214" s="33">
        <v>463</v>
      </c>
      <c r="B214" s="33" t="s">
        <v>1110</v>
      </c>
      <c r="C214" s="33" t="s">
        <v>1111</v>
      </c>
      <c r="D214" s="33" t="s">
        <v>238</v>
      </c>
      <c r="E214" s="35">
        <v>44869</v>
      </c>
      <c r="F214" s="33" t="s">
        <v>244</v>
      </c>
      <c r="G214" s="33" t="s">
        <v>206</v>
      </c>
      <c r="H214" s="33" t="s">
        <v>312</v>
      </c>
      <c r="I214" s="33" t="s">
        <v>1112</v>
      </c>
      <c r="J214" s="33" t="s">
        <v>489</v>
      </c>
    </row>
    <row r="215" spans="1:10" ht="18" customHeight="1" x14ac:dyDescent="0.3">
      <c r="A215" s="33">
        <v>421</v>
      </c>
      <c r="B215" s="33" t="s">
        <v>1113</v>
      </c>
      <c r="C215" s="33" t="s">
        <v>1114</v>
      </c>
      <c r="D215" s="33" t="s">
        <v>238</v>
      </c>
      <c r="E215" s="35">
        <v>44620</v>
      </c>
      <c r="F215" s="33" t="s">
        <v>239</v>
      </c>
      <c r="G215" s="33" t="s">
        <v>204</v>
      </c>
      <c r="H215" s="33" t="s">
        <v>1115</v>
      </c>
      <c r="I215" s="33" t="s">
        <v>1116</v>
      </c>
      <c r="J215" s="33" t="s">
        <v>808</v>
      </c>
    </row>
    <row r="216" spans="1:10" ht="18" customHeight="1" x14ac:dyDescent="0.3">
      <c r="A216" s="33">
        <v>86</v>
      </c>
      <c r="B216" s="33" t="s">
        <v>1117</v>
      </c>
      <c r="C216" s="33" t="s">
        <v>1118</v>
      </c>
      <c r="D216" s="33" t="s">
        <v>220</v>
      </c>
      <c r="E216" s="35">
        <v>44692</v>
      </c>
      <c r="F216" s="33" t="s">
        <v>221</v>
      </c>
      <c r="G216" s="33" t="s">
        <v>205</v>
      </c>
      <c r="H216" s="33" t="s">
        <v>1119</v>
      </c>
      <c r="I216" s="33" t="s">
        <v>772</v>
      </c>
      <c r="J216" s="33" t="s">
        <v>737</v>
      </c>
    </row>
    <row r="217" spans="1:10" ht="18" customHeight="1" x14ac:dyDescent="0.3">
      <c r="A217" s="33">
        <v>319</v>
      </c>
      <c r="B217" s="33" t="s">
        <v>1120</v>
      </c>
      <c r="C217" s="33" t="s">
        <v>1121</v>
      </c>
      <c r="D217" s="33" t="s">
        <v>220</v>
      </c>
      <c r="E217" s="35">
        <v>44674</v>
      </c>
      <c r="F217" s="33" t="s">
        <v>221</v>
      </c>
      <c r="G217" s="33" t="s">
        <v>205</v>
      </c>
      <c r="H217" s="33" t="s">
        <v>1122</v>
      </c>
      <c r="I217" s="33" t="s">
        <v>289</v>
      </c>
      <c r="J217" s="33" t="s">
        <v>484</v>
      </c>
    </row>
    <row r="218" spans="1:10" ht="18" customHeight="1" x14ac:dyDescent="0.3">
      <c r="A218" s="33">
        <v>290</v>
      </c>
      <c r="B218" s="33" t="s">
        <v>1123</v>
      </c>
      <c r="C218" s="33" t="s">
        <v>1124</v>
      </c>
      <c r="D218" s="33" t="s">
        <v>220</v>
      </c>
      <c r="E218" s="35">
        <v>44777</v>
      </c>
      <c r="F218" s="33" t="s">
        <v>239</v>
      </c>
      <c r="G218" s="33" t="s">
        <v>204</v>
      </c>
      <c r="H218" s="33" t="s">
        <v>1125</v>
      </c>
      <c r="I218" s="33" t="s">
        <v>1126</v>
      </c>
      <c r="J218" s="33" t="s">
        <v>884</v>
      </c>
    </row>
    <row r="219" spans="1:10" ht="18" customHeight="1" x14ac:dyDescent="0.3">
      <c r="A219" s="33">
        <v>13</v>
      </c>
      <c r="B219" s="33" t="s">
        <v>1127</v>
      </c>
      <c r="C219" s="33" t="s">
        <v>1128</v>
      </c>
      <c r="D219" s="33" t="s">
        <v>238</v>
      </c>
      <c r="E219" s="35">
        <v>44724</v>
      </c>
      <c r="F219" s="33" t="s">
        <v>239</v>
      </c>
      <c r="G219" s="33" t="s">
        <v>204</v>
      </c>
      <c r="H219" s="33" t="s">
        <v>951</v>
      </c>
      <c r="I219" s="33" t="s">
        <v>394</v>
      </c>
      <c r="J219" s="33" t="s">
        <v>1129</v>
      </c>
    </row>
    <row r="220" spans="1:10" ht="18" customHeight="1" x14ac:dyDescent="0.3">
      <c r="A220" s="33">
        <v>453</v>
      </c>
      <c r="B220" s="33" t="s">
        <v>1130</v>
      </c>
      <c r="C220" s="33" t="s">
        <v>1131</v>
      </c>
      <c r="D220" s="33" t="s">
        <v>220</v>
      </c>
      <c r="E220" s="35">
        <v>44635</v>
      </c>
      <c r="F220" s="33" t="s">
        <v>239</v>
      </c>
      <c r="G220" s="33" t="s">
        <v>204</v>
      </c>
      <c r="H220" s="33" t="s">
        <v>597</v>
      </c>
      <c r="I220" s="33" t="s">
        <v>531</v>
      </c>
      <c r="J220" s="33" t="s">
        <v>1132</v>
      </c>
    </row>
    <row r="221" spans="1:10" ht="18" customHeight="1" x14ac:dyDescent="0.3">
      <c r="A221" s="33">
        <v>120</v>
      </c>
      <c r="B221" s="33" t="s">
        <v>1133</v>
      </c>
      <c r="C221" s="33" t="s">
        <v>1134</v>
      </c>
      <c r="D221" s="33" t="s">
        <v>220</v>
      </c>
      <c r="E221" s="35">
        <v>44691</v>
      </c>
      <c r="F221" s="33" t="s">
        <v>239</v>
      </c>
      <c r="G221" s="33" t="s">
        <v>204</v>
      </c>
      <c r="H221" s="33" t="s">
        <v>1135</v>
      </c>
      <c r="I221" s="33" t="s">
        <v>1136</v>
      </c>
      <c r="J221" s="33" t="s">
        <v>235</v>
      </c>
    </row>
    <row r="222" spans="1:10" ht="18" customHeight="1" x14ac:dyDescent="0.3">
      <c r="A222" s="33">
        <v>292</v>
      </c>
      <c r="B222" s="33" t="s">
        <v>1137</v>
      </c>
      <c r="C222" s="33" t="s">
        <v>1138</v>
      </c>
      <c r="D222" s="33" t="s">
        <v>238</v>
      </c>
      <c r="E222" s="35">
        <v>44608</v>
      </c>
      <c r="F222" s="33" t="s">
        <v>239</v>
      </c>
      <c r="G222" s="33" t="s">
        <v>204</v>
      </c>
      <c r="H222" s="33" t="s">
        <v>1139</v>
      </c>
      <c r="I222" s="33" t="s">
        <v>605</v>
      </c>
      <c r="J222" s="33" t="s">
        <v>1140</v>
      </c>
    </row>
    <row r="223" spans="1:10" ht="18" customHeight="1" x14ac:dyDescent="0.3">
      <c r="A223" s="33">
        <v>1</v>
      </c>
      <c r="B223" s="33" t="s">
        <v>1141</v>
      </c>
      <c r="C223" s="33" t="s">
        <v>1142</v>
      </c>
      <c r="D223" s="33" t="s">
        <v>220</v>
      </c>
      <c r="E223" s="35">
        <v>44585</v>
      </c>
      <c r="F223" s="33" t="s">
        <v>239</v>
      </c>
      <c r="G223" s="33" t="s">
        <v>204</v>
      </c>
      <c r="H223" s="33" t="s">
        <v>1143</v>
      </c>
      <c r="I223" s="33" t="s">
        <v>811</v>
      </c>
      <c r="J223" s="33" t="s">
        <v>1144</v>
      </c>
    </row>
    <row r="224" spans="1:10" ht="18" customHeight="1" x14ac:dyDescent="0.3">
      <c r="A224" s="33">
        <v>98</v>
      </c>
      <c r="B224" s="33" t="s">
        <v>1145</v>
      </c>
      <c r="C224" s="33" t="s">
        <v>1146</v>
      </c>
      <c r="D224" s="33" t="s">
        <v>220</v>
      </c>
      <c r="E224" s="35">
        <v>44637</v>
      </c>
      <c r="F224" s="33" t="s">
        <v>239</v>
      </c>
      <c r="G224" s="33" t="s">
        <v>204</v>
      </c>
      <c r="H224" s="33" t="s">
        <v>1102</v>
      </c>
      <c r="I224" s="33" t="s">
        <v>1147</v>
      </c>
      <c r="J224" s="33" t="s">
        <v>348</v>
      </c>
    </row>
    <row r="225" spans="1:10" ht="18" customHeight="1" x14ac:dyDescent="0.3">
      <c r="A225" s="33">
        <v>226</v>
      </c>
      <c r="B225" s="33" t="s">
        <v>1148</v>
      </c>
      <c r="C225" s="33" t="s">
        <v>1149</v>
      </c>
      <c r="D225" s="33" t="s">
        <v>220</v>
      </c>
      <c r="E225" s="35">
        <v>44702</v>
      </c>
      <c r="F225" s="33" t="s">
        <v>239</v>
      </c>
      <c r="G225" s="33" t="s">
        <v>204</v>
      </c>
      <c r="H225" s="33" t="s">
        <v>1150</v>
      </c>
      <c r="I225" s="33" t="s">
        <v>1151</v>
      </c>
      <c r="J225" s="33" t="s">
        <v>803</v>
      </c>
    </row>
    <row r="226" spans="1:10" ht="18" customHeight="1" x14ac:dyDescent="0.3">
      <c r="A226" s="33">
        <v>296</v>
      </c>
      <c r="B226" s="33" t="s">
        <v>1152</v>
      </c>
      <c r="C226" s="33" t="s">
        <v>1153</v>
      </c>
      <c r="D226" s="33" t="s">
        <v>238</v>
      </c>
      <c r="E226" s="35">
        <v>44758</v>
      </c>
      <c r="F226" s="33" t="s">
        <v>221</v>
      </c>
      <c r="G226" s="33" t="s">
        <v>205</v>
      </c>
      <c r="H226" s="33" t="s">
        <v>1154</v>
      </c>
      <c r="I226" s="33" t="s">
        <v>652</v>
      </c>
      <c r="J226" s="33" t="s">
        <v>1155</v>
      </c>
    </row>
    <row r="227" spans="1:10" ht="18" customHeight="1" x14ac:dyDescent="0.3">
      <c r="A227" s="33">
        <v>29</v>
      </c>
      <c r="B227" s="33" t="s">
        <v>1156</v>
      </c>
      <c r="C227" s="33" t="s">
        <v>1157</v>
      </c>
      <c r="D227" s="33" t="s">
        <v>220</v>
      </c>
      <c r="E227" s="35">
        <v>44704</v>
      </c>
      <c r="F227" s="33" t="s">
        <v>239</v>
      </c>
      <c r="G227" s="33" t="s">
        <v>204</v>
      </c>
      <c r="H227" s="33" t="s">
        <v>794</v>
      </c>
      <c r="I227" s="33" t="s">
        <v>746</v>
      </c>
      <c r="J227" s="33" t="s">
        <v>1158</v>
      </c>
    </row>
    <row r="228" spans="1:10" ht="18" customHeight="1" x14ac:dyDescent="0.3">
      <c r="A228" s="33">
        <v>297</v>
      </c>
      <c r="B228" s="33" t="s">
        <v>1159</v>
      </c>
      <c r="C228" s="33" t="s">
        <v>1160</v>
      </c>
      <c r="D228" s="33" t="s">
        <v>238</v>
      </c>
      <c r="E228" s="35">
        <v>44666</v>
      </c>
      <c r="F228" s="33" t="s">
        <v>244</v>
      </c>
      <c r="G228" s="33" t="s">
        <v>206</v>
      </c>
      <c r="H228" s="33" t="s">
        <v>1161</v>
      </c>
      <c r="I228" s="33" t="s">
        <v>1162</v>
      </c>
      <c r="J228" s="33" t="s">
        <v>346</v>
      </c>
    </row>
    <row r="229" spans="1:10" ht="18" customHeight="1" x14ac:dyDescent="0.3">
      <c r="A229" s="33">
        <v>497</v>
      </c>
      <c r="B229" s="33" t="s">
        <v>1163</v>
      </c>
      <c r="C229" s="33" t="s">
        <v>1164</v>
      </c>
      <c r="D229" s="33" t="s">
        <v>238</v>
      </c>
      <c r="E229" s="35">
        <v>44826</v>
      </c>
      <c r="F229" s="33" t="s">
        <v>221</v>
      </c>
      <c r="G229" s="33" t="s">
        <v>205</v>
      </c>
      <c r="H229" s="33" t="s">
        <v>764</v>
      </c>
      <c r="I229" s="33" t="s">
        <v>1011</v>
      </c>
      <c r="J229" s="33" t="s">
        <v>1165</v>
      </c>
    </row>
    <row r="230" spans="1:10" ht="18" customHeight="1" x14ac:dyDescent="0.3">
      <c r="A230" s="33">
        <v>191</v>
      </c>
      <c r="B230" s="33" t="s">
        <v>1166</v>
      </c>
      <c r="C230" s="33" t="s">
        <v>1167</v>
      </c>
      <c r="D230" s="33" t="s">
        <v>220</v>
      </c>
      <c r="E230" s="35">
        <v>44866</v>
      </c>
      <c r="F230" s="33" t="s">
        <v>244</v>
      </c>
      <c r="G230" s="33" t="s">
        <v>206</v>
      </c>
      <c r="H230" s="33" t="s">
        <v>1168</v>
      </c>
      <c r="I230" s="33" t="s">
        <v>1169</v>
      </c>
      <c r="J230" s="33" t="s">
        <v>1170</v>
      </c>
    </row>
    <row r="231" spans="1:10" ht="18" customHeight="1" x14ac:dyDescent="0.3">
      <c r="A231" s="33">
        <v>58</v>
      </c>
      <c r="B231" s="33" t="s">
        <v>1171</v>
      </c>
      <c r="C231" s="33" t="s">
        <v>1172</v>
      </c>
      <c r="D231" s="33" t="s">
        <v>238</v>
      </c>
      <c r="E231" s="35">
        <v>44628</v>
      </c>
      <c r="F231" s="33" t="s">
        <v>227</v>
      </c>
      <c r="G231" s="33" t="s">
        <v>208</v>
      </c>
      <c r="H231" s="33" t="s">
        <v>1173</v>
      </c>
      <c r="I231" s="33" t="s">
        <v>743</v>
      </c>
      <c r="J231" s="33" t="s">
        <v>492</v>
      </c>
    </row>
    <row r="232" spans="1:10" ht="18" customHeight="1" x14ac:dyDescent="0.3">
      <c r="A232" s="33">
        <v>446</v>
      </c>
      <c r="B232" s="33" t="s">
        <v>1174</v>
      </c>
      <c r="C232" s="33" t="s">
        <v>1175</v>
      </c>
      <c r="D232" s="33" t="s">
        <v>220</v>
      </c>
      <c r="E232" s="35">
        <v>44671</v>
      </c>
      <c r="F232" s="33" t="s">
        <v>281</v>
      </c>
      <c r="G232" s="33" t="s">
        <v>207</v>
      </c>
      <c r="H232" s="33" t="s">
        <v>416</v>
      </c>
      <c r="I232" s="33" t="s">
        <v>1176</v>
      </c>
      <c r="J232" s="33" t="s">
        <v>362</v>
      </c>
    </row>
    <row r="233" spans="1:10" ht="18" customHeight="1" x14ac:dyDescent="0.3">
      <c r="A233" s="33">
        <v>117</v>
      </c>
      <c r="B233" s="33" t="s">
        <v>1177</v>
      </c>
      <c r="C233" s="33" t="s">
        <v>1178</v>
      </c>
      <c r="D233" s="33" t="s">
        <v>220</v>
      </c>
      <c r="E233" s="35">
        <v>44706</v>
      </c>
      <c r="F233" s="33" t="s">
        <v>244</v>
      </c>
      <c r="G233" s="33" t="s">
        <v>206</v>
      </c>
      <c r="H233" s="33" t="s">
        <v>1179</v>
      </c>
      <c r="I233" s="33" t="s">
        <v>1180</v>
      </c>
      <c r="J233" s="33" t="s">
        <v>1181</v>
      </c>
    </row>
    <row r="234" spans="1:10" ht="18" customHeight="1" x14ac:dyDescent="0.3">
      <c r="A234" s="33">
        <v>187</v>
      </c>
      <c r="B234" s="33" t="s">
        <v>1182</v>
      </c>
      <c r="C234" s="33" t="s">
        <v>1183</v>
      </c>
      <c r="D234" s="33" t="s">
        <v>220</v>
      </c>
      <c r="E234" s="35">
        <v>44848</v>
      </c>
      <c r="F234" s="33" t="s">
        <v>239</v>
      </c>
      <c r="G234" s="33" t="s">
        <v>204</v>
      </c>
      <c r="H234" s="33" t="s">
        <v>292</v>
      </c>
      <c r="I234" s="33" t="s">
        <v>1184</v>
      </c>
      <c r="J234" s="33" t="s">
        <v>1185</v>
      </c>
    </row>
    <row r="235" spans="1:10" ht="18" customHeight="1" x14ac:dyDescent="0.3">
      <c r="A235" s="33">
        <v>231</v>
      </c>
      <c r="B235" s="33" t="s">
        <v>1186</v>
      </c>
      <c r="C235" s="33" t="s">
        <v>1187</v>
      </c>
      <c r="D235" s="33" t="s">
        <v>238</v>
      </c>
      <c r="E235" s="35">
        <v>44752</v>
      </c>
      <c r="F235" s="33" t="s">
        <v>239</v>
      </c>
      <c r="G235" s="33" t="s">
        <v>204</v>
      </c>
      <c r="H235" s="33" t="s">
        <v>710</v>
      </c>
      <c r="I235" s="33" t="s">
        <v>1060</v>
      </c>
      <c r="J235" s="33" t="s">
        <v>1158</v>
      </c>
    </row>
    <row r="236" spans="1:10" ht="18" customHeight="1" x14ac:dyDescent="0.3">
      <c r="A236" s="33">
        <v>265</v>
      </c>
      <c r="B236" s="33" t="s">
        <v>1188</v>
      </c>
      <c r="C236" s="33" t="s">
        <v>1189</v>
      </c>
      <c r="D236" s="33" t="s">
        <v>238</v>
      </c>
      <c r="E236" s="35">
        <v>44756</v>
      </c>
      <c r="F236" s="33" t="s">
        <v>221</v>
      </c>
      <c r="G236" s="33" t="s">
        <v>205</v>
      </c>
      <c r="H236" s="33" t="s">
        <v>1190</v>
      </c>
      <c r="I236" s="33" t="s">
        <v>566</v>
      </c>
      <c r="J236" s="33" t="s">
        <v>1191</v>
      </c>
    </row>
    <row r="237" spans="1:10" ht="18" customHeight="1" x14ac:dyDescent="0.3">
      <c r="A237" s="33">
        <v>391</v>
      </c>
      <c r="B237" s="33" t="s">
        <v>1192</v>
      </c>
      <c r="C237" s="33" t="s">
        <v>1193</v>
      </c>
      <c r="D237" s="33" t="s">
        <v>220</v>
      </c>
      <c r="E237" s="35">
        <v>44675</v>
      </c>
      <c r="F237" s="33" t="s">
        <v>281</v>
      </c>
      <c r="G237" s="33" t="s">
        <v>207</v>
      </c>
      <c r="H237" s="33" t="s">
        <v>312</v>
      </c>
      <c r="I237" s="33" t="s">
        <v>1194</v>
      </c>
      <c r="J237" s="33" t="s">
        <v>498</v>
      </c>
    </row>
    <row r="238" spans="1:10" ht="18" customHeight="1" x14ac:dyDescent="0.3">
      <c r="A238" s="33">
        <v>355</v>
      </c>
      <c r="B238" s="33" t="s">
        <v>1195</v>
      </c>
      <c r="C238" s="33" t="s">
        <v>1196</v>
      </c>
      <c r="D238" s="33" t="s">
        <v>238</v>
      </c>
      <c r="E238" s="35">
        <v>44631</v>
      </c>
      <c r="F238" s="33" t="s">
        <v>239</v>
      </c>
      <c r="G238" s="33" t="s">
        <v>204</v>
      </c>
      <c r="H238" s="33" t="s">
        <v>820</v>
      </c>
      <c r="I238" s="33" t="s">
        <v>377</v>
      </c>
      <c r="J238" s="33" t="s">
        <v>444</v>
      </c>
    </row>
    <row r="239" spans="1:10" ht="18" customHeight="1" x14ac:dyDescent="0.3">
      <c r="A239" s="33">
        <v>277</v>
      </c>
      <c r="B239" s="33" t="s">
        <v>1197</v>
      </c>
      <c r="C239" s="33" t="s">
        <v>1198</v>
      </c>
      <c r="D239" s="33" t="s">
        <v>220</v>
      </c>
      <c r="E239" s="35">
        <v>44750</v>
      </c>
      <c r="F239" s="33" t="s">
        <v>239</v>
      </c>
      <c r="G239" s="33" t="s">
        <v>204</v>
      </c>
      <c r="H239" s="33" t="s">
        <v>750</v>
      </c>
      <c r="I239" s="33" t="s">
        <v>1199</v>
      </c>
      <c r="J239" s="33" t="s">
        <v>1056</v>
      </c>
    </row>
    <row r="240" spans="1:10" ht="18" customHeight="1" x14ac:dyDescent="0.3">
      <c r="A240" s="33">
        <v>104</v>
      </c>
      <c r="B240" s="33" t="s">
        <v>1200</v>
      </c>
      <c r="C240" s="33" t="s">
        <v>1201</v>
      </c>
      <c r="D240" s="33" t="s">
        <v>238</v>
      </c>
      <c r="E240" s="35">
        <v>44772</v>
      </c>
      <c r="F240" s="33" t="s">
        <v>221</v>
      </c>
      <c r="G240" s="33" t="s">
        <v>205</v>
      </c>
      <c r="H240" s="33" t="s">
        <v>616</v>
      </c>
      <c r="I240" s="33" t="s">
        <v>445</v>
      </c>
      <c r="J240" s="33" t="s">
        <v>1202</v>
      </c>
    </row>
    <row r="241" spans="1:10" ht="18" customHeight="1" x14ac:dyDescent="0.3">
      <c r="A241" s="33">
        <v>109</v>
      </c>
      <c r="B241" s="33" t="s">
        <v>1203</v>
      </c>
      <c r="C241" s="33" t="s">
        <v>1204</v>
      </c>
      <c r="D241" s="33" t="s">
        <v>220</v>
      </c>
      <c r="E241" s="35">
        <v>44732</v>
      </c>
      <c r="F241" s="33" t="s">
        <v>244</v>
      </c>
      <c r="G241" s="33" t="s">
        <v>206</v>
      </c>
      <c r="H241" s="33" t="s">
        <v>1205</v>
      </c>
      <c r="I241" s="33" t="s">
        <v>926</v>
      </c>
      <c r="J241" s="33" t="s">
        <v>1155</v>
      </c>
    </row>
    <row r="242" spans="1:10" ht="18" customHeight="1" x14ac:dyDescent="0.3">
      <c r="A242" s="33">
        <v>369</v>
      </c>
      <c r="B242" s="33" t="s">
        <v>1206</v>
      </c>
      <c r="C242" s="33" t="s">
        <v>1207</v>
      </c>
      <c r="D242" s="33" t="s">
        <v>220</v>
      </c>
      <c r="E242" s="35">
        <v>44678</v>
      </c>
      <c r="F242" s="33" t="s">
        <v>239</v>
      </c>
      <c r="G242" s="33" t="s">
        <v>204</v>
      </c>
      <c r="H242" s="33" t="s">
        <v>741</v>
      </c>
      <c r="I242" s="33" t="s">
        <v>1208</v>
      </c>
      <c r="J242" s="33" t="s">
        <v>328</v>
      </c>
    </row>
    <row r="243" spans="1:10" ht="18" customHeight="1" x14ac:dyDescent="0.3">
      <c r="A243" s="33">
        <v>78</v>
      </c>
      <c r="B243" s="33" t="s">
        <v>1209</v>
      </c>
      <c r="C243" s="33" t="s">
        <v>1210</v>
      </c>
      <c r="D243" s="33" t="s">
        <v>220</v>
      </c>
      <c r="E243" s="35">
        <v>44658</v>
      </c>
      <c r="F243" s="33" t="s">
        <v>244</v>
      </c>
      <c r="G243" s="33" t="s">
        <v>206</v>
      </c>
      <c r="H243" s="33" t="s">
        <v>957</v>
      </c>
      <c r="I243" s="33" t="s">
        <v>1211</v>
      </c>
      <c r="J243" s="33" t="s">
        <v>524</v>
      </c>
    </row>
    <row r="244" spans="1:10" ht="18" customHeight="1" x14ac:dyDescent="0.3">
      <c r="A244" s="33">
        <v>66</v>
      </c>
      <c r="B244" s="33" t="s">
        <v>1212</v>
      </c>
      <c r="C244" s="33" t="s">
        <v>1213</v>
      </c>
      <c r="D244" s="33" t="s">
        <v>238</v>
      </c>
      <c r="E244" s="35">
        <v>44777</v>
      </c>
      <c r="F244" s="33" t="s">
        <v>239</v>
      </c>
      <c r="G244" s="33" t="s">
        <v>204</v>
      </c>
      <c r="H244" s="33" t="s">
        <v>1214</v>
      </c>
      <c r="I244" s="33" t="s">
        <v>1215</v>
      </c>
      <c r="J244" s="33" t="s">
        <v>920</v>
      </c>
    </row>
    <row r="245" spans="1:10" ht="18" customHeight="1" x14ac:dyDescent="0.3">
      <c r="A245" s="33">
        <v>261</v>
      </c>
      <c r="B245" s="33" t="s">
        <v>1216</v>
      </c>
      <c r="C245" s="33" t="s">
        <v>1217</v>
      </c>
      <c r="D245" s="33" t="s">
        <v>220</v>
      </c>
      <c r="E245" s="35">
        <v>44848</v>
      </c>
      <c r="F245" s="33" t="s">
        <v>239</v>
      </c>
      <c r="G245" s="33" t="s">
        <v>204</v>
      </c>
      <c r="H245" s="33" t="s">
        <v>1218</v>
      </c>
      <c r="I245" s="33" t="s">
        <v>1219</v>
      </c>
      <c r="J245" s="33" t="s">
        <v>1220</v>
      </c>
    </row>
    <row r="246" spans="1:10" ht="18" customHeight="1" x14ac:dyDescent="0.3">
      <c r="A246" s="33">
        <v>307</v>
      </c>
      <c r="B246" s="33" t="s">
        <v>1221</v>
      </c>
      <c r="C246" s="33" t="s">
        <v>1222</v>
      </c>
      <c r="D246" s="33" t="s">
        <v>220</v>
      </c>
      <c r="E246" s="35">
        <v>44764</v>
      </c>
      <c r="F246" s="33" t="s">
        <v>227</v>
      </c>
      <c r="G246" s="33" t="s">
        <v>208</v>
      </c>
      <c r="H246" s="33" t="s">
        <v>1214</v>
      </c>
      <c r="I246" s="33" t="s">
        <v>1223</v>
      </c>
      <c r="J246" s="33" t="s">
        <v>1224</v>
      </c>
    </row>
    <row r="247" spans="1:10" ht="18" customHeight="1" x14ac:dyDescent="0.3">
      <c r="A247" s="33">
        <v>144</v>
      </c>
      <c r="B247" s="33" t="s">
        <v>1225</v>
      </c>
      <c r="C247" s="33" t="s">
        <v>1226</v>
      </c>
      <c r="D247" s="33" t="s">
        <v>220</v>
      </c>
      <c r="E247" s="35">
        <v>44705</v>
      </c>
      <c r="F247" s="33" t="s">
        <v>244</v>
      </c>
      <c r="G247" s="33" t="s">
        <v>206</v>
      </c>
      <c r="H247" s="33" t="s">
        <v>767</v>
      </c>
      <c r="I247" s="33" t="s">
        <v>1227</v>
      </c>
      <c r="J247" s="33" t="s">
        <v>869</v>
      </c>
    </row>
    <row r="248" spans="1:10" ht="18" customHeight="1" x14ac:dyDescent="0.3">
      <c r="A248" s="33">
        <v>76</v>
      </c>
      <c r="B248" s="33" t="s">
        <v>1228</v>
      </c>
      <c r="C248" s="33" t="s">
        <v>1229</v>
      </c>
      <c r="D248" s="33" t="s">
        <v>220</v>
      </c>
      <c r="E248" s="35">
        <v>44575</v>
      </c>
      <c r="F248" s="33" t="s">
        <v>227</v>
      </c>
      <c r="G248" s="33" t="s">
        <v>208</v>
      </c>
      <c r="H248" s="33" t="s">
        <v>313</v>
      </c>
      <c r="I248" s="33" t="s">
        <v>432</v>
      </c>
      <c r="J248" s="33" t="s">
        <v>484</v>
      </c>
    </row>
    <row r="249" spans="1:10" ht="18" customHeight="1" x14ac:dyDescent="0.3">
      <c r="A249" s="33">
        <v>84</v>
      </c>
      <c r="B249" s="33" t="s">
        <v>1230</v>
      </c>
      <c r="C249" s="33" t="s">
        <v>1231</v>
      </c>
      <c r="D249" s="33" t="s">
        <v>238</v>
      </c>
      <c r="E249" s="35">
        <v>44805</v>
      </c>
      <c r="F249" s="33" t="s">
        <v>281</v>
      </c>
      <c r="G249" s="33" t="s">
        <v>207</v>
      </c>
      <c r="H249" s="33" t="s">
        <v>503</v>
      </c>
      <c r="I249" s="33" t="s">
        <v>966</v>
      </c>
      <c r="J249" s="33" t="s">
        <v>230</v>
      </c>
    </row>
    <row r="250" spans="1:10" ht="18" customHeight="1" x14ac:dyDescent="0.3">
      <c r="A250" s="33">
        <v>81</v>
      </c>
      <c r="B250" s="33" t="s">
        <v>1232</v>
      </c>
      <c r="C250" s="33" t="s">
        <v>1233</v>
      </c>
      <c r="D250" s="33" t="s">
        <v>220</v>
      </c>
      <c r="E250" s="35">
        <v>44825</v>
      </c>
      <c r="F250" s="33" t="s">
        <v>239</v>
      </c>
      <c r="G250" s="33" t="s">
        <v>204</v>
      </c>
      <c r="H250" s="33" t="s">
        <v>1234</v>
      </c>
      <c r="I250" s="33" t="s">
        <v>1235</v>
      </c>
      <c r="J250" s="33" t="s">
        <v>772</v>
      </c>
    </row>
    <row r="251" spans="1:10" ht="18" customHeight="1" x14ac:dyDescent="0.3">
      <c r="A251" s="33">
        <v>157</v>
      </c>
      <c r="B251" s="33" t="s">
        <v>1236</v>
      </c>
      <c r="C251" s="33" t="s">
        <v>1237</v>
      </c>
      <c r="D251" s="33" t="s">
        <v>238</v>
      </c>
      <c r="E251" s="35">
        <v>44783</v>
      </c>
      <c r="F251" s="33" t="s">
        <v>239</v>
      </c>
      <c r="G251" s="33" t="s">
        <v>204</v>
      </c>
      <c r="H251" s="33" t="s">
        <v>1129</v>
      </c>
      <c r="I251" s="33" t="s">
        <v>678</v>
      </c>
      <c r="J251" s="33" t="s">
        <v>615</v>
      </c>
    </row>
    <row r="252" spans="1:10" ht="18" customHeight="1" x14ac:dyDescent="0.3">
      <c r="A252" s="33">
        <v>57</v>
      </c>
      <c r="B252" s="33" t="s">
        <v>1238</v>
      </c>
      <c r="C252" s="33" t="s">
        <v>1239</v>
      </c>
      <c r="D252" s="33" t="s">
        <v>238</v>
      </c>
      <c r="E252" s="35">
        <v>44669</v>
      </c>
      <c r="F252" s="33" t="s">
        <v>239</v>
      </c>
      <c r="G252" s="33" t="s">
        <v>204</v>
      </c>
      <c r="H252" s="33" t="s">
        <v>1240</v>
      </c>
      <c r="I252" s="33" t="s">
        <v>1241</v>
      </c>
      <c r="J252" s="33" t="s">
        <v>930</v>
      </c>
    </row>
    <row r="253" spans="1:10" ht="18" customHeight="1" x14ac:dyDescent="0.3">
      <c r="A253" s="33">
        <v>479</v>
      </c>
      <c r="B253" s="33" t="s">
        <v>1242</v>
      </c>
      <c r="C253" s="33" t="s">
        <v>1243</v>
      </c>
      <c r="D253" s="33" t="s">
        <v>220</v>
      </c>
      <c r="E253" s="35">
        <v>44793</v>
      </c>
      <c r="F253" s="33" t="s">
        <v>239</v>
      </c>
      <c r="G253" s="33" t="s">
        <v>204</v>
      </c>
      <c r="H253" s="33" t="s">
        <v>791</v>
      </c>
      <c r="I253" s="33" t="s">
        <v>1244</v>
      </c>
      <c r="J253" s="33" t="s">
        <v>241</v>
      </c>
    </row>
    <row r="254" spans="1:10" ht="18" customHeight="1" x14ac:dyDescent="0.3">
      <c r="A254" s="33">
        <v>406</v>
      </c>
      <c r="B254" s="33" t="s">
        <v>1245</v>
      </c>
      <c r="C254" s="33" t="s">
        <v>1246</v>
      </c>
      <c r="D254" s="33" t="s">
        <v>220</v>
      </c>
      <c r="E254" s="35">
        <v>44895</v>
      </c>
      <c r="F254" s="33" t="s">
        <v>244</v>
      </c>
      <c r="G254" s="33" t="s">
        <v>206</v>
      </c>
      <c r="H254" s="33" t="s">
        <v>1247</v>
      </c>
      <c r="I254" s="33" t="s">
        <v>1248</v>
      </c>
      <c r="J254" s="33" t="s">
        <v>1249</v>
      </c>
    </row>
    <row r="255" spans="1:10" ht="18" customHeight="1" x14ac:dyDescent="0.3">
      <c r="A255" s="33">
        <v>56</v>
      </c>
      <c r="B255" s="33" t="s">
        <v>1250</v>
      </c>
      <c r="C255" s="33" t="s">
        <v>1251</v>
      </c>
      <c r="D255" s="33" t="s">
        <v>238</v>
      </c>
      <c r="E255" s="35">
        <v>44662</v>
      </c>
      <c r="F255" s="33" t="s">
        <v>281</v>
      </c>
      <c r="G255" s="33" t="s">
        <v>207</v>
      </c>
      <c r="H255" s="33" t="s">
        <v>1252</v>
      </c>
      <c r="I255" s="33" t="s">
        <v>1253</v>
      </c>
      <c r="J255" s="33" t="s">
        <v>1254</v>
      </c>
    </row>
    <row r="256" spans="1:10" ht="18" customHeight="1" x14ac:dyDescent="0.3">
      <c r="A256" s="33">
        <v>10</v>
      </c>
      <c r="B256" s="33" t="s">
        <v>1255</v>
      </c>
      <c r="C256" s="33" t="s">
        <v>1256</v>
      </c>
      <c r="D256" s="33" t="s">
        <v>238</v>
      </c>
      <c r="E256" s="35">
        <v>44881</v>
      </c>
      <c r="F256" s="33" t="s">
        <v>244</v>
      </c>
      <c r="G256" s="33" t="s">
        <v>206</v>
      </c>
      <c r="H256" s="33" t="s">
        <v>628</v>
      </c>
      <c r="I256" s="33" t="s">
        <v>1257</v>
      </c>
      <c r="J256" s="33" t="s">
        <v>1258</v>
      </c>
    </row>
    <row r="257" spans="1:10" ht="18" customHeight="1" x14ac:dyDescent="0.3">
      <c r="A257" s="33">
        <v>174</v>
      </c>
      <c r="B257" s="33" t="s">
        <v>1259</v>
      </c>
      <c r="C257" s="33" t="s">
        <v>1260</v>
      </c>
      <c r="D257" s="33" t="s">
        <v>220</v>
      </c>
      <c r="E257" s="35">
        <v>44779</v>
      </c>
      <c r="F257" s="33" t="s">
        <v>281</v>
      </c>
      <c r="G257" s="33" t="s">
        <v>207</v>
      </c>
      <c r="H257" s="33" t="s">
        <v>681</v>
      </c>
      <c r="I257" s="33" t="s">
        <v>1103</v>
      </c>
      <c r="J257" s="33" t="s">
        <v>1261</v>
      </c>
    </row>
    <row r="258" spans="1:10" ht="18" customHeight="1" x14ac:dyDescent="0.3">
      <c r="A258" s="33">
        <v>72</v>
      </c>
      <c r="B258" s="33" t="s">
        <v>1262</v>
      </c>
      <c r="C258" s="33" t="s">
        <v>1263</v>
      </c>
      <c r="D258" s="33" t="s">
        <v>220</v>
      </c>
      <c r="E258" s="35">
        <v>44906</v>
      </c>
      <c r="F258" s="33" t="s">
        <v>281</v>
      </c>
      <c r="G258" s="33" t="s">
        <v>207</v>
      </c>
      <c r="H258" s="33" t="s">
        <v>1244</v>
      </c>
      <c r="I258" s="33" t="s">
        <v>323</v>
      </c>
      <c r="J258" s="33" t="s">
        <v>1264</v>
      </c>
    </row>
    <row r="259" spans="1:10" ht="18" customHeight="1" x14ac:dyDescent="0.3">
      <c r="A259" s="33">
        <v>38</v>
      </c>
      <c r="B259" s="33" t="s">
        <v>1265</v>
      </c>
      <c r="C259" s="33" t="s">
        <v>1266</v>
      </c>
      <c r="D259" s="33" t="s">
        <v>238</v>
      </c>
      <c r="E259" s="35">
        <v>44819</v>
      </c>
      <c r="F259" s="33" t="s">
        <v>281</v>
      </c>
      <c r="G259" s="33" t="s">
        <v>207</v>
      </c>
      <c r="H259" s="33" t="s">
        <v>1267</v>
      </c>
      <c r="I259" s="33" t="s">
        <v>1268</v>
      </c>
      <c r="J259" s="33" t="s">
        <v>743</v>
      </c>
    </row>
    <row r="260" spans="1:10" ht="18" customHeight="1" x14ac:dyDescent="0.3">
      <c r="A260" s="33">
        <v>18</v>
      </c>
      <c r="B260" s="33" t="s">
        <v>1269</v>
      </c>
      <c r="C260" s="33" t="s">
        <v>1270</v>
      </c>
      <c r="D260" s="33" t="s">
        <v>238</v>
      </c>
      <c r="E260" s="35">
        <v>44578</v>
      </c>
      <c r="F260" s="33" t="s">
        <v>244</v>
      </c>
      <c r="G260" s="33" t="s">
        <v>206</v>
      </c>
      <c r="H260" s="33" t="s">
        <v>1271</v>
      </c>
      <c r="I260" s="33" t="s">
        <v>1272</v>
      </c>
      <c r="J260" s="33" t="s">
        <v>1273</v>
      </c>
    </row>
    <row r="261" spans="1:10" ht="18" customHeight="1" x14ac:dyDescent="0.3">
      <c r="A261" s="33">
        <v>88</v>
      </c>
      <c r="B261" s="33" t="s">
        <v>1274</v>
      </c>
      <c r="C261" s="33" t="s">
        <v>1275</v>
      </c>
      <c r="D261" s="33" t="s">
        <v>220</v>
      </c>
      <c r="E261" s="35">
        <v>44630</v>
      </c>
      <c r="F261" s="33" t="s">
        <v>244</v>
      </c>
      <c r="G261" s="33" t="s">
        <v>206</v>
      </c>
      <c r="H261" s="33" t="s">
        <v>1276</v>
      </c>
      <c r="I261" s="33" t="s">
        <v>803</v>
      </c>
      <c r="J261" s="33" t="s">
        <v>1277</v>
      </c>
    </row>
    <row r="262" spans="1:10" ht="18" customHeight="1" x14ac:dyDescent="0.3">
      <c r="A262" s="33">
        <v>129</v>
      </c>
      <c r="B262" s="33" t="s">
        <v>1278</v>
      </c>
      <c r="C262" s="33" t="s">
        <v>1279</v>
      </c>
      <c r="D262" s="33" t="s">
        <v>238</v>
      </c>
      <c r="E262" s="35">
        <v>44868</v>
      </c>
      <c r="F262" s="33" t="s">
        <v>227</v>
      </c>
      <c r="G262" s="33" t="s">
        <v>208</v>
      </c>
      <c r="H262" s="33" t="s">
        <v>1267</v>
      </c>
      <c r="I262" s="33" t="s">
        <v>790</v>
      </c>
      <c r="J262" s="33" t="s">
        <v>474</v>
      </c>
    </row>
    <row r="263" spans="1:10" ht="18" customHeight="1" x14ac:dyDescent="0.3">
      <c r="A263" s="33">
        <v>19</v>
      </c>
      <c r="B263" s="33" t="s">
        <v>1280</v>
      </c>
      <c r="C263" s="33" t="s">
        <v>1281</v>
      </c>
      <c r="D263" s="33" t="s">
        <v>220</v>
      </c>
      <c r="E263" s="35">
        <v>44902</v>
      </c>
      <c r="F263" s="33" t="s">
        <v>239</v>
      </c>
      <c r="G263" s="33" t="s">
        <v>204</v>
      </c>
      <c r="H263" s="33" t="s">
        <v>1282</v>
      </c>
      <c r="I263" s="33" t="s">
        <v>675</v>
      </c>
      <c r="J263" s="33" t="s">
        <v>1283</v>
      </c>
    </row>
    <row r="264" spans="1:10" ht="18" customHeight="1" x14ac:dyDescent="0.3">
      <c r="A264" s="33">
        <v>304</v>
      </c>
      <c r="B264" s="33" t="s">
        <v>1284</v>
      </c>
      <c r="C264" s="33" t="s">
        <v>1285</v>
      </c>
      <c r="D264" s="33" t="s">
        <v>238</v>
      </c>
      <c r="E264" s="35">
        <v>44886</v>
      </c>
      <c r="F264" s="33" t="s">
        <v>239</v>
      </c>
      <c r="G264" s="33" t="s">
        <v>204</v>
      </c>
      <c r="H264" s="33" t="s">
        <v>327</v>
      </c>
      <c r="I264" s="33" t="s">
        <v>502</v>
      </c>
      <c r="J264" s="33" t="s">
        <v>729</v>
      </c>
    </row>
    <row r="265" spans="1:10" ht="18" customHeight="1" x14ac:dyDescent="0.3">
      <c r="A265" s="33">
        <v>285</v>
      </c>
      <c r="B265" s="33" t="s">
        <v>1286</v>
      </c>
      <c r="C265" s="33" t="s">
        <v>1287</v>
      </c>
      <c r="D265" s="33" t="s">
        <v>238</v>
      </c>
      <c r="E265" s="35">
        <v>44922</v>
      </c>
      <c r="F265" s="33" t="s">
        <v>281</v>
      </c>
      <c r="G265" s="33" t="s">
        <v>207</v>
      </c>
      <c r="H265" s="33" t="s">
        <v>1288</v>
      </c>
      <c r="I265" s="33" t="s">
        <v>1205</v>
      </c>
      <c r="J265" s="33" t="s">
        <v>1273</v>
      </c>
    </row>
    <row r="266" spans="1:10" ht="18" customHeight="1" x14ac:dyDescent="0.3">
      <c r="A266" s="33">
        <v>461</v>
      </c>
      <c r="B266" s="33" t="s">
        <v>1289</v>
      </c>
      <c r="C266" s="33" t="s">
        <v>1290</v>
      </c>
      <c r="D266" s="33" t="s">
        <v>220</v>
      </c>
      <c r="E266" s="35">
        <v>44667</v>
      </c>
      <c r="F266" s="33" t="s">
        <v>221</v>
      </c>
      <c r="G266" s="33" t="s">
        <v>205</v>
      </c>
      <c r="H266" s="33" t="s">
        <v>1291</v>
      </c>
      <c r="I266" s="33" t="s">
        <v>1292</v>
      </c>
      <c r="J266" s="33" t="s">
        <v>469</v>
      </c>
    </row>
    <row r="267" spans="1:10" ht="18" customHeight="1" x14ac:dyDescent="0.3">
      <c r="A267" s="33">
        <v>278</v>
      </c>
      <c r="B267" s="33" t="s">
        <v>1293</v>
      </c>
      <c r="C267" s="33" t="s">
        <v>1294</v>
      </c>
      <c r="D267" s="33" t="s">
        <v>238</v>
      </c>
      <c r="E267" s="35">
        <v>44920</v>
      </c>
      <c r="F267" s="33" t="s">
        <v>221</v>
      </c>
      <c r="G267" s="33" t="s">
        <v>205</v>
      </c>
      <c r="H267" s="33" t="s">
        <v>1295</v>
      </c>
      <c r="I267" s="33" t="s">
        <v>1296</v>
      </c>
      <c r="J267" s="33" t="s">
        <v>1297</v>
      </c>
    </row>
    <row r="268" spans="1:10" ht="18" customHeight="1" x14ac:dyDescent="0.3">
      <c r="A268" s="33">
        <v>246</v>
      </c>
      <c r="B268" s="33" t="s">
        <v>1298</v>
      </c>
      <c r="C268" s="33" t="s">
        <v>1299</v>
      </c>
      <c r="D268" s="33" t="s">
        <v>238</v>
      </c>
      <c r="E268" s="35">
        <v>44805</v>
      </c>
      <c r="F268" s="33" t="s">
        <v>221</v>
      </c>
      <c r="G268" s="33" t="s">
        <v>205</v>
      </c>
      <c r="H268" s="33" t="s">
        <v>854</v>
      </c>
      <c r="I268" s="33" t="s">
        <v>1300</v>
      </c>
      <c r="J268" s="33" t="s">
        <v>1301</v>
      </c>
    </row>
    <row r="269" spans="1:10" ht="18" customHeight="1" x14ac:dyDescent="0.3">
      <c r="A269" s="33">
        <v>205</v>
      </c>
      <c r="B269" s="33" t="s">
        <v>1302</v>
      </c>
      <c r="C269" s="33" t="s">
        <v>1303</v>
      </c>
      <c r="D269" s="33" t="s">
        <v>220</v>
      </c>
      <c r="E269" s="35">
        <v>44918</v>
      </c>
      <c r="F269" s="33" t="s">
        <v>239</v>
      </c>
      <c r="G269" s="33" t="s">
        <v>204</v>
      </c>
      <c r="H269" s="33" t="s">
        <v>674</v>
      </c>
      <c r="I269" s="33" t="s">
        <v>1304</v>
      </c>
      <c r="J269" s="33" t="s">
        <v>1305</v>
      </c>
    </row>
    <row r="270" spans="1:10" ht="18" customHeight="1" x14ac:dyDescent="0.3">
      <c r="A270" s="33">
        <v>357</v>
      </c>
      <c r="B270" s="33" t="s">
        <v>1306</v>
      </c>
      <c r="C270" s="33" t="s">
        <v>1307</v>
      </c>
      <c r="D270" s="33" t="s">
        <v>220</v>
      </c>
      <c r="E270" s="35">
        <v>44913</v>
      </c>
      <c r="F270" s="33" t="s">
        <v>221</v>
      </c>
      <c r="G270" s="33" t="s">
        <v>205</v>
      </c>
      <c r="H270" s="33" t="s">
        <v>1308</v>
      </c>
      <c r="I270" s="33" t="s">
        <v>270</v>
      </c>
      <c r="J270" s="33" t="s">
        <v>777</v>
      </c>
    </row>
    <row r="271" spans="1:10" ht="18" customHeight="1" x14ac:dyDescent="0.3">
      <c r="A271" s="33">
        <v>152</v>
      </c>
      <c r="B271" s="33" t="s">
        <v>1309</v>
      </c>
      <c r="C271" s="33" t="s">
        <v>1310</v>
      </c>
      <c r="D271" s="33" t="s">
        <v>238</v>
      </c>
      <c r="E271" s="35">
        <v>44791</v>
      </c>
      <c r="F271" s="33" t="s">
        <v>227</v>
      </c>
      <c r="G271" s="33" t="s">
        <v>208</v>
      </c>
      <c r="H271" s="33" t="s">
        <v>312</v>
      </c>
      <c r="I271" s="33" t="s">
        <v>1311</v>
      </c>
      <c r="J271" s="33" t="s">
        <v>513</v>
      </c>
    </row>
    <row r="272" spans="1:10" ht="18" customHeight="1" x14ac:dyDescent="0.3">
      <c r="A272" s="33">
        <v>323</v>
      </c>
      <c r="B272" s="33" t="s">
        <v>1312</v>
      </c>
      <c r="C272" s="33" t="s">
        <v>1313</v>
      </c>
      <c r="D272" s="33" t="s">
        <v>220</v>
      </c>
      <c r="E272" s="35">
        <v>44821</v>
      </c>
      <c r="F272" s="33" t="s">
        <v>281</v>
      </c>
      <c r="G272" s="33" t="s">
        <v>207</v>
      </c>
      <c r="H272" s="33" t="s">
        <v>1314</v>
      </c>
      <c r="I272" s="33" t="s">
        <v>1268</v>
      </c>
      <c r="J272" s="33" t="s">
        <v>1202</v>
      </c>
    </row>
    <row r="273" spans="1:10" ht="18" customHeight="1" x14ac:dyDescent="0.3">
      <c r="A273" s="33">
        <v>185</v>
      </c>
      <c r="B273" s="33" t="s">
        <v>1315</v>
      </c>
      <c r="C273" s="33" t="s">
        <v>1316</v>
      </c>
      <c r="D273" s="33" t="s">
        <v>238</v>
      </c>
      <c r="E273" s="35">
        <v>44683</v>
      </c>
      <c r="F273" s="33" t="s">
        <v>221</v>
      </c>
      <c r="G273" s="33" t="s">
        <v>205</v>
      </c>
      <c r="H273" s="33" t="s">
        <v>670</v>
      </c>
      <c r="I273" s="33" t="s">
        <v>1317</v>
      </c>
      <c r="J273" s="33" t="s">
        <v>844</v>
      </c>
    </row>
    <row r="274" spans="1:10" ht="18" customHeight="1" x14ac:dyDescent="0.3">
      <c r="A274" s="33">
        <v>314</v>
      </c>
      <c r="B274" s="33" t="s">
        <v>1318</v>
      </c>
      <c r="C274" s="33" t="s">
        <v>1319</v>
      </c>
      <c r="D274" s="33" t="s">
        <v>238</v>
      </c>
      <c r="E274" s="35">
        <v>44899</v>
      </c>
      <c r="F274" s="33" t="s">
        <v>239</v>
      </c>
      <c r="G274" s="33" t="s">
        <v>204</v>
      </c>
      <c r="H274" s="33" t="s">
        <v>246</v>
      </c>
      <c r="I274" s="33" t="s">
        <v>1320</v>
      </c>
      <c r="J274" s="33" t="s">
        <v>1321</v>
      </c>
    </row>
    <row r="275" spans="1:10" ht="18" customHeight="1" x14ac:dyDescent="0.3">
      <c r="A275" s="33">
        <v>476</v>
      </c>
      <c r="B275" s="33" t="s">
        <v>1322</v>
      </c>
      <c r="C275" s="33" t="s">
        <v>1323</v>
      </c>
      <c r="D275" s="33" t="s">
        <v>220</v>
      </c>
      <c r="E275" s="35">
        <v>44703</v>
      </c>
      <c r="F275" s="33" t="s">
        <v>244</v>
      </c>
      <c r="G275" s="33" t="s">
        <v>206</v>
      </c>
      <c r="H275" s="33" t="s">
        <v>1324</v>
      </c>
      <c r="I275" s="33" t="s">
        <v>1325</v>
      </c>
      <c r="J275" s="33" t="s">
        <v>1326</v>
      </c>
    </row>
    <row r="276" spans="1:10" ht="18" customHeight="1" x14ac:dyDescent="0.3">
      <c r="A276" s="33">
        <v>375</v>
      </c>
      <c r="B276" s="33" t="s">
        <v>1327</v>
      </c>
      <c r="C276" s="33" t="s">
        <v>1328</v>
      </c>
      <c r="D276" s="33" t="s">
        <v>220</v>
      </c>
      <c r="E276" s="35">
        <v>44674</v>
      </c>
      <c r="F276" s="33" t="s">
        <v>239</v>
      </c>
      <c r="G276" s="33" t="s">
        <v>204</v>
      </c>
      <c r="H276" s="33" t="s">
        <v>405</v>
      </c>
      <c r="I276" s="33" t="s">
        <v>1329</v>
      </c>
      <c r="J276" s="33" t="s">
        <v>1325</v>
      </c>
    </row>
    <row r="277" spans="1:10" ht="18" customHeight="1" x14ac:dyDescent="0.3">
      <c r="A277" s="33">
        <v>233</v>
      </c>
      <c r="B277" s="33" t="s">
        <v>1330</v>
      </c>
      <c r="C277" s="33" t="s">
        <v>1331</v>
      </c>
      <c r="D277" s="33" t="s">
        <v>220</v>
      </c>
      <c r="E277" s="35">
        <v>44616</v>
      </c>
      <c r="F277" s="33" t="s">
        <v>281</v>
      </c>
      <c r="G277" s="33" t="s">
        <v>207</v>
      </c>
      <c r="H277" s="33" t="s">
        <v>1332</v>
      </c>
      <c r="I277" s="33" t="s">
        <v>1333</v>
      </c>
      <c r="J277" s="33" t="s">
        <v>446</v>
      </c>
    </row>
    <row r="278" spans="1:10" ht="18" customHeight="1" x14ac:dyDescent="0.3">
      <c r="A278" s="33">
        <v>69</v>
      </c>
      <c r="B278" s="33" t="s">
        <v>1334</v>
      </c>
      <c r="C278" s="33" t="s">
        <v>1335</v>
      </c>
      <c r="D278" s="33" t="s">
        <v>238</v>
      </c>
      <c r="E278" s="35">
        <v>44587</v>
      </c>
      <c r="F278" s="33" t="s">
        <v>281</v>
      </c>
      <c r="G278" s="33" t="s">
        <v>207</v>
      </c>
      <c r="H278" s="33" t="s">
        <v>1336</v>
      </c>
      <c r="I278" s="33" t="s">
        <v>1337</v>
      </c>
      <c r="J278" s="33" t="s">
        <v>1056</v>
      </c>
    </row>
    <row r="279" spans="1:10" ht="18" customHeight="1" x14ac:dyDescent="0.3">
      <c r="A279" s="33">
        <v>254</v>
      </c>
      <c r="B279" s="33" t="s">
        <v>1338</v>
      </c>
      <c r="C279" s="33" t="s">
        <v>1339</v>
      </c>
      <c r="D279" s="33" t="s">
        <v>220</v>
      </c>
      <c r="E279" s="35">
        <v>44862</v>
      </c>
      <c r="F279" s="33" t="s">
        <v>227</v>
      </c>
      <c r="G279" s="33" t="s">
        <v>208</v>
      </c>
      <c r="H279" s="33" t="s">
        <v>265</v>
      </c>
      <c r="I279" s="33" t="s">
        <v>393</v>
      </c>
      <c r="J279" s="33" t="s">
        <v>323</v>
      </c>
    </row>
    <row r="280" spans="1:10" ht="18" customHeight="1" x14ac:dyDescent="0.3">
      <c r="A280" s="33">
        <v>219</v>
      </c>
      <c r="B280" s="33" t="s">
        <v>1340</v>
      </c>
      <c r="C280" s="33" t="s">
        <v>1341</v>
      </c>
      <c r="D280" s="33" t="s">
        <v>220</v>
      </c>
      <c r="E280" s="35">
        <v>44585</v>
      </c>
      <c r="F280" s="33" t="s">
        <v>281</v>
      </c>
      <c r="G280" s="33" t="s">
        <v>207</v>
      </c>
      <c r="H280" s="33" t="s">
        <v>785</v>
      </c>
      <c r="I280" s="33" t="s">
        <v>1342</v>
      </c>
      <c r="J280" s="33" t="s">
        <v>1343</v>
      </c>
    </row>
    <row r="281" spans="1:10" ht="18" customHeight="1" x14ac:dyDescent="0.3">
      <c r="A281" s="33">
        <v>232</v>
      </c>
      <c r="B281" s="33" t="s">
        <v>1344</v>
      </c>
      <c r="C281" s="33" t="s">
        <v>1345</v>
      </c>
      <c r="D281" s="33" t="s">
        <v>220</v>
      </c>
      <c r="E281" s="35">
        <v>44923</v>
      </c>
      <c r="F281" s="33" t="s">
        <v>281</v>
      </c>
      <c r="G281" s="33" t="s">
        <v>207</v>
      </c>
      <c r="H281" s="33" t="s">
        <v>770</v>
      </c>
      <c r="I281" s="33" t="s">
        <v>1346</v>
      </c>
      <c r="J281" s="33" t="s">
        <v>1090</v>
      </c>
    </row>
    <row r="282" spans="1:10" ht="18" customHeight="1" x14ac:dyDescent="0.3">
      <c r="A282" s="33">
        <v>372</v>
      </c>
      <c r="B282" s="33" t="s">
        <v>1347</v>
      </c>
      <c r="C282" s="33" t="s">
        <v>1348</v>
      </c>
      <c r="D282" s="33" t="s">
        <v>238</v>
      </c>
      <c r="E282" s="35">
        <v>44772</v>
      </c>
      <c r="F282" s="33" t="s">
        <v>281</v>
      </c>
      <c r="G282" s="33" t="s">
        <v>207</v>
      </c>
      <c r="H282" s="33" t="s">
        <v>1349</v>
      </c>
      <c r="I282" s="33" t="s">
        <v>1350</v>
      </c>
      <c r="J282" s="33" t="s">
        <v>1351</v>
      </c>
    </row>
    <row r="283" spans="1:10" ht="18" customHeight="1" x14ac:dyDescent="0.3">
      <c r="A283" s="33">
        <v>432</v>
      </c>
      <c r="B283" s="33" t="s">
        <v>1352</v>
      </c>
      <c r="C283" s="33" t="s">
        <v>1353</v>
      </c>
      <c r="D283" s="33" t="s">
        <v>238</v>
      </c>
      <c r="E283" s="35">
        <v>44718</v>
      </c>
      <c r="F283" s="33" t="s">
        <v>281</v>
      </c>
      <c r="G283" s="33" t="s">
        <v>207</v>
      </c>
      <c r="H283" s="33" t="s">
        <v>767</v>
      </c>
      <c r="I283" s="33" t="s">
        <v>1043</v>
      </c>
      <c r="J283" s="33" t="s">
        <v>728</v>
      </c>
    </row>
    <row r="284" spans="1:10" ht="18" customHeight="1" x14ac:dyDescent="0.3">
      <c r="A284" s="33">
        <v>221</v>
      </c>
      <c r="B284" s="33" t="s">
        <v>1354</v>
      </c>
      <c r="C284" s="33" t="s">
        <v>1355</v>
      </c>
      <c r="D284" s="33" t="s">
        <v>220</v>
      </c>
      <c r="E284" s="35">
        <v>44820</v>
      </c>
      <c r="F284" s="33" t="s">
        <v>281</v>
      </c>
      <c r="G284" s="33" t="s">
        <v>207</v>
      </c>
      <c r="H284" s="33" t="s">
        <v>309</v>
      </c>
      <c r="I284" s="33" t="s">
        <v>1015</v>
      </c>
      <c r="J284" s="33" t="s">
        <v>422</v>
      </c>
    </row>
    <row r="285" spans="1:10" ht="18" customHeight="1" x14ac:dyDescent="0.3">
      <c r="A285" s="33">
        <v>148</v>
      </c>
      <c r="B285" s="33" t="s">
        <v>1356</v>
      </c>
      <c r="C285" s="33" t="s">
        <v>1357</v>
      </c>
      <c r="D285" s="33" t="s">
        <v>220</v>
      </c>
      <c r="E285" s="35">
        <v>44700</v>
      </c>
      <c r="F285" s="33" t="s">
        <v>239</v>
      </c>
      <c r="G285" s="33" t="s">
        <v>204</v>
      </c>
      <c r="H285" s="33" t="s">
        <v>329</v>
      </c>
      <c r="I285" s="33" t="s">
        <v>1358</v>
      </c>
      <c r="J285" s="33" t="s">
        <v>1254</v>
      </c>
    </row>
    <row r="286" spans="1:10" ht="18" customHeight="1" x14ac:dyDescent="0.3">
      <c r="A286" s="33">
        <v>209</v>
      </c>
      <c r="B286" s="33" t="s">
        <v>1359</v>
      </c>
      <c r="C286" s="33" t="s">
        <v>1360</v>
      </c>
      <c r="D286" s="33" t="s">
        <v>238</v>
      </c>
      <c r="E286" s="35">
        <v>44628</v>
      </c>
      <c r="F286" s="33" t="s">
        <v>239</v>
      </c>
      <c r="G286" s="33" t="s">
        <v>204</v>
      </c>
      <c r="H286" s="33" t="s">
        <v>1361</v>
      </c>
      <c r="I286" s="33" t="s">
        <v>632</v>
      </c>
      <c r="J286" s="33" t="s">
        <v>1362</v>
      </c>
    </row>
    <row r="287" spans="1:10" ht="18" customHeight="1" x14ac:dyDescent="0.3">
      <c r="A287" s="33">
        <v>263</v>
      </c>
      <c r="B287" s="33" t="s">
        <v>1363</v>
      </c>
      <c r="C287" s="33" t="s">
        <v>1364</v>
      </c>
      <c r="D287" s="33" t="s">
        <v>220</v>
      </c>
      <c r="E287" s="35">
        <v>44612</v>
      </c>
      <c r="F287" s="33" t="s">
        <v>281</v>
      </c>
      <c r="G287" s="33" t="s">
        <v>207</v>
      </c>
      <c r="H287" s="33" t="s">
        <v>493</v>
      </c>
      <c r="I287" s="33" t="s">
        <v>1365</v>
      </c>
      <c r="J287" s="33" t="s">
        <v>375</v>
      </c>
    </row>
    <row r="288" spans="1:10" ht="18" customHeight="1" x14ac:dyDescent="0.3">
      <c r="A288" s="33">
        <v>101</v>
      </c>
      <c r="B288" s="33" t="s">
        <v>1366</v>
      </c>
      <c r="C288" s="33" t="s">
        <v>1367</v>
      </c>
      <c r="D288" s="33" t="s">
        <v>238</v>
      </c>
      <c r="E288" s="35">
        <v>44727</v>
      </c>
      <c r="F288" s="33" t="s">
        <v>239</v>
      </c>
      <c r="G288" s="33" t="s">
        <v>204</v>
      </c>
      <c r="H288" s="33" t="s">
        <v>1368</v>
      </c>
      <c r="I288" s="33" t="s">
        <v>1369</v>
      </c>
      <c r="J288" s="33" t="s">
        <v>535</v>
      </c>
    </row>
    <row r="289" spans="1:10" ht="18" customHeight="1" x14ac:dyDescent="0.3">
      <c r="A289" s="33">
        <v>124</v>
      </c>
      <c r="B289" s="33" t="s">
        <v>1370</v>
      </c>
      <c r="C289" s="33" t="s">
        <v>1371</v>
      </c>
      <c r="D289" s="33" t="s">
        <v>220</v>
      </c>
      <c r="E289" s="35">
        <v>44795</v>
      </c>
      <c r="F289" s="33" t="s">
        <v>239</v>
      </c>
      <c r="G289" s="33" t="s">
        <v>204</v>
      </c>
      <c r="H289" s="33" t="s">
        <v>1372</v>
      </c>
      <c r="I289" s="33" t="s">
        <v>823</v>
      </c>
      <c r="J289" s="33" t="s">
        <v>1373</v>
      </c>
    </row>
    <row r="290" spans="1:10" ht="18" customHeight="1" x14ac:dyDescent="0.3">
      <c r="A290" s="33">
        <v>257</v>
      </c>
      <c r="B290" s="33" t="s">
        <v>1374</v>
      </c>
      <c r="C290" s="33" t="s">
        <v>1375</v>
      </c>
      <c r="D290" s="33" t="s">
        <v>238</v>
      </c>
      <c r="E290" s="35">
        <v>44701</v>
      </c>
      <c r="F290" s="33" t="s">
        <v>239</v>
      </c>
      <c r="G290" s="33" t="s">
        <v>204</v>
      </c>
      <c r="H290" s="33" t="s">
        <v>1376</v>
      </c>
      <c r="I290" s="33" t="s">
        <v>323</v>
      </c>
      <c r="J290" s="33" t="s">
        <v>1314</v>
      </c>
    </row>
    <row r="291" spans="1:10" ht="18" customHeight="1" x14ac:dyDescent="0.3">
      <c r="A291" s="33">
        <v>309</v>
      </c>
      <c r="B291" s="33" t="s">
        <v>1377</v>
      </c>
      <c r="C291" s="33" t="s">
        <v>1378</v>
      </c>
      <c r="D291" s="33" t="s">
        <v>238</v>
      </c>
      <c r="E291" s="35">
        <v>44711</v>
      </c>
      <c r="F291" s="33" t="s">
        <v>239</v>
      </c>
      <c r="G291" s="33" t="s">
        <v>204</v>
      </c>
      <c r="H291" s="33" t="s">
        <v>750</v>
      </c>
      <c r="I291" s="33" t="s">
        <v>1379</v>
      </c>
      <c r="J291" s="33" t="s">
        <v>1380</v>
      </c>
    </row>
    <row r="292" spans="1:10" ht="18" customHeight="1" x14ac:dyDescent="0.3">
      <c r="A292" s="33">
        <v>103</v>
      </c>
      <c r="B292" s="33" t="s">
        <v>1381</v>
      </c>
      <c r="C292" s="33" t="s">
        <v>1382</v>
      </c>
      <c r="D292" s="33" t="s">
        <v>220</v>
      </c>
      <c r="E292" s="35">
        <v>44787</v>
      </c>
      <c r="F292" s="33" t="s">
        <v>221</v>
      </c>
      <c r="G292" s="33" t="s">
        <v>205</v>
      </c>
      <c r="H292" s="33" t="s">
        <v>1350</v>
      </c>
      <c r="I292" s="33" t="s">
        <v>1383</v>
      </c>
      <c r="J292" s="33" t="s">
        <v>1384</v>
      </c>
    </row>
    <row r="293" spans="1:10" ht="18" customHeight="1" x14ac:dyDescent="0.3">
      <c r="A293" s="33">
        <v>31</v>
      </c>
      <c r="B293" s="33" t="s">
        <v>1385</v>
      </c>
      <c r="C293" s="33" t="s">
        <v>1386</v>
      </c>
      <c r="D293" s="33" t="s">
        <v>238</v>
      </c>
      <c r="E293" s="35">
        <v>44580</v>
      </c>
      <c r="F293" s="33" t="s">
        <v>244</v>
      </c>
      <c r="G293" s="33" t="s">
        <v>206</v>
      </c>
      <c r="H293" s="33" t="s">
        <v>455</v>
      </c>
      <c r="I293" s="33" t="s">
        <v>1387</v>
      </c>
      <c r="J293" s="33" t="s">
        <v>323</v>
      </c>
    </row>
    <row r="294" spans="1:10" ht="18" customHeight="1" x14ac:dyDescent="0.3">
      <c r="A294" s="33">
        <v>306</v>
      </c>
      <c r="B294" s="33" t="s">
        <v>1388</v>
      </c>
      <c r="C294" s="33" t="s">
        <v>1389</v>
      </c>
      <c r="D294" s="33" t="s">
        <v>220</v>
      </c>
      <c r="E294" s="35">
        <v>44872</v>
      </c>
      <c r="F294" s="33" t="s">
        <v>244</v>
      </c>
      <c r="G294" s="33" t="s">
        <v>206</v>
      </c>
      <c r="H294" s="33" t="s">
        <v>403</v>
      </c>
      <c r="I294" s="33" t="s">
        <v>1170</v>
      </c>
      <c r="J294" s="33" t="s">
        <v>1390</v>
      </c>
    </row>
    <row r="295" spans="1:10" ht="18" customHeight="1" x14ac:dyDescent="0.3">
      <c r="A295" s="33">
        <v>383</v>
      </c>
      <c r="B295" s="33" t="s">
        <v>1391</v>
      </c>
      <c r="C295" s="33" t="s">
        <v>1392</v>
      </c>
      <c r="D295" s="33" t="s">
        <v>238</v>
      </c>
      <c r="E295" s="35">
        <v>44876</v>
      </c>
      <c r="F295" s="33" t="s">
        <v>244</v>
      </c>
      <c r="G295" s="33" t="s">
        <v>206</v>
      </c>
      <c r="H295" s="33" t="s">
        <v>317</v>
      </c>
      <c r="I295" s="33" t="s">
        <v>531</v>
      </c>
      <c r="J295" s="33" t="s">
        <v>670</v>
      </c>
    </row>
    <row r="296" spans="1:10" ht="18" customHeight="1" x14ac:dyDescent="0.3">
      <c r="A296" s="33">
        <v>367</v>
      </c>
      <c r="B296" s="33" t="s">
        <v>1393</v>
      </c>
      <c r="C296" s="33" t="s">
        <v>1394</v>
      </c>
      <c r="D296" s="33" t="s">
        <v>238</v>
      </c>
      <c r="E296" s="35">
        <v>44867</v>
      </c>
      <c r="F296" s="33" t="s">
        <v>281</v>
      </c>
      <c r="G296" s="33" t="s">
        <v>207</v>
      </c>
      <c r="H296" s="33" t="s">
        <v>487</v>
      </c>
      <c r="I296" s="33" t="s">
        <v>1395</v>
      </c>
      <c r="J296" s="33" t="s">
        <v>362</v>
      </c>
    </row>
    <row r="297" spans="1:10" ht="18" customHeight="1" x14ac:dyDescent="0.3">
      <c r="A297" s="33">
        <v>138</v>
      </c>
      <c r="B297" s="33" t="s">
        <v>1396</v>
      </c>
      <c r="C297" s="33" t="s">
        <v>1397</v>
      </c>
      <c r="D297" s="33" t="s">
        <v>220</v>
      </c>
      <c r="E297" s="35">
        <v>44723</v>
      </c>
      <c r="F297" s="33" t="s">
        <v>244</v>
      </c>
      <c r="G297" s="33" t="s">
        <v>206</v>
      </c>
      <c r="H297" s="33" t="s">
        <v>332</v>
      </c>
      <c r="I297" s="33" t="s">
        <v>380</v>
      </c>
      <c r="J297" s="33" t="s">
        <v>772</v>
      </c>
    </row>
    <row r="298" spans="1:10" ht="18" customHeight="1" x14ac:dyDescent="0.3">
      <c r="A298" s="33">
        <v>158</v>
      </c>
      <c r="B298" s="33" t="s">
        <v>1398</v>
      </c>
      <c r="C298" s="33" t="s">
        <v>1399</v>
      </c>
      <c r="D298" s="33" t="s">
        <v>238</v>
      </c>
      <c r="E298" s="35">
        <v>44752</v>
      </c>
      <c r="F298" s="33" t="s">
        <v>221</v>
      </c>
      <c r="G298" s="33" t="s">
        <v>205</v>
      </c>
      <c r="H298" s="33" t="s">
        <v>1122</v>
      </c>
      <c r="I298" s="33" t="s">
        <v>636</v>
      </c>
      <c r="J298" s="33" t="s">
        <v>1234</v>
      </c>
    </row>
    <row r="299" spans="1:10" ht="18" customHeight="1" x14ac:dyDescent="0.3">
      <c r="A299" s="33">
        <v>217</v>
      </c>
      <c r="B299" s="33" t="s">
        <v>1400</v>
      </c>
      <c r="C299" s="33" t="s">
        <v>1401</v>
      </c>
      <c r="D299" s="33" t="s">
        <v>238</v>
      </c>
      <c r="E299" s="35">
        <v>44826</v>
      </c>
      <c r="F299" s="33" t="s">
        <v>239</v>
      </c>
      <c r="G299" s="33" t="s">
        <v>204</v>
      </c>
      <c r="H299" s="33" t="s">
        <v>464</v>
      </c>
      <c r="I299" s="33" t="s">
        <v>1402</v>
      </c>
      <c r="J299" s="33" t="s">
        <v>845</v>
      </c>
    </row>
    <row r="300" spans="1:10" ht="18" customHeight="1" x14ac:dyDescent="0.3">
      <c r="A300" s="33">
        <v>102</v>
      </c>
      <c r="B300" s="33" t="s">
        <v>1403</v>
      </c>
      <c r="C300" s="33" t="s">
        <v>1404</v>
      </c>
      <c r="D300" s="33" t="s">
        <v>238</v>
      </c>
      <c r="E300" s="35">
        <v>44723</v>
      </c>
      <c r="F300" s="33" t="s">
        <v>221</v>
      </c>
      <c r="G300" s="33" t="s">
        <v>205</v>
      </c>
      <c r="H300" s="33" t="s">
        <v>1405</v>
      </c>
      <c r="I300" s="33" t="s">
        <v>1406</v>
      </c>
      <c r="J300" s="33" t="s">
        <v>598</v>
      </c>
    </row>
    <row r="301" spans="1:10" ht="18" customHeight="1" x14ac:dyDescent="0.3">
      <c r="A301" s="33">
        <v>425</v>
      </c>
      <c r="B301" s="33" t="s">
        <v>1407</v>
      </c>
      <c r="C301" s="33" t="s">
        <v>1408</v>
      </c>
      <c r="D301" s="33" t="s">
        <v>238</v>
      </c>
      <c r="E301" s="35">
        <v>44782</v>
      </c>
      <c r="F301" s="33" t="s">
        <v>221</v>
      </c>
      <c r="G301" s="33" t="s">
        <v>205</v>
      </c>
      <c r="H301" s="33" t="s">
        <v>948</v>
      </c>
      <c r="I301" s="33" t="s">
        <v>1184</v>
      </c>
      <c r="J301" s="33" t="s">
        <v>367</v>
      </c>
    </row>
    <row r="302" spans="1:10" ht="18" customHeight="1" x14ac:dyDescent="0.3">
      <c r="A302" s="33">
        <v>43</v>
      </c>
      <c r="B302" s="33" t="s">
        <v>1409</v>
      </c>
      <c r="C302" s="33" t="s">
        <v>1410</v>
      </c>
      <c r="D302" s="33" t="s">
        <v>220</v>
      </c>
      <c r="E302" s="35">
        <v>44912</v>
      </c>
      <c r="F302" s="33" t="s">
        <v>239</v>
      </c>
      <c r="G302" s="33" t="s">
        <v>204</v>
      </c>
      <c r="H302" s="33" t="s">
        <v>1411</v>
      </c>
      <c r="I302" s="33" t="s">
        <v>1412</v>
      </c>
      <c r="J302" s="33" t="s">
        <v>503</v>
      </c>
    </row>
    <row r="303" spans="1:10" ht="18" customHeight="1" x14ac:dyDescent="0.3">
      <c r="A303" s="33">
        <v>326</v>
      </c>
      <c r="B303" s="33" t="s">
        <v>1413</v>
      </c>
      <c r="C303" s="33" t="s">
        <v>1414</v>
      </c>
      <c r="D303" s="33" t="s">
        <v>238</v>
      </c>
      <c r="E303" s="35">
        <v>44655</v>
      </c>
      <c r="F303" s="33" t="s">
        <v>239</v>
      </c>
      <c r="G303" s="33" t="s">
        <v>204</v>
      </c>
      <c r="H303" s="33" t="s">
        <v>1415</v>
      </c>
      <c r="I303" s="33" t="s">
        <v>1416</v>
      </c>
      <c r="J303" s="33" t="s">
        <v>1417</v>
      </c>
    </row>
    <row r="304" spans="1:10" ht="18" customHeight="1" x14ac:dyDescent="0.3">
      <c r="A304" s="33">
        <v>402</v>
      </c>
      <c r="B304" s="33" t="s">
        <v>1418</v>
      </c>
      <c r="C304" s="33" t="s">
        <v>1419</v>
      </c>
      <c r="D304" s="33" t="s">
        <v>220</v>
      </c>
      <c r="E304" s="35">
        <v>44742</v>
      </c>
      <c r="F304" s="33" t="s">
        <v>221</v>
      </c>
      <c r="G304" s="33" t="s">
        <v>205</v>
      </c>
      <c r="H304" s="33" t="s">
        <v>1420</v>
      </c>
      <c r="I304" s="33" t="s">
        <v>1421</v>
      </c>
      <c r="J304" s="33" t="s">
        <v>781</v>
      </c>
    </row>
    <row r="305" spans="1:10" ht="18" customHeight="1" x14ac:dyDescent="0.3">
      <c r="A305" s="33">
        <v>23</v>
      </c>
      <c r="B305" s="33" t="s">
        <v>1422</v>
      </c>
      <c r="C305" s="33" t="s">
        <v>1423</v>
      </c>
      <c r="D305" s="33" t="s">
        <v>238</v>
      </c>
      <c r="E305" s="35">
        <v>44706</v>
      </c>
      <c r="F305" s="33" t="s">
        <v>239</v>
      </c>
      <c r="G305" s="33" t="s">
        <v>204</v>
      </c>
      <c r="H305" s="33" t="s">
        <v>449</v>
      </c>
      <c r="I305" s="33" t="s">
        <v>372</v>
      </c>
      <c r="J305" s="33" t="s">
        <v>329</v>
      </c>
    </row>
    <row r="306" spans="1:10" ht="18" customHeight="1" x14ac:dyDescent="0.3">
      <c r="A306" s="33">
        <v>468</v>
      </c>
      <c r="B306" s="33" t="s">
        <v>1424</v>
      </c>
      <c r="C306" s="33" t="s">
        <v>1425</v>
      </c>
      <c r="D306" s="33" t="s">
        <v>220</v>
      </c>
      <c r="E306" s="35">
        <v>44619</v>
      </c>
      <c r="F306" s="33" t="s">
        <v>221</v>
      </c>
      <c r="G306" s="33" t="s">
        <v>205</v>
      </c>
      <c r="H306" s="33" t="s">
        <v>1362</v>
      </c>
      <c r="I306" s="33" t="s">
        <v>417</v>
      </c>
      <c r="J306" s="33" t="s">
        <v>1273</v>
      </c>
    </row>
    <row r="307" spans="1:10" ht="18" customHeight="1" x14ac:dyDescent="0.3">
      <c r="A307" s="33">
        <v>141</v>
      </c>
      <c r="B307" s="33" t="s">
        <v>1426</v>
      </c>
      <c r="C307" s="33" t="s">
        <v>1427</v>
      </c>
      <c r="D307" s="33" t="s">
        <v>220</v>
      </c>
      <c r="E307" s="35">
        <v>44743</v>
      </c>
      <c r="F307" s="33" t="s">
        <v>239</v>
      </c>
      <c r="G307" s="33" t="s">
        <v>204</v>
      </c>
      <c r="H307" s="33" t="s">
        <v>758</v>
      </c>
      <c r="I307" s="33" t="s">
        <v>1219</v>
      </c>
      <c r="J307" s="33" t="s">
        <v>1283</v>
      </c>
    </row>
    <row r="308" spans="1:10" ht="18" customHeight="1" x14ac:dyDescent="0.3">
      <c r="A308" s="33">
        <v>182</v>
      </c>
      <c r="B308" s="33" t="s">
        <v>1428</v>
      </c>
      <c r="C308" s="33" t="s">
        <v>1429</v>
      </c>
      <c r="D308" s="33" t="s">
        <v>220</v>
      </c>
      <c r="E308" s="35">
        <v>44856</v>
      </c>
      <c r="F308" s="33" t="s">
        <v>221</v>
      </c>
      <c r="G308" s="33" t="s">
        <v>205</v>
      </c>
      <c r="H308" s="33" t="s">
        <v>223</v>
      </c>
      <c r="I308" s="33" t="s">
        <v>1402</v>
      </c>
      <c r="J308" s="33" t="s">
        <v>1102</v>
      </c>
    </row>
    <row r="309" spans="1:10" ht="18" customHeight="1" x14ac:dyDescent="0.3">
      <c r="A309" s="33">
        <v>225</v>
      </c>
      <c r="B309" s="33" t="s">
        <v>1430</v>
      </c>
      <c r="C309" s="33" t="s">
        <v>1431</v>
      </c>
      <c r="D309" s="33" t="s">
        <v>220</v>
      </c>
      <c r="E309" s="35">
        <v>44827</v>
      </c>
      <c r="F309" s="33" t="s">
        <v>227</v>
      </c>
      <c r="G309" s="33" t="s">
        <v>208</v>
      </c>
      <c r="H309" s="33" t="s">
        <v>255</v>
      </c>
      <c r="I309" s="33" t="s">
        <v>501</v>
      </c>
      <c r="J309" s="33" t="s">
        <v>381</v>
      </c>
    </row>
    <row r="310" spans="1:10" ht="18" customHeight="1" x14ac:dyDescent="0.3">
      <c r="A310" s="33">
        <v>151</v>
      </c>
      <c r="B310" s="33" t="s">
        <v>1432</v>
      </c>
      <c r="C310" s="33" t="s">
        <v>1433</v>
      </c>
      <c r="D310" s="33" t="s">
        <v>238</v>
      </c>
      <c r="E310" s="35">
        <v>44923</v>
      </c>
      <c r="F310" s="33" t="s">
        <v>227</v>
      </c>
      <c r="G310" s="33" t="s">
        <v>208</v>
      </c>
      <c r="H310" s="33" t="s">
        <v>717</v>
      </c>
      <c r="I310" s="33" t="s">
        <v>1434</v>
      </c>
      <c r="J310" s="33" t="s">
        <v>1435</v>
      </c>
    </row>
    <row r="311" spans="1:10" ht="18" customHeight="1" x14ac:dyDescent="0.3">
      <c r="A311" s="33">
        <v>428</v>
      </c>
      <c r="B311" s="33" t="s">
        <v>1436</v>
      </c>
      <c r="C311" s="33" t="s">
        <v>1437</v>
      </c>
      <c r="D311" s="33" t="s">
        <v>238</v>
      </c>
      <c r="E311" s="35">
        <v>44848</v>
      </c>
      <c r="F311" s="33" t="s">
        <v>227</v>
      </c>
      <c r="G311" s="33" t="s">
        <v>208</v>
      </c>
      <c r="H311" s="33" t="s">
        <v>1438</v>
      </c>
      <c r="I311" s="33" t="s">
        <v>929</v>
      </c>
      <c r="J311" s="33" t="s">
        <v>1439</v>
      </c>
    </row>
    <row r="312" spans="1:10" ht="18" customHeight="1" x14ac:dyDescent="0.3">
      <c r="A312" s="33">
        <v>438</v>
      </c>
      <c r="B312" s="33" t="s">
        <v>1440</v>
      </c>
      <c r="C312" s="33" t="s">
        <v>1441</v>
      </c>
      <c r="D312" s="33" t="s">
        <v>220</v>
      </c>
      <c r="E312" s="35">
        <v>44693</v>
      </c>
      <c r="F312" s="33" t="s">
        <v>221</v>
      </c>
      <c r="G312" s="33" t="s">
        <v>205</v>
      </c>
      <c r="H312" s="33" t="s">
        <v>1314</v>
      </c>
      <c r="I312" s="33" t="s">
        <v>1208</v>
      </c>
      <c r="J312" s="33" t="s">
        <v>896</v>
      </c>
    </row>
    <row r="313" spans="1:10" ht="18" customHeight="1" x14ac:dyDescent="0.3">
      <c r="A313" s="33">
        <v>465</v>
      </c>
      <c r="B313" s="33" t="s">
        <v>1442</v>
      </c>
      <c r="C313" s="33" t="s">
        <v>1443</v>
      </c>
      <c r="D313" s="33" t="s">
        <v>238</v>
      </c>
      <c r="E313" s="35">
        <v>44671</v>
      </c>
      <c r="F313" s="33" t="s">
        <v>221</v>
      </c>
      <c r="G313" s="33" t="s">
        <v>205</v>
      </c>
      <c r="H313" s="33" t="s">
        <v>475</v>
      </c>
      <c r="I313" s="33" t="s">
        <v>1444</v>
      </c>
      <c r="J313" s="33" t="s">
        <v>367</v>
      </c>
    </row>
    <row r="314" spans="1:10" ht="18" customHeight="1" x14ac:dyDescent="0.3">
      <c r="A314" s="33">
        <v>215</v>
      </c>
      <c r="B314" s="33" t="s">
        <v>1445</v>
      </c>
      <c r="C314" s="33" t="s">
        <v>1446</v>
      </c>
      <c r="D314" s="33" t="s">
        <v>238</v>
      </c>
      <c r="E314" s="35">
        <v>44799</v>
      </c>
      <c r="F314" s="33" t="s">
        <v>239</v>
      </c>
      <c r="G314" s="33" t="s">
        <v>204</v>
      </c>
      <c r="H314" s="33" t="s">
        <v>1447</v>
      </c>
      <c r="I314" s="33" t="s">
        <v>1448</v>
      </c>
      <c r="J314" s="33" t="s">
        <v>1449</v>
      </c>
    </row>
    <row r="315" spans="1:10" ht="18" customHeight="1" x14ac:dyDescent="0.3">
      <c r="A315" s="33">
        <v>15</v>
      </c>
      <c r="B315" s="33" t="s">
        <v>1450</v>
      </c>
      <c r="C315" s="33" t="s">
        <v>1451</v>
      </c>
      <c r="D315" s="33" t="s">
        <v>238</v>
      </c>
      <c r="E315" s="35">
        <v>44711</v>
      </c>
      <c r="F315" s="33" t="s">
        <v>244</v>
      </c>
      <c r="G315" s="33" t="s">
        <v>206</v>
      </c>
      <c r="H315" s="33" t="s">
        <v>1452</v>
      </c>
      <c r="I315" s="33" t="s">
        <v>696</v>
      </c>
      <c r="J315" s="33" t="s">
        <v>1249</v>
      </c>
    </row>
    <row r="316" spans="1:10" ht="18" customHeight="1" x14ac:dyDescent="0.3">
      <c r="A316" s="33">
        <v>370</v>
      </c>
      <c r="B316" s="33" t="s">
        <v>1453</v>
      </c>
      <c r="C316" s="33" t="s">
        <v>1454</v>
      </c>
      <c r="D316" s="33" t="s">
        <v>220</v>
      </c>
      <c r="E316" s="35">
        <v>44726</v>
      </c>
      <c r="F316" s="33" t="s">
        <v>281</v>
      </c>
      <c r="G316" s="33" t="s">
        <v>207</v>
      </c>
      <c r="H316" s="33" t="s">
        <v>1455</v>
      </c>
      <c r="I316" s="33" t="s">
        <v>328</v>
      </c>
      <c r="J316" s="33" t="s">
        <v>1271</v>
      </c>
    </row>
    <row r="317" spans="1:10" ht="18" customHeight="1" x14ac:dyDescent="0.3">
      <c r="A317" s="33">
        <v>80</v>
      </c>
      <c r="B317" s="33" t="s">
        <v>1456</v>
      </c>
      <c r="C317" s="33" t="s">
        <v>1457</v>
      </c>
      <c r="D317" s="33" t="s">
        <v>238</v>
      </c>
      <c r="E317" s="35">
        <v>44623</v>
      </c>
      <c r="F317" s="33" t="s">
        <v>227</v>
      </c>
      <c r="G317" s="33" t="s">
        <v>208</v>
      </c>
      <c r="H317" s="33" t="s">
        <v>1458</v>
      </c>
      <c r="I317" s="33" t="s">
        <v>1459</v>
      </c>
      <c r="J317" s="33" t="s">
        <v>1460</v>
      </c>
    </row>
    <row r="318" spans="1:10" ht="18" customHeight="1" x14ac:dyDescent="0.3">
      <c r="A318" s="33">
        <v>17</v>
      </c>
      <c r="B318" s="33" t="s">
        <v>1461</v>
      </c>
      <c r="C318" s="33" t="s">
        <v>1462</v>
      </c>
      <c r="D318" s="33" t="s">
        <v>238</v>
      </c>
      <c r="E318" s="35">
        <v>44877</v>
      </c>
      <c r="F318" s="33" t="s">
        <v>281</v>
      </c>
      <c r="G318" s="33" t="s">
        <v>207</v>
      </c>
      <c r="H318" s="33" t="s">
        <v>470</v>
      </c>
      <c r="I318" s="33" t="s">
        <v>1463</v>
      </c>
      <c r="J318" s="33" t="s">
        <v>257</v>
      </c>
    </row>
    <row r="319" spans="1:10" ht="18" customHeight="1" x14ac:dyDescent="0.3">
      <c r="A319" s="33">
        <v>127</v>
      </c>
      <c r="B319" s="33" t="s">
        <v>1464</v>
      </c>
      <c r="C319" s="33" t="s">
        <v>1465</v>
      </c>
      <c r="D319" s="33" t="s">
        <v>238</v>
      </c>
      <c r="E319" s="35">
        <v>44914</v>
      </c>
      <c r="F319" s="33" t="s">
        <v>244</v>
      </c>
      <c r="G319" s="33" t="s">
        <v>206</v>
      </c>
      <c r="H319" s="33" t="s">
        <v>1466</v>
      </c>
      <c r="I319" s="33" t="s">
        <v>1467</v>
      </c>
      <c r="J319" s="33" t="s">
        <v>1468</v>
      </c>
    </row>
    <row r="320" spans="1:10" ht="18" customHeight="1" x14ac:dyDescent="0.3">
      <c r="A320" s="33">
        <v>441</v>
      </c>
      <c r="B320" s="33" t="s">
        <v>1469</v>
      </c>
      <c r="C320" s="33" t="s">
        <v>1470</v>
      </c>
      <c r="D320" s="33" t="s">
        <v>238</v>
      </c>
      <c r="E320" s="35">
        <v>44867</v>
      </c>
      <c r="F320" s="33" t="s">
        <v>221</v>
      </c>
      <c r="G320" s="33" t="s">
        <v>205</v>
      </c>
      <c r="H320" s="33" t="s">
        <v>1471</v>
      </c>
      <c r="I320" s="33" t="s">
        <v>1472</v>
      </c>
      <c r="J320" s="33" t="s">
        <v>455</v>
      </c>
    </row>
    <row r="321" spans="1:10" ht="18" customHeight="1" x14ac:dyDescent="0.3">
      <c r="A321" s="33">
        <v>220</v>
      </c>
      <c r="B321" s="33" t="s">
        <v>1473</v>
      </c>
      <c r="C321" s="33" t="s">
        <v>1474</v>
      </c>
      <c r="D321" s="33" t="s">
        <v>238</v>
      </c>
      <c r="E321" s="35">
        <v>44570</v>
      </c>
      <c r="F321" s="33" t="s">
        <v>244</v>
      </c>
      <c r="G321" s="33" t="s">
        <v>206</v>
      </c>
      <c r="H321" s="33" t="s">
        <v>1125</v>
      </c>
      <c r="I321" s="33" t="s">
        <v>1475</v>
      </c>
      <c r="J321" s="33" t="s">
        <v>1476</v>
      </c>
    </row>
    <row r="322" spans="1:10" ht="18" customHeight="1" x14ac:dyDescent="0.3">
      <c r="A322" s="33">
        <v>206</v>
      </c>
      <c r="B322" s="33" t="s">
        <v>1477</v>
      </c>
      <c r="C322" s="33" t="s">
        <v>1478</v>
      </c>
      <c r="D322" s="33" t="s">
        <v>238</v>
      </c>
      <c r="E322" s="35">
        <v>44568</v>
      </c>
      <c r="F322" s="33" t="s">
        <v>239</v>
      </c>
      <c r="G322" s="33" t="s">
        <v>204</v>
      </c>
      <c r="H322" s="33" t="s">
        <v>423</v>
      </c>
      <c r="I322" s="33" t="s">
        <v>1479</v>
      </c>
      <c r="J322" s="33" t="s">
        <v>1480</v>
      </c>
    </row>
    <row r="323" spans="1:10" ht="18" customHeight="1" x14ac:dyDescent="0.3">
      <c r="A323" s="33">
        <v>210</v>
      </c>
      <c r="B323" s="33" t="s">
        <v>1481</v>
      </c>
      <c r="C323" s="33" t="s">
        <v>1482</v>
      </c>
      <c r="D323" s="33" t="s">
        <v>238</v>
      </c>
      <c r="E323" s="35">
        <v>44602</v>
      </c>
      <c r="F323" s="33" t="s">
        <v>221</v>
      </c>
      <c r="G323" s="33" t="s">
        <v>205</v>
      </c>
      <c r="H323" s="33" t="s">
        <v>1483</v>
      </c>
      <c r="I323" s="33" t="s">
        <v>1190</v>
      </c>
      <c r="J323" s="33" t="s">
        <v>675</v>
      </c>
    </row>
    <row r="324" spans="1:10" ht="18" customHeight="1" x14ac:dyDescent="0.3">
      <c r="A324" s="33">
        <v>67</v>
      </c>
      <c r="B324" s="33" t="s">
        <v>1484</v>
      </c>
      <c r="C324" s="33" t="s">
        <v>1485</v>
      </c>
      <c r="D324" s="33" t="s">
        <v>220</v>
      </c>
      <c r="E324" s="35">
        <v>44731</v>
      </c>
      <c r="F324" s="33" t="s">
        <v>221</v>
      </c>
      <c r="G324" s="33" t="s">
        <v>205</v>
      </c>
      <c r="H324" s="33" t="s">
        <v>976</v>
      </c>
      <c r="I324" s="33" t="s">
        <v>1244</v>
      </c>
      <c r="J324" s="33" t="s">
        <v>498</v>
      </c>
    </row>
    <row r="325" spans="1:10" ht="18" customHeight="1" x14ac:dyDescent="0.3">
      <c r="A325" s="33">
        <v>125</v>
      </c>
      <c r="B325" s="33" t="s">
        <v>1486</v>
      </c>
      <c r="C325" s="33" t="s">
        <v>1487</v>
      </c>
      <c r="D325" s="33" t="s">
        <v>238</v>
      </c>
      <c r="E325" s="35">
        <v>44701</v>
      </c>
      <c r="F325" s="33" t="s">
        <v>239</v>
      </c>
      <c r="G325" s="33" t="s">
        <v>204</v>
      </c>
      <c r="H325" s="33" t="s">
        <v>657</v>
      </c>
      <c r="I325" s="33" t="s">
        <v>1488</v>
      </c>
      <c r="J325" s="33" t="s">
        <v>487</v>
      </c>
    </row>
    <row r="326" spans="1:10" ht="18" customHeight="1" x14ac:dyDescent="0.3">
      <c r="A326" s="33">
        <v>213</v>
      </c>
      <c r="B326" s="33" t="s">
        <v>1489</v>
      </c>
      <c r="C326" s="33" t="s">
        <v>1490</v>
      </c>
      <c r="D326" s="33" t="s">
        <v>238</v>
      </c>
      <c r="E326" s="35">
        <v>44733</v>
      </c>
      <c r="F326" s="33" t="s">
        <v>221</v>
      </c>
      <c r="G326" s="33" t="s">
        <v>205</v>
      </c>
      <c r="H326" s="33" t="s">
        <v>1434</v>
      </c>
      <c r="I326" s="33" t="s">
        <v>850</v>
      </c>
      <c r="J326" s="33" t="s">
        <v>1032</v>
      </c>
    </row>
    <row r="327" spans="1:10" ht="18" customHeight="1" x14ac:dyDescent="0.3">
      <c r="A327" s="33">
        <v>336</v>
      </c>
      <c r="B327" s="33" t="s">
        <v>1491</v>
      </c>
      <c r="C327" s="33" t="s">
        <v>1492</v>
      </c>
      <c r="D327" s="33" t="s">
        <v>238</v>
      </c>
      <c r="E327" s="35">
        <v>44856</v>
      </c>
      <c r="F327" s="33" t="s">
        <v>221</v>
      </c>
      <c r="G327" s="33" t="s">
        <v>205</v>
      </c>
      <c r="H327" s="33" t="s">
        <v>954</v>
      </c>
      <c r="I327" s="33" t="s">
        <v>993</v>
      </c>
      <c r="J327" s="33" t="s">
        <v>357</v>
      </c>
    </row>
    <row r="328" spans="1:10" ht="18" customHeight="1" x14ac:dyDescent="0.3">
      <c r="A328" s="33">
        <v>294</v>
      </c>
      <c r="B328" s="33" t="s">
        <v>1493</v>
      </c>
      <c r="C328" s="33" t="s">
        <v>1494</v>
      </c>
      <c r="D328" s="33" t="s">
        <v>220</v>
      </c>
      <c r="E328" s="35">
        <v>44879</v>
      </c>
      <c r="F328" s="33" t="s">
        <v>244</v>
      </c>
      <c r="G328" s="33" t="s">
        <v>206</v>
      </c>
      <c r="H328" s="33" t="s">
        <v>1074</v>
      </c>
      <c r="I328" s="33" t="s">
        <v>440</v>
      </c>
      <c r="J328" s="33" t="s">
        <v>1495</v>
      </c>
    </row>
    <row r="329" spans="1:10" ht="18" customHeight="1" x14ac:dyDescent="0.3">
      <c r="A329" s="33">
        <v>27</v>
      </c>
      <c r="B329" s="33" t="s">
        <v>1496</v>
      </c>
      <c r="C329" s="33" t="s">
        <v>1497</v>
      </c>
      <c r="D329" s="33" t="s">
        <v>238</v>
      </c>
      <c r="E329" s="35">
        <v>44586</v>
      </c>
      <c r="F329" s="33" t="s">
        <v>244</v>
      </c>
      <c r="G329" s="33" t="s">
        <v>206</v>
      </c>
      <c r="H329" s="33" t="s">
        <v>564</v>
      </c>
      <c r="I329" s="33" t="s">
        <v>1498</v>
      </c>
      <c r="J329" s="33" t="s">
        <v>983</v>
      </c>
    </row>
    <row r="330" spans="1:10" ht="18" customHeight="1" x14ac:dyDescent="0.3">
      <c r="A330" s="33">
        <v>53</v>
      </c>
      <c r="B330" s="33" t="s">
        <v>1499</v>
      </c>
      <c r="C330" s="33" t="s">
        <v>1500</v>
      </c>
      <c r="D330" s="33" t="s">
        <v>238</v>
      </c>
      <c r="E330" s="35">
        <v>44593</v>
      </c>
      <c r="F330" s="33" t="s">
        <v>239</v>
      </c>
      <c r="G330" s="33" t="s">
        <v>204</v>
      </c>
      <c r="H330" s="33" t="s">
        <v>1264</v>
      </c>
      <c r="I330" s="33" t="s">
        <v>1501</v>
      </c>
      <c r="J330" s="33" t="s">
        <v>450</v>
      </c>
    </row>
    <row r="331" spans="1:10" ht="18" customHeight="1" x14ac:dyDescent="0.3">
      <c r="A331" s="33">
        <v>143</v>
      </c>
      <c r="B331" s="33" t="s">
        <v>1502</v>
      </c>
      <c r="C331" s="33" t="s">
        <v>1503</v>
      </c>
      <c r="D331" s="33" t="s">
        <v>238</v>
      </c>
      <c r="E331" s="35">
        <v>44601</v>
      </c>
      <c r="F331" s="33" t="s">
        <v>239</v>
      </c>
      <c r="G331" s="33" t="s">
        <v>204</v>
      </c>
      <c r="H331" s="33" t="s">
        <v>601</v>
      </c>
      <c r="I331" s="33" t="s">
        <v>1504</v>
      </c>
      <c r="J331" s="33" t="s">
        <v>1505</v>
      </c>
    </row>
    <row r="332" spans="1:10" ht="18" customHeight="1" x14ac:dyDescent="0.3">
      <c r="A332" s="33">
        <v>135</v>
      </c>
      <c r="B332" s="33" t="s">
        <v>1506</v>
      </c>
      <c r="C332" s="33" t="s">
        <v>1507</v>
      </c>
      <c r="D332" s="33" t="s">
        <v>220</v>
      </c>
      <c r="E332" s="35">
        <v>44602</v>
      </c>
      <c r="F332" s="33" t="s">
        <v>239</v>
      </c>
      <c r="G332" s="33" t="s">
        <v>204</v>
      </c>
      <c r="H332" s="33" t="s">
        <v>1099</v>
      </c>
      <c r="I332" s="33" t="s">
        <v>1508</v>
      </c>
      <c r="J332" s="33" t="s">
        <v>408</v>
      </c>
    </row>
    <row r="333" spans="1:10" ht="18" customHeight="1" x14ac:dyDescent="0.3">
      <c r="A333" s="33">
        <v>279</v>
      </c>
      <c r="B333" s="33" t="s">
        <v>1509</v>
      </c>
      <c r="C333" s="33" t="s">
        <v>1510</v>
      </c>
      <c r="D333" s="33" t="s">
        <v>220</v>
      </c>
      <c r="E333" s="35">
        <v>44786</v>
      </c>
      <c r="F333" s="33" t="s">
        <v>221</v>
      </c>
      <c r="G333" s="33" t="s">
        <v>205</v>
      </c>
      <c r="H333" s="33" t="s">
        <v>1511</v>
      </c>
      <c r="I333" s="33" t="s">
        <v>497</v>
      </c>
      <c r="J333" s="33" t="s">
        <v>498</v>
      </c>
    </row>
    <row r="334" spans="1:10" ht="18" customHeight="1" x14ac:dyDescent="0.3">
      <c r="A334" s="33">
        <v>271</v>
      </c>
      <c r="B334" s="33" t="s">
        <v>1512</v>
      </c>
      <c r="C334" s="33" t="s">
        <v>1513</v>
      </c>
      <c r="D334" s="33" t="s">
        <v>238</v>
      </c>
      <c r="E334" s="35">
        <v>44892</v>
      </c>
      <c r="F334" s="33" t="s">
        <v>227</v>
      </c>
      <c r="G334" s="33" t="s">
        <v>208</v>
      </c>
      <c r="H334" s="33" t="s">
        <v>710</v>
      </c>
      <c r="I334" s="33" t="s">
        <v>1144</v>
      </c>
      <c r="J334" s="33" t="s">
        <v>1514</v>
      </c>
    </row>
    <row r="335" spans="1:10" ht="18" customHeight="1" x14ac:dyDescent="0.3">
      <c r="A335" s="33">
        <v>444</v>
      </c>
      <c r="B335" s="33" t="s">
        <v>1515</v>
      </c>
      <c r="C335" s="33" t="s">
        <v>1516</v>
      </c>
      <c r="D335" s="33" t="s">
        <v>220</v>
      </c>
      <c r="E335" s="35">
        <v>44688</v>
      </c>
      <c r="F335" s="33" t="s">
        <v>239</v>
      </c>
      <c r="G335" s="33" t="s">
        <v>204</v>
      </c>
      <c r="H335" s="33" t="s">
        <v>957</v>
      </c>
      <c r="I335" s="33" t="s">
        <v>738</v>
      </c>
      <c r="J335" s="33" t="s">
        <v>767</v>
      </c>
    </row>
    <row r="336" spans="1:10" ht="18" customHeight="1" x14ac:dyDescent="0.3">
      <c r="A336" s="33">
        <v>133</v>
      </c>
      <c r="B336" s="33" t="s">
        <v>1517</v>
      </c>
      <c r="C336" s="33" t="s">
        <v>1518</v>
      </c>
      <c r="D336" s="33" t="s">
        <v>238</v>
      </c>
      <c r="E336" s="35">
        <v>44588</v>
      </c>
      <c r="F336" s="33" t="s">
        <v>221</v>
      </c>
      <c r="G336" s="33" t="s">
        <v>205</v>
      </c>
      <c r="H336" s="33" t="s">
        <v>729</v>
      </c>
      <c r="I336" s="33" t="s">
        <v>1519</v>
      </c>
      <c r="J336" s="33" t="s">
        <v>230</v>
      </c>
    </row>
    <row r="337" spans="1:10" ht="18" customHeight="1" x14ac:dyDescent="0.3">
      <c r="A337" s="33">
        <v>300</v>
      </c>
      <c r="B337" s="33" t="s">
        <v>1520</v>
      </c>
      <c r="C337" s="33" t="s">
        <v>1521</v>
      </c>
      <c r="D337" s="33" t="s">
        <v>220</v>
      </c>
      <c r="E337" s="35">
        <v>44824</v>
      </c>
      <c r="F337" s="33" t="s">
        <v>244</v>
      </c>
      <c r="G337" s="33" t="s">
        <v>206</v>
      </c>
      <c r="H337" s="33" t="s">
        <v>834</v>
      </c>
      <c r="I337" s="33" t="s">
        <v>675</v>
      </c>
      <c r="J337" s="33" t="s">
        <v>1522</v>
      </c>
    </row>
    <row r="338" spans="1:10" ht="18" customHeight="1" x14ac:dyDescent="0.3">
      <c r="A338" s="33">
        <v>54</v>
      </c>
      <c r="B338" s="33" t="s">
        <v>1523</v>
      </c>
      <c r="C338" s="33" t="s">
        <v>1524</v>
      </c>
      <c r="D338" s="33" t="s">
        <v>238</v>
      </c>
      <c r="E338" s="35">
        <v>44847</v>
      </c>
      <c r="F338" s="33" t="s">
        <v>227</v>
      </c>
      <c r="G338" s="33" t="s">
        <v>208</v>
      </c>
      <c r="H338" s="33" t="s">
        <v>1525</v>
      </c>
      <c r="I338" s="33" t="s">
        <v>1526</v>
      </c>
      <c r="J338" s="33" t="s">
        <v>412</v>
      </c>
    </row>
    <row r="339" spans="1:10" ht="18" customHeight="1" x14ac:dyDescent="0.3">
      <c r="A339" s="33">
        <v>340</v>
      </c>
      <c r="B339" s="33" t="s">
        <v>1527</v>
      </c>
      <c r="C339" s="33" t="s">
        <v>1528</v>
      </c>
      <c r="D339" s="33" t="s">
        <v>238</v>
      </c>
      <c r="E339" s="35">
        <v>44896</v>
      </c>
      <c r="F339" s="33" t="s">
        <v>239</v>
      </c>
      <c r="G339" s="33" t="s">
        <v>204</v>
      </c>
      <c r="H339" s="33" t="s">
        <v>1529</v>
      </c>
      <c r="I339" s="33" t="s">
        <v>1530</v>
      </c>
      <c r="J339" s="33" t="s">
        <v>1162</v>
      </c>
    </row>
    <row r="340" spans="1:10" ht="18" customHeight="1" x14ac:dyDescent="0.3">
      <c r="A340" s="33">
        <v>272</v>
      </c>
      <c r="B340" s="33" t="s">
        <v>1531</v>
      </c>
      <c r="C340" s="33" t="s">
        <v>1532</v>
      </c>
      <c r="D340" s="33" t="s">
        <v>238</v>
      </c>
      <c r="E340" s="35">
        <v>44668</v>
      </c>
      <c r="F340" s="33" t="s">
        <v>281</v>
      </c>
      <c r="G340" s="33" t="s">
        <v>207</v>
      </c>
      <c r="H340" s="33" t="s">
        <v>1505</v>
      </c>
      <c r="I340" s="33" t="s">
        <v>275</v>
      </c>
      <c r="J340" s="33" t="s">
        <v>1219</v>
      </c>
    </row>
    <row r="341" spans="1:10" ht="18" customHeight="1" x14ac:dyDescent="0.3">
      <c r="A341" s="33">
        <v>165</v>
      </c>
      <c r="B341" s="33" t="s">
        <v>1533</v>
      </c>
      <c r="C341" s="33" t="s">
        <v>1534</v>
      </c>
      <c r="D341" s="33" t="s">
        <v>220</v>
      </c>
      <c r="E341" s="35">
        <v>44599</v>
      </c>
      <c r="F341" s="33" t="s">
        <v>281</v>
      </c>
      <c r="G341" s="33" t="s">
        <v>207</v>
      </c>
      <c r="H341" s="33" t="s">
        <v>711</v>
      </c>
      <c r="I341" s="33" t="s">
        <v>1535</v>
      </c>
      <c r="J341" s="33" t="s">
        <v>1536</v>
      </c>
    </row>
    <row r="342" spans="1:10" ht="18" customHeight="1" x14ac:dyDescent="0.3">
      <c r="A342" s="33">
        <v>214</v>
      </c>
      <c r="B342" s="33" t="s">
        <v>1537</v>
      </c>
      <c r="C342" s="33" t="s">
        <v>1538</v>
      </c>
      <c r="D342" s="33" t="s">
        <v>220</v>
      </c>
      <c r="E342" s="35">
        <v>44601</v>
      </c>
      <c r="F342" s="33" t="s">
        <v>239</v>
      </c>
      <c r="G342" s="33" t="s">
        <v>204</v>
      </c>
      <c r="H342" s="33" t="s">
        <v>1539</v>
      </c>
      <c r="I342" s="33" t="s">
        <v>930</v>
      </c>
      <c r="J342" s="33" t="s">
        <v>1540</v>
      </c>
    </row>
    <row r="343" spans="1:10" ht="18" customHeight="1" x14ac:dyDescent="0.3">
      <c r="A343" s="33">
        <v>409</v>
      </c>
      <c r="B343" s="33" t="s">
        <v>1541</v>
      </c>
      <c r="C343" s="33" t="s">
        <v>1542</v>
      </c>
      <c r="D343" s="33" t="s">
        <v>238</v>
      </c>
      <c r="E343" s="35">
        <v>44869</v>
      </c>
      <c r="F343" s="33" t="s">
        <v>244</v>
      </c>
      <c r="G343" s="33" t="s">
        <v>206</v>
      </c>
      <c r="H343" s="33" t="s">
        <v>1543</v>
      </c>
      <c r="I343" s="33" t="s">
        <v>993</v>
      </c>
      <c r="J343" s="33" t="s">
        <v>753</v>
      </c>
    </row>
    <row r="344" spans="1:10" ht="18" customHeight="1" x14ac:dyDescent="0.3">
      <c r="A344" s="33">
        <v>348</v>
      </c>
      <c r="B344" s="33" t="s">
        <v>1544</v>
      </c>
      <c r="C344" s="33" t="s">
        <v>1545</v>
      </c>
      <c r="D344" s="33" t="s">
        <v>220</v>
      </c>
      <c r="E344" s="35">
        <v>44569</v>
      </c>
      <c r="F344" s="33" t="s">
        <v>244</v>
      </c>
      <c r="G344" s="33" t="s">
        <v>206</v>
      </c>
      <c r="H344" s="33" t="s">
        <v>553</v>
      </c>
      <c r="I344" s="33" t="s">
        <v>1546</v>
      </c>
      <c r="J344" s="33" t="s">
        <v>552</v>
      </c>
    </row>
    <row r="345" spans="1:10" ht="18" customHeight="1" x14ac:dyDescent="0.3">
      <c r="A345" s="33">
        <v>351</v>
      </c>
      <c r="B345" s="33" t="s">
        <v>1547</v>
      </c>
      <c r="C345" s="33" t="s">
        <v>1548</v>
      </c>
      <c r="D345" s="33" t="s">
        <v>220</v>
      </c>
      <c r="E345" s="35">
        <v>44863</v>
      </c>
      <c r="F345" s="33" t="s">
        <v>239</v>
      </c>
      <c r="G345" s="33" t="s">
        <v>204</v>
      </c>
      <c r="H345" s="33" t="s">
        <v>1549</v>
      </c>
      <c r="I345" s="33" t="s">
        <v>1044</v>
      </c>
      <c r="J345" s="33" t="s">
        <v>375</v>
      </c>
    </row>
    <row r="346" spans="1:10" ht="18" customHeight="1" x14ac:dyDescent="0.3">
      <c r="A346" s="33">
        <v>40</v>
      </c>
      <c r="B346" s="33" t="s">
        <v>1550</v>
      </c>
      <c r="C346" s="33" t="s">
        <v>1551</v>
      </c>
      <c r="D346" s="33" t="s">
        <v>238</v>
      </c>
      <c r="E346" s="35">
        <v>44855</v>
      </c>
      <c r="F346" s="33" t="s">
        <v>239</v>
      </c>
      <c r="G346" s="33" t="s">
        <v>204</v>
      </c>
      <c r="H346" s="33" t="s">
        <v>1552</v>
      </c>
      <c r="I346" s="33" t="s">
        <v>1553</v>
      </c>
      <c r="J346" s="33" t="s">
        <v>1219</v>
      </c>
    </row>
    <row r="347" spans="1:10" ht="18" customHeight="1" x14ac:dyDescent="0.3">
      <c r="A347" s="33">
        <v>245</v>
      </c>
      <c r="B347" s="33" t="s">
        <v>1554</v>
      </c>
      <c r="C347" s="33" t="s">
        <v>1555</v>
      </c>
      <c r="D347" s="33" t="s">
        <v>238</v>
      </c>
      <c r="E347" s="35">
        <v>44695</v>
      </c>
      <c r="F347" s="33" t="s">
        <v>221</v>
      </c>
      <c r="G347" s="33" t="s">
        <v>205</v>
      </c>
      <c r="H347" s="33" t="s">
        <v>329</v>
      </c>
      <c r="I347" s="33" t="s">
        <v>1556</v>
      </c>
      <c r="J347" s="33" t="s">
        <v>289</v>
      </c>
    </row>
    <row r="348" spans="1:10" ht="18" customHeight="1" x14ac:dyDescent="0.3">
      <c r="A348" s="33">
        <v>466</v>
      </c>
      <c r="B348" s="33" t="s">
        <v>1557</v>
      </c>
      <c r="C348" s="33" t="s">
        <v>1558</v>
      </c>
      <c r="D348" s="33" t="s">
        <v>220</v>
      </c>
      <c r="E348" s="35">
        <v>44772</v>
      </c>
      <c r="F348" s="33" t="s">
        <v>227</v>
      </c>
      <c r="G348" s="33" t="s">
        <v>208</v>
      </c>
      <c r="H348" s="33" t="s">
        <v>970</v>
      </c>
      <c r="I348" s="33" t="s">
        <v>230</v>
      </c>
      <c r="J348" s="33" t="s">
        <v>416</v>
      </c>
    </row>
    <row r="349" spans="1:10" ht="18" customHeight="1" x14ac:dyDescent="0.3">
      <c r="A349" s="33">
        <v>122</v>
      </c>
      <c r="B349" s="33" t="s">
        <v>1559</v>
      </c>
      <c r="C349" s="33" t="s">
        <v>1560</v>
      </c>
      <c r="D349" s="33" t="s">
        <v>238</v>
      </c>
      <c r="E349" s="35">
        <v>44683</v>
      </c>
      <c r="F349" s="33" t="s">
        <v>227</v>
      </c>
      <c r="G349" s="33" t="s">
        <v>208</v>
      </c>
      <c r="H349" s="33" t="s">
        <v>1561</v>
      </c>
      <c r="I349" s="33" t="s">
        <v>1562</v>
      </c>
      <c r="J349" s="33" t="s">
        <v>746</v>
      </c>
    </row>
    <row r="350" spans="1:10" ht="18" customHeight="1" x14ac:dyDescent="0.3">
      <c r="A350" s="33">
        <v>199</v>
      </c>
      <c r="B350" s="33" t="s">
        <v>1563</v>
      </c>
      <c r="C350" s="33" t="s">
        <v>1564</v>
      </c>
      <c r="D350" s="33" t="s">
        <v>220</v>
      </c>
      <c r="E350" s="35">
        <v>44715</v>
      </c>
      <c r="F350" s="33" t="s">
        <v>221</v>
      </c>
      <c r="G350" s="33" t="s">
        <v>205</v>
      </c>
      <c r="H350" s="33" t="s">
        <v>692</v>
      </c>
      <c r="I350" s="33" t="s">
        <v>636</v>
      </c>
      <c r="J350" s="33" t="s">
        <v>948</v>
      </c>
    </row>
    <row r="351" spans="1:10" ht="18" customHeight="1" x14ac:dyDescent="0.3">
      <c r="A351" s="33">
        <v>447</v>
      </c>
      <c r="B351" s="33" t="s">
        <v>1565</v>
      </c>
      <c r="C351" s="33" t="s">
        <v>1566</v>
      </c>
      <c r="D351" s="33" t="s">
        <v>220</v>
      </c>
      <c r="E351" s="35">
        <v>44898</v>
      </c>
      <c r="F351" s="33" t="s">
        <v>281</v>
      </c>
      <c r="G351" s="33" t="s">
        <v>207</v>
      </c>
      <c r="H351" s="33" t="s">
        <v>893</v>
      </c>
      <c r="I351" s="33" t="s">
        <v>1463</v>
      </c>
      <c r="J351" s="33" t="s">
        <v>738</v>
      </c>
    </row>
    <row r="352" spans="1:10" ht="18" customHeight="1" x14ac:dyDescent="0.3">
      <c r="A352" s="33">
        <v>163</v>
      </c>
      <c r="B352" s="33" t="s">
        <v>1567</v>
      </c>
      <c r="C352" s="33" t="s">
        <v>1568</v>
      </c>
      <c r="D352" s="33" t="s">
        <v>220</v>
      </c>
      <c r="E352" s="35">
        <v>44571</v>
      </c>
      <c r="F352" s="33" t="s">
        <v>221</v>
      </c>
      <c r="G352" s="33" t="s">
        <v>205</v>
      </c>
      <c r="H352" s="33" t="s">
        <v>969</v>
      </c>
      <c r="I352" s="33" t="s">
        <v>1569</v>
      </c>
      <c r="J352" s="33" t="s">
        <v>1320</v>
      </c>
    </row>
    <row r="353" spans="1:10" ht="18" customHeight="1" x14ac:dyDescent="0.3">
      <c r="A353" s="33">
        <v>320</v>
      </c>
      <c r="B353" s="33" t="s">
        <v>1570</v>
      </c>
      <c r="C353" s="33" t="s">
        <v>1571</v>
      </c>
      <c r="D353" s="33" t="s">
        <v>238</v>
      </c>
      <c r="E353" s="35">
        <v>44869</v>
      </c>
      <c r="F353" s="33" t="s">
        <v>227</v>
      </c>
      <c r="G353" s="33" t="s">
        <v>208</v>
      </c>
      <c r="H353" s="33" t="s">
        <v>322</v>
      </c>
      <c r="I353" s="33" t="s">
        <v>1064</v>
      </c>
      <c r="J353" s="33" t="s">
        <v>444</v>
      </c>
    </row>
    <row r="354" spans="1:10" ht="18" customHeight="1" x14ac:dyDescent="0.3">
      <c r="A354" s="33">
        <v>173</v>
      </c>
      <c r="B354" s="33" t="s">
        <v>1572</v>
      </c>
      <c r="C354" s="33" t="s">
        <v>1573</v>
      </c>
      <c r="D354" s="33" t="s">
        <v>238</v>
      </c>
      <c r="E354" s="35">
        <v>44673</v>
      </c>
      <c r="F354" s="33" t="s">
        <v>239</v>
      </c>
      <c r="G354" s="33" t="s">
        <v>204</v>
      </c>
      <c r="H354" s="33" t="s">
        <v>1553</v>
      </c>
      <c r="I354" s="33" t="s">
        <v>1249</v>
      </c>
      <c r="J354" s="33" t="s">
        <v>1168</v>
      </c>
    </row>
    <row r="355" spans="1:10" ht="18" customHeight="1" x14ac:dyDescent="0.3">
      <c r="A355" s="33">
        <v>485</v>
      </c>
      <c r="B355" s="33" t="s">
        <v>1574</v>
      </c>
      <c r="C355" s="33" t="s">
        <v>1575</v>
      </c>
      <c r="D355" s="33" t="s">
        <v>238</v>
      </c>
      <c r="E355" s="35">
        <v>44723</v>
      </c>
      <c r="F355" s="33" t="s">
        <v>239</v>
      </c>
      <c r="G355" s="33" t="s">
        <v>204</v>
      </c>
      <c r="H355" s="33" t="s">
        <v>1199</v>
      </c>
      <c r="I355" s="33" t="s">
        <v>318</v>
      </c>
      <c r="J355" s="33" t="s">
        <v>1576</v>
      </c>
    </row>
    <row r="356" spans="1:10" ht="18" customHeight="1" x14ac:dyDescent="0.3">
      <c r="A356" s="33">
        <v>401</v>
      </c>
      <c r="B356" s="33" t="s">
        <v>1577</v>
      </c>
      <c r="C356" s="33" t="s">
        <v>1578</v>
      </c>
      <c r="D356" s="33" t="s">
        <v>238</v>
      </c>
      <c r="E356" s="35">
        <v>44856</v>
      </c>
      <c r="F356" s="33" t="s">
        <v>239</v>
      </c>
      <c r="G356" s="33" t="s">
        <v>204</v>
      </c>
      <c r="H356" s="33" t="s">
        <v>1008</v>
      </c>
      <c r="I356" s="33" t="s">
        <v>862</v>
      </c>
      <c r="J356" s="33" t="s">
        <v>1416</v>
      </c>
    </row>
    <row r="357" spans="1:10" ht="18" customHeight="1" x14ac:dyDescent="0.3">
      <c r="A357" s="33">
        <v>379</v>
      </c>
      <c r="B357" s="33" t="s">
        <v>1579</v>
      </c>
      <c r="C357" s="33" t="s">
        <v>1580</v>
      </c>
      <c r="D357" s="33" t="s">
        <v>238</v>
      </c>
      <c r="E357" s="35">
        <v>44581</v>
      </c>
      <c r="F357" s="33" t="s">
        <v>281</v>
      </c>
      <c r="G357" s="33" t="s">
        <v>207</v>
      </c>
      <c r="H357" s="33" t="s">
        <v>1569</v>
      </c>
      <c r="I357" s="33" t="s">
        <v>1365</v>
      </c>
      <c r="J357" s="33" t="s">
        <v>1271</v>
      </c>
    </row>
    <row r="358" spans="1:10" ht="18" customHeight="1" x14ac:dyDescent="0.3">
      <c r="A358" s="33">
        <v>201</v>
      </c>
      <c r="B358" s="33" t="s">
        <v>1581</v>
      </c>
      <c r="C358" s="33" t="s">
        <v>1582</v>
      </c>
      <c r="D358" s="33" t="s">
        <v>220</v>
      </c>
      <c r="E358" s="35">
        <v>44843</v>
      </c>
      <c r="F358" s="33" t="s">
        <v>281</v>
      </c>
      <c r="G358" s="33" t="s">
        <v>207</v>
      </c>
      <c r="H358" s="33" t="s">
        <v>1406</v>
      </c>
      <c r="I358" s="33" t="s">
        <v>675</v>
      </c>
      <c r="J358" s="33" t="s">
        <v>1583</v>
      </c>
    </row>
    <row r="359" spans="1:10" ht="18" customHeight="1" x14ac:dyDescent="0.3">
      <c r="A359" s="33">
        <v>498</v>
      </c>
      <c r="B359" s="33" t="s">
        <v>1584</v>
      </c>
      <c r="C359" s="33" t="s">
        <v>1585</v>
      </c>
      <c r="D359" s="33" t="s">
        <v>220</v>
      </c>
      <c r="E359" s="35">
        <v>44721</v>
      </c>
      <c r="F359" s="33" t="s">
        <v>244</v>
      </c>
      <c r="G359" s="33" t="s">
        <v>206</v>
      </c>
      <c r="H359" s="33" t="s">
        <v>1586</v>
      </c>
      <c r="I359" s="33" t="s">
        <v>850</v>
      </c>
      <c r="J359" s="33" t="s">
        <v>1587</v>
      </c>
    </row>
    <row r="360" spans="1:10" ht="18" customHeight="1" x14ac:dyDescent="0.3">
      <c r="A360" s="33">
        <v>237</v>
      </c>
      <c r="B360" s="33" t="s">
        <v>1588</v>
      </c>
      <c r="C360" s="33" t="s">
        <v>1589</v>
      </c>
      <c r="D360" s="33" t="s">
        <v>220</v>
      </c>
      <c r="E360" s="35">
        <v>44886</v>
      </c>
      <c r="F360" s="33" t="s">
        <v>239</v>
      </c>
      <c r="G360" s="33" t="s">
        <v>204</v>
      </c>
      <c r="H360" s="33" t="s">
        <v>616</v>
      </c>
      <c r="I360" s="33" t="s">
        <v>908</v>
      </c>
      <c r="J360" s="33" t="s">
        <v>993</v>
      </c>
    </row>
    <row r="361" spans="1:10" ht="18" customHeight="1" x14ac:dyDescent="0.3">
      <c r="A361" s="33">
        <v>403</v>
      </c>
      <c r="B361" s="33" t="s">
        <v>1590</v>
      </c>
      <c r="C361" s="33" t="s">
        <v>1591</v>
      </c>
      <c r="D361" s="33" t="s">
        <v>238</v>
      </c>
      <c r="E361" s="35">
        <v>44594</v>
      </c>
      <c r="F361" s="33" t="s">
        <v>239</v>
      </c>
      <c r="G361" s="33" t="s">
        <v>204</v>
      </c>
      <c r="H361" s="33" t="s">
        <v>1592</v>
      </c>
      <c r="I361" s="33" t="s">
        <v>1593</v>
      </c>
      <c r="J361" s="33" t="s">
        <v>1472</v>
      </c>
    </row>
    <row r="362" spans="1:10" ht="18" customHeight="1" x14ac:dyDescent="0.3">
      <c r="A362" s="33">
        <v>460</v>
      </c>
      <c r="B362" s="33" t="s">
        <v>1594</v>
      </c>
      <c r="C362" s="33" t="s">
        <v>1595</v>
      </c>
      <c r="D362" s="33" t="s">
        <v>238</v>
      </c>
      <c r="E362" s="35">
        <v>44821</v>
      </c>
      <c r="F362" s="33" t="s">
        <v>239</v>
      </c>
      <c r="G362" s="33" t="s">
        <v>204</v>
      </c>
      <c r="H362" s="33" t="s">
        <v>948</v>
      </c>
      <c r="I362" s="33" t="s">
        <v>1596</v>
      </c>
      <c r="J362" s="33" t="s">
        <v>474</v>
      </c>
    </row>
    <row r="363" spans="1:10" ht="18" customHeight="1" x14ac:dyDescent="0.3">
      <c r="A363" s="33">
        <v>50</v>
      </c>
      <c r="B363" s="33" t="s">
        <v>1597</v>
      </c>
      <c r="C363" s="33" t="s">
        <v>1598</v>
      </c>
      <c r="D363" s="33" t="s">
        <v>220</v>
      </c>
      <c r="E363" s="35">
        <v>44576</v>
      </c>
      <c r="F363" s="33" t="s">
        <v>221</v>
      </c>
      <c r="G363" s="33" t="s">
        <v>205</v>
      </c>
      <c r="H363" s="33" t="s">
        <v>905</v>
      </c>
      <c r="I363" s="33" t="s">
        <v>1599</v>
      </c>
      <c r="J363" s="33" t="s">
        <v>605</v>
      </c>
    </row>
    <row r="364" spans="1:10" ht="18" customHeight="1" x14ac:dyDescent="0.3">
      <c r="A364" s="33">
        <v>197</v>
      </c>
      <c r="B364" s="33" t="s">
        <v>1600</v>
      </c>
      <c r="C364" s="33" t="s">
        <v>1601</v>
      </c>
      <c r="D364" s="33" t="s">
        <v>238</v>
      </c>
      <c r="E364" s="35">
        <v>44785</v>
      </c>
      <c r="F364" s="33" t="s">
        <v>244</v>
      </c>
      <c r="G364" s="33" t="s">
        <v>206</v>
      </c>
      <c r="H364" s="33" t="s">
        <v>1602</v>
      </c>
      <c r="I364" s="33" t="s">
        <v>1603</v>
      </c>
      <c r="J364" s="33" t="s">
        <v>1300</v>
      </c>
    </row>
    <row r="365" spans="1:10" ht="18" customHeight="1" x14ac:dyDescent="0.3">
      <c r="A365" s="33">
        <v>243</v>
      </c>
      <c r="B365" s="33" t="s">
        <v>1604</v>
      </c>
      <c r="C365" s="33" t="s">
        <v>1605</v>
      </c>
      <c r="D365" s="33" t="s">
        <v>238</v>
      </c>
      <c r="E365" s="35">
        <v>44681</v>
      </c>
      <c r="F365" s="33" t="s">
        <v>239</v>
      </c>
      <c r="G365" s="33" t="s">
        <v>204</v>
      </c>
      <c r="H365" s="33" t="s">
        <v>729</v>
      </c>
      <c r="I365" s="33" t="s">
        <v>1606</v>
      </c>
      <c r="J365" s="33" t="s">
        <v>615</v>
      </c>
    </row>
    <row r="366" spans="1:10" ht="18" customHeight="1" x14ac:dyDescent="0.3">
      <c r="A366" s="33">
        <v>45</v>
      </c>
      <c r="B366" s="33" t="s">
        <v>1607</v>
      </c>
      <c r="C366" s="33" t="s">
        <v>1608</v>
      </c>
      <c r="D366" s="33" t="s">
        <v>220</v>
      </c>
      <c r="E366" s="35">
        <v>44662</v>
      </c>
      <c r="F366" s="33" t="s">
        <v>221</v>
      </c>
      <c r="G366" s="33" t="s">
        <v>205</v>
      </c>
      <c r="H366" s="33" t="s">
        <v>1336</v>
      </c>
      <c r="I366" s="33" t="s">
        <v>619</v>
      </c>
      <c r="J366" s="33" t="s">
        <v>702</v>
      </c>
    </row>
    <row r="367" spans="1:10" ht="18" customHeight="1" x14ac:dyDescent="0.3">
      <c r="A367" s="33">
        <v>242</v>
      </c>
      <c r="B367" s="33" t="s">
        <v>1609</v>
      </c>
      <c r="C367" s="33" t="s">
        <v>1610</v>
      </c>
      <c r="D367" s="33" t="s">
        <v>238</v>
      </c>
      <c r="E367" s="35">
        <v>44747</v>
      </c>
      <c r="F367" s="33" t="s">
        <v>239</v>
      </c>
      <c r="G367" s="33" t="s">
        <v>204</v>
      </c>
      <c r="H367" s="33" t="s">
        <v>1611</v>
      </c>
      <c r="I367" s="33" t="s">
        <v>1612</v>
      </c>
      <c r="J367" s="33" t="s">
        <v>323</v>
      </c>
    </row>
    <row r="368" spans="1:10" ht="18" customHeight="1" x14ac:dyDescent="0.3">
      <c r="A368" s="33">
        <v>79</v>
      </c>
      <c r="B368" s="33" t="s">
        <v>1613</v>
      </c>
      <c r="C368" s="33" t="s">
        <v>1614</v>
      </c>
      <c r="D368" s="33" t="s">
        <v>238</v>
      </c>
      <c r="E368" s="35">
        <v>44716</v>
      </c>
      <c r="F368" s="33" t="s">
        <v>281</v>
      </c>
      <c r="G368" s="33" t="s">
        <v>207</v>
      </c>
      <c r="H368" s="33" t="s">
        <v>1089</v>
      </c>
      <c r="I368" s="33" t="s">
        <v>526</v>
      </c>
      <c r="J368" s="33" t="s">
        <v>965</v>
      </c>
    </row>
    <row r="369" spans="1:10" ht="18" customHeight="1" x14ac:dyDescent="0.3">
      <c r="A369" s="33">
        <v>70</v>
      </c>
      <c r="B369" s="33" t="s">
        <v>1615</v>
      </c>
      <c r="C369" s="33" t="s">
        <v>1616</v>
      </c>
      <c r="D369" s="33" t="s">
        <v>220</v>
      </c>
      <c r="E369" s="35">
        <v>44591</v>
      </c>
      <c r="F369" s="33" t="s">
        <v>244</v>
      </c>
      <c r="G369" s="33" t="s">
        <v>206</v>
      </c>
      <c r="H369" s="33" t="s">
        <v>577</v>
      </c>
      <c r="I369" s="33" t="s">
        <v>724</v>
      </c>
      <c r="J369" s="33" t="s">
        <v>803</v>
      </c>
    </row>
    <row r="370" spans="1:10" ht="18" customHeight="1" x14ac:dyDescent="0.3">
      <c r="A370" s="33">
        <v>345</v>
      </c>
      <c r="B370" s="33" t="s">
        <v>1617</v>
      </c>
      <c r="C370" s="33" t="s">
        <v>1618</v>
      </c>
      <c r="D370" s="33" t="s">
        <v>220</v>
      </c>
      <c r="E370" s="35">
        <v>44705</v>
      </c>
      <c r="F370" s="33" t="s">
        <v>227</v>
      </c>
      <c r="G370" s="33" t="s">
        <v>208</v>
      </c>
      <c r="H370" s="33" t="s">
        <v>560</v>
      </c>
      <c r="I370" s="33" t="s">
        <v>858</v>
      </c>
      <c r="J370" s="33" t="s">
        <v>1267</v>
      </c>
    </row>
    <row r="371" spans="1:10" ht="18" customHeight="1" x14ac:dyDescent="0.3">
      <c r="A371" s="33">
        <v>33</v>
      </c>
      <c r="B371" s="33" t="s">
        <v>1619</v>
      </c>
      <c r="C371" s="33" t="s">
        <v>1620</v>
      </c>
      <c r="D371" s="33" t="s">
        <v>238</v>
      </c>
      <c r="E371" s="35">
        <v>44730</v>
      </c>
      <c r="F371" s="33" t="s">
        <v>239</v>
      </c>
      <c r="G371" s="33" t="s">
        <v>204</v>
      </c>
      <c r="H371" s="33" t="s">
        <v>1621</v>
      </c>
      <c r="I371" s="33" t="s">
        <v>1622</v>
      </c>
      <c r="J371" s="33" t="s">
        <v>329</v>
      </c>
    </row>
    <row r="372" spans="1:10" ht="18" customHeight="1" x14ac:dyDescent="0.3">
      <c r="A372" s="33">
        <v>7</v>
      </c>
      <c r="B372" s="33" t="s">
        <v>1623</v>
      </c>
      <c r="C372" s="33" t="s">
        <v>1624</v>
      </c>
      <c r="D372" s="33" t="s">
        <v>220</v>
      </c>
      <c r="E372" s="35">
        <v>44893</v>
      </c>
      <c r="F372" s="33" t="s">
        <v>239</v>
      </c>
      <c r="G372" s="33" t="s">
        <v>204</v>
      </c>
      <c r="H372" s="33" t="s">
        <v>1625</v>
      </c>
      <c r="I372" s="33" t="s">
        <v>454</v>
      </c>
      <c r="J372" s="33" t="s">
        <v>737</v>
      </c>
    </row>
    <row r="373" spans="1:10" ht="18" customHeight="1" x14ac:dyDescent="0.3">
      <c r="A373" s="33">
        <v>494</v>
      </c>
      <c r="B373" s="33" t="s">
        <v>1626</v>
      </c>
      <c r="C373" s="33" t="s">
        <v>1627</v>
      </c>
      <c r="D373" s="33" t="s">
        <v>238</v>
      </c>
      <c r="E373" s="35">
        <v>44738</v>
      </c>
      <c r="F373" s="33" t="s">
        <v>227</v>
      </c>
      <c r="G373" s="33" t="s">
        <v>208</v>
      </c>
      <c r="H373" s="33" t="s">
        <v>1602</v>
      </c>
      <c r="I373" s="33" t="s">
        <v>1628</v>
      </c>
      <c r="J373" s="33" t="s">
        <v>512</v>
      </c>
    </row>
    <row r="374" spans="1:10" ht="18" customHeight="1" x14ac:dyDescent="0.3">
      <c r="A374" s="33">
        <v>83</v>
      </c>
      <c r="B374" s="33" t="s">
        <v>1629</v>
      </c>
      <c r="C374" s="33" t="s">
        <v>1630</v>
      </c>
      <c r="D374" s="33" t="s">
        <v>220</v>
      </c>
      <c r="E374" s="35">
        <v>44739</v>
      </c>
      <c r="F374" s="33" t="s">
        <v>281</v>
      </c>
      <c r="G374" s="33" t="s">
        <v>207</v>
      </c>
      <c r="H374" s="33" t="s">
        <v>336</v>
      </c>
      <c r="I374" s="33" t="s">
        <v>1631</v>
      </c>
      <c r="J374" s="33" t="s">
        <v>904</v>
      </c>
    </row>
    <row r="375" spans="1:10" ht="18" customHeight="1" x14ac:dyDescent="0.3">
      <c r="A375" s="33">
        <v>352</v>
      </c>
      <c r="B375" s="33" t="s">
        <v>1632</v>
      </c>
      <c r="C375" s="33" t="s">
        <v>1633</v>
      </c>
      <c r="D375" s="33" t="s">
        <v>238</v>
      </c>
      <c r="E375" s="35">
        <v>44573</v>
      </c>
      <c r="F375" s="33" t="s">
        <v>239</v>
      </c>
      <c r="G375" s="33" t="s">
        <v>204</v>
      </c>
      <c r="H375" s="33" t="s">
        <v>586</v>
      </c>
      <c r="I375" s="33" t="s">
        <v>1202</v>
      </c>
      <c r="J375" s="33" t="s">
        <v>817</v>
      </c>
    </row>
    <row r="376" spans="1:10" ht="18" customHeight="1" x14ac:dyDescent="0.3">
      <c r="A376" s="33">
        <v>8</v>
      </c>
      <c r="B376" s="33" t="s">
        <v>1634</v>
      </c>
      <c r="C376" s="33" t="s">
        <v>1635</v>
      </c>
      <c r="D376" s="33" t="s">
        <v>220</v>
      </c>
      <c r="E376" s="35">
        <v>44883</v>
      </c>
      <c r="F376" s="33" t="s">
        <v>227</v>
      </c>
      <c r="G376" s="33" t="s">
        <v>208</v>
      </c>
      <c r="H376" s="33" t="s">
        <v>252</v>
      </c>
      <c r="I376" s="33" t="s">
        <v>1007</v>
      </c>
      <c r="J376" s="33" t="s">
        <v>1211</v>
      </c>
    </row>
    <row r="377" spans="1:10" ht="18" customHeight="1" x14ac:dyDescent="0.3">
      <c r="A377" s="33">
        <v>291</v>
      </c>
      <c r="B377" s="33" t="s">
        <v>1636</v>
      </c>
      <c r="C377" s="33" t="s">
        <v>1637</v>
      </c>
      <c r="D377" s="33" t="s">
        <v>220</v>
      </c>
      <c r="E377" s="35">
        <v>44710</v>
      </c>
      <c r="F377" s="33" t="s">
        <v>281</v>
      </c>
      <c r="G377" s="33" t="s">
        <v>207</v>
      </c>
      <c r="H377" s="33" t="s">
        <v>1376</v>
      </c>
      <c r="I377" s="33" t="s">
        <v>289</v>
      </c>
      <c r="J377" s="33" t="s">
        <v>375</v>
      </c>
    </row>
    <row r="378" spans="1:10" ht="18" customHeight="1" x14ac:dyDescent="0.3">
      <c r="A378" s="33">
        <v>418</v>
      </c>
      <c r="B378" s="33" t="s">
        <v>1638</v>
      </c>
      <c r="C378" s="33" t="s">
        <v>1639</v>
      </c>
      <c r="D378" s="33" t="s">
        <v>220</v>
      </c>
      <c r="E378" s="35">
        <v>44700</v>
      </c>
      <c r="F378" s="33" t="s">
        <v>227</v>
      </c>
      <c r="G378" s="33" t="s">
        <v>208</v>
      </c>
      <c r="H378" s="33" t="s">
        <v>265</v>
      </c>
      <c r="I378" s="33" t="s">
        <v>322</v>
      </c>
      <c r="J378" s="33" t="s">
        <v>920</v>
      </c>
    </row>
    <row r="379" spans="1:10" ht="18" customHeight="1" x14ac:dyDescent="0.3">
      <c r="A379" s="33">
        <v>470</v>
      </c>
      <c r="B379" s="33" t="s">
        <v>1640</v>
      </c>
      <c r="C379" s="33" t="s">
        <v>1641</v>
      </c>
      <c r="D379" s="33" t="s">
        <v>220</v>
      </c>
      <c r="E379" s="35">
        <v>44690</v>
      </c>
      <c r="F379" s="33" t="s">
        <v>281</v>
      </c>
      <c r="G379" s="33" t="s">
        <v>207</v>
      </c>
      <c r="H379" s="33" t="s">
        <v>1642</v>
      </c>
      <c r="I379" s="33" t="s">
        <v>494</v>
      </c>
      <c r="J379" s="33" t="s">
        <v>370</v>
      </c>
    </row>
    <row r="380" spans="1:10" ht="18" customHeight="1" x14ac:dyDescent="0.3">
      <c r="A380" s="33">
        <v>123</v>
      </c>
      <c r="B380" s="33" t="s">
        <v>1643</v>
      </c>
      <c r="C380" s="33" t="s">
        <v>1644</v>
      </c>
      <c r="D380" s="33" t="s">
        <v>238</v>
      </c>
      <c r="E380" s="35">
        <v>44600</v>
      </c>
      <c r="F380" s="33" t="s">
        <v>239</v>
      </c>
      <c r="G380" s="33" t="s">
        <v>204</v>
      </c>
      <c r="H380" s="33" t="s">
        <v>710</v>
      </c>
      <c r="I380" s="33" t="s">
        <v>1645</v>
      </c>
      <c r="J380" s="33" t="s">
        <v>1646</v>
      </c>
    </row>
    <row r="381" spans="1:10" ht="18" customHeight="1" x14ac:dyDescent="0.3">
      <c r="A381" s="33">
        <v>442</v>
      </c>
      <c r="B381" s="33" t="s">
        <v>1647</v>
      </c>
      <c r="C381" s="33" t="s">
        <v>1648</v>
      </c>
      <c r="D381" s="33" t="s">
        <v>238</v>
      </c>
      <c r="E381" s="35">
        <v>44746</v>
      </c>
      <c r="F381" s="33" t="s">
        <v>281</v>
      </c>
      <c r="G381" s="33" t="s">
        <v>207</v>
      </c>
      <c r="H381" s="33" t="s">
        <v>1649</v>
      </c>
      <c r="I381" s="33" t="s">
        <v>1650</v>
      </c>
      <c r="J381" s="33" t="s">
        <v>1651</v>
      </c>
    </row>
    <row r="382" spans="1:10" ht="18" customHeight="1" x14ac:dyDescent="0.3">
      <c r="A382" s="33">
        <v>218</v>
      </c>
      <c r="B382" s="33" t="s">
        <v>1652</v>
      </c>
      <c r="C382" s="33" t="s">
        <v>1653</v>
      </c>
      <c r="D382" s="33" t="s">
        <v>238</v>
      </c>
      <c r="E382" s="35">
        <v>44721</v>
      </c>
      <c r="F382" s="33" t="s">
        <v>221</v>
      </c>
      <c r="G382" s="33" t="s">
        <v>205</v>
      </c>
      <c r="H382" s="33" t="s">
        <v>948</v>
      </c>
      <c r="I382" s="33" t="s">
        <v>1154</v>
      </c>
      <c r="J382" s="33" t="s">
        <v>632</v>
      </c>
    </row>
    <row r="383" spans="1:10" ht="18" customHeight="1" x14ac:dyDescent="0.3">
      <c r="A383" s="33">
        <v>331</v>
      </c>
      <c r="B383" s="33" t="s">
        <v>1654</v>
      </c>
      <c r="C383" s="33" t="s">
        <v>1655</v>
      </c>
      <c r="D383" s="33" t="s">
        <v>238</v>
      </c>
      <c r="E383" s="35">
        <v>44813</v>
      </c>
      <c r="F383" s="33" t="s">
        <v>221</v>
      </c>
      <c r="G383" s="33" t="s">
        <v>205</v>
      </c>
      <c r="H383" s="33" t="s">
        <v>1656</v>
      </c>
      <c r="I383" s="33" t="s">
        <v>1526</v>
      </c>
      <c r="J383" s="33" t="s">
        <v>796</v>
      </c>
    </row>
    <row r="384" spans="1:10" ht="18" customHeight="1" x14ac:dyDescent="0.3">
      <c r="A384" s="33">
        <v>196</v>
      </c>
      <c r="B384" s="33" t="s">
        <v>1657</v>
      </c>
      <c r="C384" s="33" t="s">
        <v>1658</v>
      </c>
      <c r="D384" s="33" t="s">
        <v>220</v>
      </c>
      <c r="E384" s="35">
        <v>44835</v>
      </c>
      <c r="F384" s="33" t="s">
        <v>239</v>
      </c>
      <c r="G384" s="33" t="s">
        <v>204</v>
      </c>
      <c r="H384" s="33" t="s">
        <v>1659</v>
      </c>
      <c r="I384" s="33" t="s">
        <v>920</v>
      </c>
      <c r="J384" s="33" t="s">
        <v>360</v>
      </c>
    </row>
    <row r="385" spans="1:10" ht="18" customHeight="1" x14ac:dyDescent="0.3">
      <c r="A385" s="33">
        <v>36</v>
      </c>
      <c r="B385" s="33" t="s">
        <v>1660</v>
      </c>
      <c r="C385" s="33" t="s">
        <v>1661</v>
      </c>
      <c r="D385" s="33" t="s">
        <v>238</v>
      </c>
      <c r="E385" s="35">
        <v>44700</v>
      </c>
      <c r="F385" s="33" t="s">
        <v>239</v>
      </c>
      <c r="G385" s="33" t="s">
        <v>204</v>
      </c>
      <c r="H385" s="33" t="s">
        <v>1662</v>
      </c>
      <c r="I385" s="33" t="s">
        <v>1663</v>
      </c>
      <c r="J385" s="33" t="s">
        <v>867</v>
      </c>
    </row>
    <row r="386" spans="1:10" ht="18" customHeight="1" x14ac:dyDescent="0.3">
      <c r="A386" s="33">
        <v>22</v>
      </c>
      <c r="B386" s="33" t="s">
        <v>1664</v>
      </c>
      <c r="C386" s="33" t="s">
        <v>1665</v>
      </c>
      <c r="D386" s="33" t="s">
        <v>220</v>
      </c>
      <c r="E386" s="35">
        <v>44870</v>
      </c>
      <c r="F386" s="33" t="s">
        <v>227</v>
      </c>
      <c r="G386" s="33" t="s">
        <v>208</v>
      </c>
      <c r="H386" s="33" t="s">
        <v>1666</v>
      </c>
      <c r="I386" s="33" t="s">
        <v>352</v>
      </c>
      <c r="J386" s="33" t="s">
        <v>284</v>
      </c>
    </row>
    <row r="387" spans="1:10" ht="18" customHeight="1" x14ac:dyDescent="0.3">
      <c r="A387" s="33">
        <v>360</v>
      </c>
      <c r="B387" s="33" t="s">
        <v>1667</v>
      </c>
      <c r="C387" s="33" t="s">
        <v>1668</v>
      </c>
      <c r="D387" s="33" t="s">
        <v>238</v>
      </c>
      <c r="E387" s="35">
        <v>44728</v>
      </c>
      <c r="F387" s="33" t="s">
        <v>227</v>
      </c>
      <c r="G387" s="33" t="s">
        <v>208</v>
      </c>
      <c r="H387" s="33" t="s">
        <v>933</v>
      </c>
      <c r="I387" s="33" t="s">
        <v>787</v>
      </c>
      <c r="J387" s="33" t="s">
        <v>796</v>
      </c>
    </row>
    <row r="388" spans="1:10" ht="18" customHeight="1" x14ac:dyDescent="0.3">
      <c r="A388" s="33">
        <v>188</v>
      </c>
      <c r="B388" s="33" t="s">
        <v>1669</v>
      </c>
      <c r="C388" s="33" t="s">
        <v>1670</v>
      </c>
      <c r="D388" s="33" t="s">
        <v>238</v>
      </c>
      <c r="E388" s="35">
        <v>44801</v>
      </c>
      <c r="F388" s="33" t="s">
        <v>281</v>
      </c>
      <c r="G388" s="33" t="s">
        <v>207</v>
      </c>
      <c r="H388" s="33" t="s">
        <v>428</v>
      </c>
      <c r="I388" s="33" t="s">
        <v>384</v>
      </c>
      <c r="J388" s="33" t="s">
        <v>962</v>
      </c>
    </row>
    <row r="389" spans="1:10" ht="18" customHeight="1" x14ac:dyDescent="0.3">
      <c r="A389" s="33">
        <v>63</v>
      </c>
      <c r="B389" s="33" t="s">
        <v>1671</v>
      </c>
      <c r="C389" s="33" t="s">
        <v>1672</v>
      </c>
      <c r="D389" s="33" t="s">
        <v>220</v>
      </c>
      <c r="E389" s="35">
        <v>44684</v>
      </c>
      <c r="F389" s="33" t="s">
        <v>244</v>
      </c>
      <c r="G389" s="33" t="s">
        <v>206</v>
      </c>
      <c r="H389" s="33" t="s">
        <v>482</v>
      </c>
      <c r="I389" s="33" t="s">
        <v>450</v>
      </c>
      <c r="J389" s="33" t="s">
        <v>1214</v>
      </c>
    </row>
    <row r="390" spans="1:10" ht="18" customHeight="1" x14ac:dyDescent="0.3">
      <c r="A390" s="33">
        <v>238</v>
      </c>
      <c r="B390" s="33" t="s">
        <v>1673</v>
      </c>
      <c r="C390" s="33" t="s">
        <v>1674</v>
      </c>
      <c r="D390" s="33" t="s">
        <v>220</v>
      </c>
      <c r="E390" s="35">
        <v>44909</v>
      </c>
      <c r="F390" s="33" t="s">
        <v>244</v>
      </c>
      <c r="G390" s="33" t="s">
        <v>206</v>
      </c>
      <c r="H390" s="33" t="s">
        <v>1675</v>
      </c>
      <c r="I390" s="33" t="s">
        <v>1676</v>
      </c>
      <c r="J390" s="33" t="s">
        <v>546</v>
      </c>
    </row>
    <row r="391" spans="1:10" ht="18" customHeight="1" x14ac:dyDescent="0.3">
      <c r="A391" s="33">
        <v>105</v>
      </c>
      <c r="B391" s="33" t="s">
        <v>1677</v>
      </c>
      <c r="C391" s="33" t="s">
        <v>1678</v>
      </c>
      <c r="D391" s="33" t="s">
        <v>220</v>
      </c>
      <c r="E391" s="35">
        <v>44918</v>
      </c>
      <c r="F391" s="33" t="s">
        <v>221</v>
      </c>
      <c r="G391" s="33" t="s">
        <v>205</v>
      </c>
      <c r="H391" s="33" t="s">
        <v>1333</v>
      </c>
      <c r="I391" s="33" t="s">
        <v>381</v>
      </c>
      <c r="J391" s="33" t="s">
        <v>255</v>
      </c>
    </row>
    <row r="392" spans="1:10" ht="18" customHeight="1" x14ac:dyDescent="0.3">
      <c r="A392" s="33">
        <v>260</v>
      </c>
      <c r="B392" s="33" t="s">
        <v>1679</v>
      </c>
      <c r="C392" s="33" t="s">
        <v>1680</v>
      </c>
      <c r="D392" s="33" t="s">
        <v>220</v>
      </c>
      <c r="E392" s="35">
        <v>44729</v>
      </c>
      <c r="F392" s="33" t="s">
        <v>244</v>
      </c>
      <c r="G392" s="33" t="s">
        <v>206</v>
      </c>
      <c r="H392" s="33" t="s">
        <v>1519</v>
      </c>
      <c r="I392" s="33" t="s">
        <v>1365</v>
      </c>
      <c r="J392" s="33" t="s">
        <v>1234</v>
      </c>
    </row>
    <row r="393" spans="1:10" ht="18" customHeight="1" x14ac:dyDescent="0.3">
      <c r="A393" s="33">
        <v>394</v>
      </c>
      <c r="B393" s="33" t="s">
        <v>1681</v>
      </c>
      <c r="C393" s="33" t="s">
        <v>1682</v>
      </c>
      <c r="D393" s="33" t="s">
        <v>220</v>
      </c>
      <c r="E393" s="35">
        <v>44708</v>
      </c>
      <c r="F393" s="33" t="s">
        <v>239</v>
      </c>
      <c r="G393" s="33" t="s">
        <v>204</v>
      </c>
      <c r="H393" s="33" t="s">
        <v>1683</v>
      </c>
      <c r="I393" s="33" t="s">
        <v>404</v>
      </c>
      <c r="J393" s="33" t="s">
        <v>1684</v>
      </c>
    </row>
    <row r="394" spans="1:10" ht="18" customHeight="1" x14ac:dyDescent="0.3">
      <c r="A394" s="33">
        <v>248</v>
      </c>
      <c r="B394" s="33" t="s">
        <v>1685</v>
      </c>
      <c r="C394" s="33" t="s">
        <v>1686</v>
      </c>
      <c r="D394" s="33" t="s">
        <v>238</v>
      </c>
      <c r="E394" s="35">
        <v>44694</v>
      </c>
      <c r="F394" s="33" t="s">
        <v>239</v>
      </c>
      <c r="G394" s="33" t="s">
        <v>204</v>
      </c>
      <c r="H394" s="33" t="s">
        <v>1687</v>
      </c>
      <c r="I394" s="33" t="s">
        <v>526</v>
      </c>
      <c r="J394" s="33" t="s">
        <v>1417</v>
      </c>
    </row>
    <row r="395" spans="1:10" ht="18" customHeight="1" x14ac:dyDescent="0.3">
      <c r="A395" s="33">
        <v>3</v>
      </c>
      <c r="B395" s="33" t="s">
        <v>1688</v>
      </c>
      <c r="C395" s="33" t="s">
        <v>1689</v>
      </c>
      <c r="D395" s="33" t="s">
        <v>238</v>
      </c>
      <c r="E395" s="35">
        <v>44666</v>
      </c>
      <c r="F395" s="33" t="s">
        <v>244</v>
      </c>
      <c r="G395" s="33" t="s">
        <v>206</v>
      </c>
      <c r="H395" s="33" t="s">
        <v>919</v>
      </c>
      <c r="I395" s="33" t="s">
        <v>1622</v>
      </c>
      <c r="J395" s="33" t="s">
        <v>1040</v>
      </c>
    </row>
    <row r="396" spans="1:10" ht="18" customHeight="1" x14ac:dyDescent="0.3">
      <c r="A396" s="33">
        <v>435</v>
      </c>
      <c r="B396" s="33" t="s">
        <v>1690</v>
      </c>
      <c r="C396" s="33" t="s">
        <v>1691</v>
      </c>
      <c r="D396" s="33" t="s">
        <v>238</v>
      </c>
      <c r="E396" s="35">
        <v>44618</v>
      </c>
      <c r="F396" s="33" t="s">
        <v>221</v>
      </c>
      <c r="G396" s="33" t="s">
        <v>205</v>
      </c>
      <c r="H396" s="33" t="s">
        <v>853</v>
      </c>
      <c r="I396" s="33" t="s">
        <v>367</v>
      </c>
      <c r="J396" s="33" t="s">
        <v>1267</v>
      </c>
    </row>
    <row r="397" spans="1:10" ht="18" customHeight="1" x14ac:dyDescent="0.3">
      <c r="A397" s="33">
        <v>262</v>
      </c>
      <c r="B397" s="33" t="s">
        <v>1692</v>
      </c>
      <c r="C397" s="33" t="s">
        <v>1693</v>
      </c>
      <c r="D397" s="33" t="s">
        <v>220</v>
      </c>
      <c r="E397" s="35">
        <v>44778</v>
      </c>
      <c r="F397" s="33" t="s">
        <v>281</v>
      </c>
      <c r="G397" s="33" t="s">
        <v>207</v>
      </c>
      <c r="H397" s="33" t="s">
        <v>1602</v>
      </c>
      <c r="I397" s="33" t="s">
        <v>1694</v>
      </c>
      <c r="J397" s="33" t="s">
        <v>1695</v>
      </c>
    </row>
    <row r="398" spans="1:10" ht="18" customHeight="1" x14ac:dyDescent="0.3">
      <c r="A398" s="33">
        <v>264</v>
      </c>
      <c r="B398" s="33" t="s">
        <v>1696</v>
      </c>
      <c r="C398" s="33" t="s">
        <v>1697</v>
      </c>
      <c r="D398" s="33" t="s">
        <v>238</v>
      </c>
      <c r="E398" s="35">
        <v>44907</v>
      </c>
      <c r="F398" s="33" t="s">
        <v>227</v>
      </c>
      <c r="G398" s="33" t="s">
        <v>208</v>
      </c>
      <c r="H398" s="33" t="s">
        <v>750</v>
      </c>
      <c r="I398" s="33" t="s">
        <v>458</v>
      </c>
      <c r="J398" s="33" t="s">
        <v>1343</v>
      </c>
    </row>
    <row r="399" spans="1:10" ht="18" customHeight="1" x14ac:dyDescent="0.3">
      <c r="A399" s="33">
        <v>99</v>
      </c>
      <c r="B399" s="33" t="s">
        <v>1698</v>
      </c>
      <c r="C399" s="33" t="s">
        <v>1699</v>
      </c>
      <c r="D399" s="33" t="s">
        <v>238</v>
      </c>
      <c r="E399" s="35">
        <v>44886</v>
      </c>
      <c r="F399" s="33" t="s">
        <v>239</v>
      </c>
      <c r="G399" s="33" t="s">
        <v>204</v>
      </c>
      <c r="H399" s="33" t="s">
        <v>538</v>
      </c>
      <c r="I399" s="33" t="s">
        <v>1700</v>
      </c>
      <c r="J399" s="33" t="s">
        <v>863</v>
      </c>
    </row>
    <row r="400" spans="1:10" ht="18" customHeight="1" x14ac:dyDescent="0.3">
      <c r="A400" s="33">
        <v>404</v>
      </c>
      <c r="B400" s="33" t="s">
        <v>1701</v>
      </c>
      <c r="C400" s="33" t="s">
        <v>1702</v>
      </c>
      <c r="D400" s="33" t="s">
        <v>238</v>
      </c>
      <c r="E400" s="35">
        <v>44913</v>
      </c>
      <c r="F400" s="33" t="s">
        <v>244</v>
      </c>
      <c r="G400" s="33" t="s">
        <v>206</v>
      </c>
      <c r="H400" s="33" t="s">
        <v>1703</v>
      </c>
      <c r="I400" s="33" t="s">
        <v>1704</v>
      </c>
      <c r="J400" s="33" t="s">
        <v>1252</v>
      </c>
    </row>
    <row r="401" spans="1:10" ht="18" customHeight="1" x14ac:dyDescent="0.3">
      <c r="A401" s="33">
        <v>146</v>
      </c>
      <c r="B401" s="33" t="s">
        <v>1705</v>
      </c>
      <c r="C401" s="33" t="s">
        <v>1706</v>
      </c>
      <c r="D401" s="33" t="s">
        <v>238</v>
      </c>
      <c r="E401" s="35">
        <v>44617</v>
      </c>
      <c r="F401" s="33" t="s">
        <v>227</v>
      </c>
      <c r="G401" s="33" t="s">
        <v>208</v>
      </c>
      <c r="H401" s="33" t="s">
        <v>319</v>
      </c>
      <c r="I401" s="33" t="s">
        <v>1052</v>
      </c>
      <c r="J401" s="33" t="s">
        <v>459</v>
      </c>
    </row>
    <row r="402" spans="1:10" ht="18" customHeight="1" x14ac:dyDescent="0.3">
      <c r="A402" s="33">
        <v>338</v>
      </c>
      <c r="B402" s="33" t="s">
        <v>1707</v>
      </c>
      <c r="C402" s="33" t="s">
        <v>1708</v>
      </c>
      <c r="D402" s="33" t="s">
        <v>238</v>
      </c>
      <c r="E402" s="35">
        <v>44577</v>
      </c>
      <c r="F402" s="33" t="s">
        <v>281</v>
      </c>
      <c r="G402" s="33" t="s">
        <v>207</v>
      </c>
      <c r="H402" s="33" t="s">
        <v>245</v>
      </c>
      <c r="I402" s="33" t="s">
        <v>1709</v>
      </c>
      <c r="J402" s="33" t="s">
        <v>1185</v>
      </c>
    </row>
    <row r="403" spans="1:10" ht="18" customHeight="1" x14ac:dyDescent="0.3">
      <c r="A403" s="33">
        <v>445</v>
      </c>
      <c r="B403" s="33" t="s">
        <v>1710</v>
      </c>
      <c r="C403" s="33" t="s">
        <v>1711</v>
      </c>
      <c r="D403" s="33" t="s">
        <v>238</v>
      </c>
      <c r="E403" s="35">
        <v>44676</v>
      </c>
      <c r="F403" s="33" t="s">
        <v>239</v>
      </c>
      <c r="G403" s="33" t="s">
        <v>204</v>
      </c>
      <c r="H403" s="33" t="s">
        <v>729</v>
      </c>
      <c r="I403" s="33" t="s">
        <v>1268</v>
      </c>
      <c r="J403" s="33" t="s">
        <v>1109</v>
      </c>
    </row>
    <row r="404" spans="1:10" ht="18" customHeight="1" x14ac:dyDescent="0.3">
      <c r="A404" s="33">
        <v>208</v>
      </c>
      <c r="B404" s="33" t="s">
        <v>1712</v>
      </c>
      <c r="C404" s="33" t="s">
        <v>1713</v>
      </c>
      <c r="D404" s="33" t="s">
        <v>238</v>
      </c>
      <c r="E404" s="35">
        <v>44736</v>
      </c>
      <c r="F404" s="33" t="s">
        <v>244</v>
      </c>
      <c r="G404" s="33" t="s">
        <v>206</v>
      </c>
      <c r="H404" s="33" t="s">
        <v>577</v>
      </c>
      <c r="I404" s="33" t="s">
        <v>1530</v>
      </c>
      <c r="J404" s="33" t="s">
        <v>1714</v>
      </c>
    </row>
    <row r="405" spans="1:10" ht="18" customHeight="1" x14ac:dyDescent="0.3">
      <c r="A405" s="33">
        <v>343</v>
      </c>
      <c r="B405" s="33" t="s">
        <v>1715</v>
      </c>
      <c r="C405" s="33" t="s">
        <v>1716</v>
      </c>
      <c r="D405" s="33" t="s">
        <v>238</v>
      </c>
      <c r="E405" s="35">
        <v>44874</v>
      </c>
      <c r="F405" s="33" t="s">
        <v>244</v>
      </c>
      <c r="G405" s="33" t="s">
        <v>206</v>
      </c>
      <c r="H405" s="33" t="s">
        <v>849</v>
      </c>
      <c r="I405" s="33" t="s">
        <v>1297</v>
      </c>
      <c r="J405" s="33" t="s">
        <v>1552</v>
      </c>
    </row>
    <row r="406" spans="1:10" ht="18" customHeight="1" x14ac:dyDescent="0.3">
      <c r="A406" s="33">
        <v>486</v>
      </c>
      <c r="B406" s="33" t="s">
        <v>1717</v>
      </c>
      <c r="C406" s="33" t="s">
        <v>1718</v>
      </c>
      <c r="D406" s="33" t="s">
        <v>220</v>
      </c>
      <c r="E406" s="35">
        <v>44723</v>
      </c>
      <c r="F406" s="33" t="s">
        <v>239</v>
      </c>
      <c r="G406" s="33" t="s">
        <v>204</v>
      </c>
      <c r="H406" s="33" t="s">
        <v>565</v>
      </c>
      <c r="I406" s="33" t="s">
        <v>1480</v>
      </c>
      <c r="J406" s="33" t="s">
        <v>1719</v>
      </c>
    </row>
    <row r="407" spans="1:10" ht="18" customHeight="1" x14ac:dyDescent="0.3">
      <c r="A407" s="33">
        <v>299</v>
      </c>
      <c r="B407" s="33" t="s">
        <v>1720</v>
      </c>
      <c r="C407" s="33" t="s">
        <v>1721</v>
      </c>
      <c r="D407" s="33" t="s">
        <v>238</v>
      </c>
      <c r="E407" s="35">
        <v>44666</v>
      </c>
      <c r="F407" s="33" t="s">
        <v>244</v>
      </c>
      <c r="G407" s="33" t="s">
        <v>206</v>
      </c>
      <c r="H407" s="33" t="s">
        <v>1599</v>
      </c>
      <c r="I407" s="33" t="s">
        <v>1467</v>
      </c>
      <c r="J407" s="33" t="s">
        <v>1722</v>
      </c>
    </row>
    <row r="408" spans="1:10" ht="18" customHeight="1" x14ac:dyDescent="0.3">
      <c r="A408" s="33">
        <v>368</v>
      </c>
      <c r="B408" s="33" t="s">
        <v>1723</v>
      </c>
      <c r="C408" s="33" t="s">
        <v>1724</v>
      </c>
      <c r="D408" s="33" t="s">
        <v>220</v>
      </c>
      <c r="E408" s="35">
        <v>44872</v>
      </c>
      <c r="F408" s="33" t="s">
        <v>221</v>
      </c>
      <c r="G408" s="33" t="s">
        <v>205</v>
      </c>
      <c r="H408" s="33" t="s">
        <v>233</v>
      </c>
      <c r="I408" s="33" t="s">
        <v>1725</v>
      </c>
      <c r="J408" s="33" t="s">
        <v>299</v>
      </c>
    </row>
    <row r="409" spans="1:10" ht="18" customHeight="1" x14ac:dyDescent="0.3">
      <c r="A409" s="33">
        <v>108</v>
      </c>
      <c r="B409" s="33" t="s">
        <v>1726</v>
      </c>
      <c r="C409" s="33" t="s">
        <v>1727</v>
      </c>
      <c r="D409" s="33" t="s">
        <v>220</v>
      </c>
      <c r="E409" s="35">
        <v>44835</v>
      </c>
      <c r="F409" s="33" t="s">
        <v>221</v>
      </c>
      <c r="G409" s="33" t="s">
        <v>205</v>
      </c>
      <c r="H409" s="33" t="s">
        <v>976</v>
      </c>
      <c r="I409" s="33" t="s">
        <v>1728</v>
      </c>
      <c r="J409" s="33" t="s">
        <v>1416</v>
      </c>
    </row>
    <row r="410" spans="1:10" ht="18" customHeight="1" x14ac:dyDescent="0.3">
      <c r="A410" s="33">
        <v>443</v>
      </c>
      <c r="B410" s="33" t="s">
        <v>1729</v>
      </c>
      <c r="C410" s="33" t="s">
        <v>1730</v>
      </c>
      <c r="D410" s="33" t="s">
        <v>220</v>
      </c>
      <c r="E410" s="35">
        <v>44649</v>
      </c>
      <c r="F410" s="33" t="s">
        <v>239</v>
      </c>
      <c r="G410" s="33" t="s">
        <v>204</v>
      </c>
      <c r="H410" s="33" t="s">
        <v>287</v>
      </c>
      <c r="I410" s="33" t="s">
        <v>1731</v>
      </c>
      <c r="J410" s="33" t="s">
        <v>652</v>
      </c>
    </row>
    <row r="411" spans="1:10" ht="18" customHeight="1" x14ac:dyDescent="0.3">
      <c r="A411" s="33">
        <v>91</v>
      </c>
      <c r="B411" s="33" t="s">
        <v>1732</v>
      </c>
      <c r="C411" s="33" t="s">
        <v>1733</v>
      </c>
      <c r="D411" s="33" t="s">
        <v>238</v>
      </c>
      <c r="E411" s="35">
        <v>44687</v>
      </c>
      <c r="F411" s="33" t="s">
        <v>239</v>
      </c>
      <c r="G411" s="33" t="s">
        <v>204</v>
      </c>
      <c r="H411" s="33" t="s">
        <v>1734</v>
      </c>
      <c r="I411" s="33" t="s">
        <v>615</v>
      </c>
      <c r="J411" s="33" t="s">
        <v>693</v>
      </c>
    </row>
    <row r="412" spans="1:10" ht="18" customHeight="1" x14ac:dyDescent="0.3">
      <c r="A412" s="33">
        <v>473</v>
      </c>
      <c r="B412" s="33" t="s">
        <v>1735</v>
      </c>
      <c r="C412" s="33" t="s">
        <v>1736</v>
      </c>
      <c r="D412" s="33" t="s">
        <v>220</v>
      </c>
      <c r="E412" s="35">
        <v>44799</v>
      </c>
      <c r="F412" s="33" t="s">
        <v>239</v>
      </c>
      <c r="G412" s="33" t="s">
        <v>204</v>
      </c>
      <c r="H412" s="33" t="s">
        <v>1737</v>
      </c>
      <c r="I412" s="33" t="s">
        <v>1738</v>
      </c>
      <c r="J412" s="33" t="s">
        <v>521</v>
      </c>
    </row>
    <row r="413" spans="1:10" ht="18" customHeight="1" x14ac:dyDescent="0.3">
      <c r="A413" s="33">
        <v>482</v>
      </c>
      <c r="B413" s="33" t="s">
        <v>1739</v>
      </c>
      <c r="C413" s="33" t="s">
        <v>1740</v>
      </c>
      <c r="D413" s="33" t="s">
        <v>238</v>
      </c>
      <c r="E413" s="35">
        <v>44679</v>
      </c>
      <c r="F413" s="33" t="s">
        <v>244</v>
      </c>
      <c r="G413" s="33" t="s">
        <v>206</v>
      </c>
      <c r="H413" s="33" t="s">
        <v>1576</v>
      </c>
      <c r="I413" s="33" t="s">
        <v>1741</v>
      </c>
      <c r="J413" s="33" t="s">
        <v>1402</v>
      </c>
    </row>
    <row r="414" spans="1:10" ht="18" customHeight="1" x14ac:dyDescent="0.3">
      <c r="A414" s="33">
        <v>48</v>
      </c>
      <c r="B414" s="33" t="s">
        <v>1742</v>
      </c>
      <c r="C414" s="33" t="s">
        <v>1743</v>
      </c>
      <c r="D414" s="33" t="s">
        <v>238</v>
      </c>
      <c r="E414" s="35">
        <v>44856</v>
      </c>
      <c r="F414" s="33" t="s">
        <v>221</v>
      </c>
      <c r="G414" s="33" t="s">
        <v>205</v>
      </c>
      <c r="H414" s="33" t="s">
        <v>1543</v>
      </c>
      <c r="I414" s="33" t="s">
        <v>649</v>
      </c>
      <c r="J414" s="33" t="s">
        <v>228</v>
      </c>
    </row>
    <row r="415" spans="1:10" ht="18" customHeight="1" x14ac:dyDescent="0.3">
      <c r="A415" s="33">
        <v>26</v>
      </c>
      <c r="B415" s="33" t="s">
        <v>1744</v>
      </c>
      <c r="C415" s="33" t="s">
        <v>1745</v>
      </c>
      <c r="D415" s="33" t="s">
        <v>220</v>
      </c>
      <c r="E415" s="35">
        <v>44819</v>
      </c>
      <c r="F415" s="33" t="s">
        <v>281</v>
      </c>
      <c r="G415" s="33" t="s">
        <v>207</v>
      </c>
      <c r="H415" s="33" t="s">
        <v>916</v>
      </c>
      <c r="I415" s="33" t="s">
        <v>763</v>
      </c>
      <c r="J415" s="33" t="s">
        <v>1529</v>
      </c>
    </row>
    <row r="416" spans="1:10" ht="18" customHeight="1" x14ac:dyDescent="0.3">
      <c r="A416" s="33">
        <v>417</v>
      </c>
      <c r="B416" s="33" t="s">
        <v>1746</v>
      </c>
      <c r="C416" s="33" t="s">
        <v>1747</v>
      </c>
      <c r="D416" s="33" t="s">
        <v>238</v>
      </c>
      <c r="E416" s="35">
        <v>44608</v>
      </c>
      <c r="F416" s="33" t="s">
        <v>281</v>
      </c>
      <c r="G416" s="33" t="s">
        <v>207</v>
      </c>
      <c r="H416" s="33" t="s">
        <v>1748</v>
      </c>
      <c r="I416" s="33" t="s">
        <v>381</v>
      </c>
      <c r="J416" s="33" t="s">
        <v>228</v>
      </c>
    </row>
    <row r="417" spans="1:10" ht="18" customHeight="1" x14ac:dyDescent="0.3">
      <c r="A417" s="33">
        <v>491</v>
      </c>
      <c r="B417" s="33" t="s">
        <v>1749</v>
      </c>
      <c r="C417" s="33" t="s">
        <v>1750</v>
      </c>
      <c r="D417" s="33" t="s">
        <v>220</v>
      </c>
      <c r="E417" s="35">
        <v>44752</v>
      </c>
      <c r="F417" s="33" t="s">
        <v>239</v>
      </c>
      <c r="G417" s="33" t="s">
        <v>204</v>
      </c>
      <c r="H417" s="33" t="s">
        <v>1292</v>
      </c>
      <c r="I417" s="33" t="s">
        <v>526</v>
      </c>
      <c r="J417" s="33" t="s">
        <v>416</v>
      </c>
    </row>
    <row r="418" spans="1:10" ht="18" customHeight="1" x14ac:dyDescent="0.3">
      <c r="A418" s="33">
        <v>492</v>
      </c>
      <c r="B418" s="33" t="s">
        <v>1751</v>
      </c>
      <c r="C418" s="33" t="s">
        <v>1752</v>
      </c>
      <c r="D418" s="33" t="s">
        <v>220</v>
      </c>
      <c r="E418" s="35">
        <v>44688</v>
      </c>
      <c r="F418" s="33" t="s">
        <v>244</v>
      </c>
      <c r="G418" s="33" t="s">
        <v>206</v>
      </c>
      <c r="H418" s="33" t="s">
        <v>1753</v>
      </c>
      <c r="I418" s="33" t="s">
        <v>1754</v>
      </c>
      <c r="J418" s="33" t="s">
        <v>579</v>
      </c>
    </row>
    <row r="419" spans="1:10" ht="18" customHeight="1" x14ac:dyDescent="0.3">
      <c r="A419" s="33">
        <v>155</v>
      </c>
      <c r="B419" s="33" t="s">
        <v>1755</v>
      </c>
      <c r="C419" s="33" t="s">
        <v>1756</v>
      </c>
      <c r="D419" s="33" t="s">
        <v>238</v>
      </c>
      <c r="E419" s="35">
        <v>44564</v>
      </c>
      <c r="F419" s="33" t="s">
        <v>244</v>
      </c>
      <c r="G419" s="33" t="s">
        <v>206</v>
      </c>
      <c r="H419" s="33" t="s">
        <v>1342</v>
      </c>
      <c r="I419" s="33" t="s">
        <v>404</v>
      </c>
      <c r="J419" s="33" t="s">
        <v>1757</v>
      </c>
    </row>
    <row r="420" spans="1:10" ht="18" customHeight="1" x14ac:dyDescent="0.3">
      <c r="A420" s="33">
        <v>430</v>
      </c>
      <c r="B420" s="33" t="s">
        <v>1758</v>
      </c>
      <c r="C420" s="33" t="s">
        <v>1759</v>
      </c>
      <c r="D420" s="33" t="s">
        <v>238</v>
      </c>
      <c r="E420" s="35">
        <v>44799</v>
      </c>
      <c r="F420" s="33" t="s">
        <v>281</v>
      </c>
      <c r="G420" s="33" t="s">
        <v>207</v>
      </c>
      <c r="H420" s="33" t="s">
        <v>1760</v>
      </c>
      <c r="I420" s="33" t="s">
        <v>1459</v>
      </c>
      <c r="J420" s="33" t="s">
        <v>1060</v>
      </c>
    </row>
    <row r="421" spans="1:10" ht="18" customHeight="1" x14ac:dyDescent="0.3">
      <c r="A421" s="33">
        <v>488</v>
      </c>
      <c r="B421" s="33" t="s">
        <v>1761</v>
      </c>
      <c r="C421" s="33" t="s">
        <v>1762</v>
      </c>
      <c r="D421" s="33" t="s">
        <v>220</v>
      </c>
      <c r="E421" s="35">
        <v>44738</v>
      </c>
      <c r="F421" s="33" t="s">
        <v>227</v>
      </c>
      <c r="G421" s="33" t="s">
        <v>208</v>
      </c>
      <c r="H421" s="33" t="s">
        <v>799</v>
      </c>
      <c r="I421" s="33" t="s">
        <v>908</v>
      </c>
      <c r="J421" s="33" t="s">
        <v>432</v>
      </c>
    </row>
    <row r="422" spans="1:10" ht="18" customHeight="1" x14ac:dyDescent="0.3">
      <c r="A422" s="33">
        <v>6</v>
      </c>
      <c r="B422" s="33" t="s">
        <v>1763</v>
      </c>
      <c r="C422" s="33" t="s">
        <v>1764</v>
      </c>
      <c r="D422" s="33" t="s">
        <v>238</v>
      </c>
      <c r="E422" s="35">
        <v>44710</v>
      </c>
      <c r="F422" s="33" t="s">
        <v>244</v>
      </c>
      <c r="G422" s="33" t="s">
        <v>206</v>
      </c>
      <c r="H422" s="33" t="s">
        <v>487</v>
      </c>
      <c r="I422" s="33" t="s">
        <v>1253</v>
      </c>
      <c r="J422" s="33" t="s">
        <v>418</v>
      </c>
    </row>
    <row r="423" spans="1:10" ht="18" customHeight="1" x14ac:dyDescent="0.3">
      <c r="A423" s="33">
        <v>400</v>
      </c>
      <c r="B423" s="33" t="s">
        <v>1765</v>
      </c>
      <c r="C423" s="33" t="s">
        <v>1766</v>
      </c>
      <c r="D423" s="33" t="s">
        <v>220</v>
      </c>
      <c r="E423" s="35">
        <v>44765</v>
      </c>
      <c r="F423" s="33" t="s">
        <v>227</v>
      </c>
      <c r="G423" s="33" t="s">
        <v>208</v>
      </c>
      <c r="H423" s="33" t="s">
        <v>1767</v>
      </c>
      <c r="I423" s="33" t="s">
        <v>413</v>
      </c>
      <c r="J423" s="33" t="s">
        <v>830</v>
      </c>
    </row>
    <row r="424" spans="1:10" ht="18" customHeight="1" x14ac:dyDescent="0.3">
      <c r="A424" s="33">
        <v>282</v>
      </c>
      <c r="B424" s="33" t="s">
        <v>1768</v>
      </c>
      <c r="C424" s="33" t="s">
        <v>1769</v>
      </c>
      <c r="D424" s="33" t="s">
        <v>220</v>
      </c>
      <c r="E424" s="35">
        <v>44735</v>
      </c>
      <c r="F424" s="33" t="s">
        <v>221</v>
      </c>
      <c r="G424" s="33" t="s">
        <v>205</v>
      </c>
      <c r="H424" s="33" t="s">
        <v>1040</v>
      </c>
      <c r="I424" s="33" t="s">
        <v>640</v>
      </c>
      <c r="J424" s="33" t="s">
        <v>863</v>
      </c>
    </row>
    <row r="425" spans="1:10" ht="18" customHeight="1" x14ac:dyDescent="0.3">
      <c r="A425" s="33">
        <v>433</v>
      </c>
      <c r="B425" s="33" t="s">
        <v>1770</v>
      </c>
      <c r="C425" s="33" t="s">
        <v>1771</v>
      </c>
      <c r="D425" s="33" t="s">
        <v>220</v>
      </c>
      <c r="E425" s="35">
        <v>44832</v>
      </c>
      <c r="F425" s="33" t="s">
        <v>281</v>
      </c>
      <c r="G425" s="33" t="s">
        <v>207</v>
      </c>
      <c r="H425" s="33" t="s">
        <v>1155</v>
      </c>
      <c r="I425" s="33" t="s">
        <v>525</v>
      </c>
      <c r="J425" s="33" t="s">
        <v>450</v>
      </c>
    </row>
    <row r="426" spans="1:10" ht="18" customHeight="1" x14ac:dyDescent="0.3">
      <c r="A426" s="33">
        <v>212</v>
      </c>
      <c r="B426" s="33" t="s">
        <v>1772</v>
      </c>
      <c r="C426" s="33" t="s">
        <v>1773</v>
      </c>
      <c r="D426" s="33" t="s">
        <v>238</v>
      </c>
      <c r="E426" s="35">
        <v>44815</v>
      </c>
      <c r="F426" s="33" t="s">
        <v>221</v>
      </c>
      <c r="G426" s="33" t="s">
        <v>205</v>
      </c>
      <c r="H426" s="33" t="s">
        <v>1258</v>
      </c>
      <c r="I426" s="33" t="s">
        <v>1218</v>
      </c>
      <c r="J426" s="33" t="s">
        <v>1526</v>
      </c>
    </row>
    <row r="427" spans="1:10" ht="18" customHeight="1" x14ac:dyDescent="0.3">
      <c r="A427" s="33">
        <v>499</v>
      </c>
      <c r="B427" s="33" t="s">
        <v>1774</v>
      </c>
      <c r="C427" s="33" t="s">
        <v>1775</v>
      </c>
      <c r="D427" s="33" t="s">
        <v>220</v>
      </c>
      <c r="E427" s="35">
        <v>44798</v>
      </c>
      <c r="F427" s="33" t="s">
        <v>227</v>
      </c>
      <c r="G427" s="33" t="s">
        <v>208</v>
      </c>
      <c r="H427" s="33" t="s">
        <v>1776</v>
      </c>
      <c r="I427" s="33" t="s">
        <v>1777</v>
      </c>
      <c r="J427" s="33" t="s">
        <v>1495</v>
      </c>
    </row>
    <row r="428" spans="1:10" ht="18" customHeight="1" x14ac:dyDescent="0.3">
      <c r="A428" s="33">
        <v>347</v>
      </c>
      <c r="B428" s="33" t="s">
        <v>1778</v>
      </c>
      <c r="C428" s="33" t="s">
        <v>1779</v>
      </c>
      <c r="D428" s="33" t="s">
        <v>220</v>
      </c>
      <c r="E428" s="35">
        <v>44588</v>
      </c>
      <c r="F428" s="33" t="s">
        <v>281</v>
      </c>
      <c r="G428" s="33" t="s">
        <v>207</v>
      </c>
      <c r="H428" s="33" t="s">
        <v>547</v>
      </c>
      <c r="I428" s="33" t="s">
        <v>1085</v>
      </c>
      <c r="J428" s="33" t="s">
        <v>1780</v>
      </c>
    </row>
    <row r="429" spans="1:10" ht="18" customHeight="1" x14ac:dyDescent="0.3">
      <c r="A429" s="33">
        <v>469</v>
      </c>
      <c r="B429" s="33" t="s">
        <v>1781</v>
      </c>
      <c r="C429" s="33" t="s">
        <v>1782</v>
      </c>
      <c r="D429" s="33" t="s">
        <v>220</v>
      </c>
      <c r="E429" s="35">
        <v>44659</v>
      </c>
      <c r="F429" s="33" t="s">
        <v>239</v>
      </c>
      <c r="G429" s="33" t="s">
        <v>204</v>
      </c>
      <c r="H429" s="33" t="s">
        <v>1288</v>
      </c>
      <c r="I429" s="33" t="s">
        <v>1783</v>
      </c>
      <c r="J429" s="33" t="s">
        <v>909</v>
      </c>
    </row>
    <row r="430" spans="1:10" ht="18" customHeight="1" x14ac:dyDescent="0.3">
      <c r="A430" s="33">
        <v>93</v>
      </c>
      <c r="B430" s="33" t="s">
        <v>1784</v>
      </c>
      <c r="C430" s="33" t="s">
        <v>1785</v>
      </c>
      <c r="D430" s="33" t="s">
        <v>238</v>
      </c>
      <c r="E430" s="35">
        <v>44905</v>
      </c>
      <c r="F430" s="33" t="s">
        <v>244</v>
      </c>
      <c r="G430" s="33" t="s">
        <v>206</v>
      </c>
      <c r="H430" s="33" t="s">
        <v>823</v>
      </c>
      <c r="I430" s="33" t="s">
        <v>598</v>
      </c>
      <c r="J430" s="33" t="s">
        <v>343</v>
      </c>
    </row>
    <row r="431" spans="1:10" ht="18" customHeight="1" x14ac:dyDescent="0.3">
      <c r="A431" s="33">
        <v>200</v>
      </c>
      <c r="B431" s="33" t="s">
        <v>1786</v>
      </c>
      <c r="C431" s="33" t="s">
        <v>1787</v>
      </c>
      <c r="D431" s="33" t="s">
        <v>220</v>
      </c>
      <c r="E431" s="35">
        <v>44783</v>
      </c>
      <c r="F431" s="33" t="s">
        <v>221</v>
      </c>
      <c r="G431" s="33" t="s">
        <v>205</v>
      </c>
      <c r="H431" s="33" t="s">
        <v>1695</v>
      </c>
      <c r="I431" s="33" t="s">
        <v>432</v>
      </c>
      <c r="J431" s="33" t="s">
        <v>433</v>
      </c>
    </row>
    <row r="432" spans="1:10" ht="18" customHeight="1" x14ac:dyDescent="0.3">
      <c r="A432" s="33">
        <v>95</v>
      </c>
      <c r="B432" s="33" t="s">
        <v>1788</v>
      </c>
      <c r="C432" s="33" t="s">
        <v>1789</v>
      </c>
      <c r="D432" s="33" t="s">
        <v>238</v>
      </c>
      <c r="E432" s="35">
        <v>44704</v>
      </c>
      <c r="F432" s="33" t="s">
        <v>221</v>
      </c>
      <c r="G432" s="33" t="s">
        <v>205</v>
      </c>
      <c r="H432" s="33" t="s">
        <v>1268</v>
      </c>
      <c r="I432" s="33" t="s">
        <v>772</v>
      </c>
      <c r="J432" s="33" t="s">
        <v>893</v>
      </c>
    </row>
    <row r="433" spans="1:10" ht="18" customHeight="1" x14ac:dyDescent="0.3">
      <c r="A433" s="33">
        <v>20</v>
      </c>
      <c r="B433" s="33" t="s">
        <v>1790</v>
      </c>
      <c r="C433" s="33" t="s">
        <v>1791</v>
      </c>
      <c r="D433" s="33" t="s">
        <v>238</v>
      </c>
      <c r="E433" s="35">
        <v>44691</v>
      </c>
      <c r="F433" s="33" t="s">
        <v>221</v>
      </c>
      <c r="G433" s="33" t="s">
        <v>205</v>
      </c>
      <c r="H433" s="33" t="s">
        <v>1552</v>
      </c>
      <c r="I433" s="33" t="s">
        <v>1792</v>
      </c>
      <c r="J433" s="33" t="s">
        <v>427</v>
      </c>
    </row>
    <row r="434" spans="1:10" ht="18" customHeight="1" x14ac:dyDescent="0.3">
      <c r="A434" s="33">
        <v>94</v>
      </c>
      <c r="B434" s="33" t="s">
        <v>1793</v>
      </c>
      <c r="C434" s="33" t="s">
        <v>1794</v>
      </c>
      <c r="D434" s="33" t="s">
        <v>220</v>
      </c>
      <c r="E434" s="35">
        <v>44723</v>
      </c>
      <c r="F434" s="33" t="s">
        <v>244</v>
      </c>
      <c r="G434" s="33" t="s">
        <v>206</v>
      </c>
      <c r="H434" s="33" t="s">
        <v>475</v>
      </c>
      <c r="I434" s="33" t="s">
        <v>1795</v>
      </c>
      <c r="J434" s="33" t="s">
        <v>615</v>
      </c>
    </row>
    <row r="435" spans="1:10" ht="18" customHeight="1" x14ac:dyDescent="0.3">
      <c r="A435" s="33">
        <v>427</v>
      </c>
      <c r="B435" s="33" t="s">
        <v>1796</v>
      </c>
      <c r="C435" s="33" t="s">
        <v>1797</v>
      </c>
      <c r="D435" s="33" t="s">
        <v>238</v>
      </c>
      <c r="E435" s="35">
        <v>44834</v>
      </c>
      <c r="F435" s="33" t="s">
        <v>239</v>
      </c>
      <c r="G435" s="33" t="s">
        <v>204</v>
      </c>
      <c r="H435" s="33" t="s">
        <v>324</v>
      </c>
      <c r="I435" s="33" t="s">
        <v>1783</v>
      </c>
      <c r="J435" s="33" t="s">
        <v>1798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ySplit="1" topLeftCell="A2" activePane="bottomLeft" state="frozen"/>
      <selection pane="bottomLeft" activeCell="B2" sqref="B2"/>
    </sheetView>
  </sheetViews>
  <sheetFormatPr defaultColWidth="8.77734375" defaultRowHeight="14.4" x14ac:dyDescent="0.3"/>
  <cols>
    <col min="1" max="1" width="18" bestFit="1" customWidth="1"/>
    <col min="2" max="2" width="12" bestFit="1" customWidth="1"/>
    <col min="3" max="3" width="20" customWidth="1"/>
  </cols>
  <sheetData>
    <row r="1" spans="1:3" x14ac:dyDescent="0.3">
      <c r="A1" s="37" t="s">
        <v>1799</v>
      </c>
      <c r="B1" s="37" t="s">
        <v>1800</v>
      </c>
      <c r="C1" s="37" t="s">
        <v>217</v>
      </c>
    </row>
    <row r="2" spans="1:3" x14ac:dyDescent="0.3">
      <c r="A2" s="33" t="s">
        <v>204</v>
      </c>
      <c r="B2" s="33" t="s">
        <v>239</v>
      </c>
      <c r="C2" s="33">
        <v>146</v>
      </c>
    </row>
    <row r="3" spans="1:3" x14ac:dyDescent="0.3">
      <c r="A3" s="33" t="s">
        <v>1801</v>
      </c>
      <c r="B3" s="33" t="s">
        <v>239</v>
      </c>
      <c r="C3" s="33">
        <v>0</v>
      </c>
    </row>
    <row r="4" spans="1:3" x14ac:dyDescent="0.3">
      <c r="A4" s="33" t="s">
        <v>208</v>
      </c>
      <c r="B4" s="33" t="s">
        <v>227</v>
      </c>
      <c r="C4" s="33">
        <v>51</v>
      </c>
    </row>
    <row r="5" spans="1:3" x14ac:dyDescent="0.3">
      <c r="A5" s="33" t="s">
        <v>205</v>
      </c>
      <c r="B5" s="33" t="s">
        <v>221</v>
      </c>
      <c r="C5" s="33">
        <v>85</v>
      </c>
    </row>
    <row r="6" spans="1:3" x14ac:dyDescent="0.3">
      <c r="A6" s="33" t="s">
        <v>207</v>
      </c>
      <c r="B6" s="33" t="s">
        <v>281</v>
      </c>
      <c r="C6" s="33">
        <v>74</v>
      </c>
    </row>
    <row r="7" spans="1:3" x14ac:dyDescent="0.3">
      <c r="A7" s="33" t="s">
        <v>206</v>
      </c>
      <c r="B7" s="33" t="s">
        <v>244</v>
      </c>
      <c r="C7" s="33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9"/>
  <sheetViews>
    <sheetView showGridLines="0" tabSelected="1" zoomScale="55" zoomScaleNormal="55" workbookViewId="0">
      <pane ySplit="3" topLeftCell="A4" activePane="bottomLeft" state="frozen"/>
      <selection pane="bottomLeft" activeCell="D21" sqref="D21"/>
    </sheetView>
  </sheetViews>
  <sheetFormatPr defaultRowHeight="14.4" x14ac:dyDescent="0.3"/>
  <cols>
    <col min="1" max="1" width="38" customWidth="1"/>
    <col min="2" max="9" width="18" customWidth="1"/>
    <col min="10" max="10" width="20" customWidth="1"/>
    <col min="11" max="13" width="16" customWidth="1"/>
  </cols>
  <sheetData>
    <row r="1" spans="1:13" ht="18" customHeight="1" x14ac:dyDescent="0.3">
      <c r="A1" s="46" t="s">
        <v>1802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8" customHeight="1" x14ac:dyDescent="0.3">
      <c r="A2" s="47" t="s">
        <v>1803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18" customHeight="1" x14ac:dyDescent="0.3"/>
    <row r="4" spans="1:13" ht="18" customHeight="1" x14ac:dyDescent="0.3">
      <c r="A4" s="38" t="s">
        <v>89</v>
      </c>
      <c r="B4" s="38" t="s">
        <v>90</v>
      </c>
      <c r="J4" s="44" t="s">
        <v>1804</v>
      </c>
      <c r="K4" s="43"/>
      <c r="L4" s="43"/>
    </row>
    <row r="5" spans="1:13" ht="18" customHeight="1" x14ac:dyDescent="0.3">
      <c r="A5" s="33" t="s">
        <v>93</v>
      </c>
      <c r="B5" s="33">
        <v>12</v>
      </c>
      <c r="J5" s="45">
        <v>432</v>
      </c>
      <c r="K5" s="43"/>
      <c r="L5" s="43"/>
    </row>
    <row r="6" spans="1:13" ht="18" customHeight="1" x14ac:dyDescent="0.3">
      <c r="A6" s="33" t="s">
        <v>96</v>
      </c>
      <c r="B6" s="33">
        <v>12</v>
      </c>
    </row>
    <row r="7" spans="1:13" ht="18" customHeight="1" x14ac:dyDescent="0.3">
      <c r="A7" s="33" t="s">
        <v>99</v>
      </c>
      <c r="B7" s="33">
        <v>12</v>
      </c>
      <c r="J7" s="44" t="s">
        <v>1805</v>
      </c>
      <c r="K7" s="43"/>
      <c r="L7" s="43"/>
    </row>
    <row r="8" spans="1:13" ht="18" customHeight="1" x14ac:dyDescent="0.3">
      <c r="A8" s="33" t="s">
        <v>102</v>
      </c>
      <c r="B8" s="33">
        <v>12</v>
      </c>
      <c r="J8" s="45">
        <v>434</v>
      </c>
      <c r="K8" s="43"/>
      <c r="L8" s="43"/>
    </row>
    <row r="9" spans="1:13" ht="18" customHeight="1" x14ac:dyDescent="0.3">
      <c r="A9" s="33" t="s">
        <v>105</v>
      </c>
      <c r="B9" s="33">
        <v>11</v>
      </c>
    </row>
    <row r="10" spans="1:13" ht="18" customHeight="1" x14ac:dyDescent="0.3">
      <c r="A10" s="33" t="s">
        <v>108</v>
      </c>
      <c r="B10" s="33">
        <v>10</v>
      </c>
      <c r="J10" s="44" t="s">
        <v>1806</v>
      </c>
      <c r="K10" s="43"/>
      <c r="L10" s="43"/>
    </row>
    <row r="11" spans="1:13" ht="18" customHeight="1" x14ac:dyDescent="0.3">
      <c r="A11" s="33" t="s">
        <v>111</v>
      </c>
      <c r="B11" s="33">
        <v>9</v>
      </c>
      <c r="J11" s="45">
        <v>5</v>
      </c>
      <c r="K11" s="43"/>
      <c r="L11" s="43"/>
    </row>
    <row r="12" spans="1:13" ht="18" customHeight="1" x14ac:dyDescent="0.3">
      <c r="A12" s="33" t="s">
        <v>114</v>
      </c>
      <c r="B12" s="33">
        <v>9</v>
      </c>
    </row>
    <row r="13" spans="1:13" ht="18" customHeight="1" x14ac:dyDescent="0.3">
      <c r="A13" s="33" t="s">
        <v>117</v>
      </c>
      <c r="B13" s="33">
        <v>9</v>
      </c>
      <c r="J13" s="44" t="s">
        <v>1807</v>
      </c>
      <c r="K13" s="43"/>
      <c r="L13" s="43"/>
    </row>
    <row r="14" spans="1:13" ht="18" customHeight="1" x14ac:dyDescent="0.3">
      <c r="A14" s="33" t="s">
        <v>120</v>
      </c>
      <c r="B14" s="33">
        <v>8</v>
      </c>
      <c r="J14" s="45" t="s">
        <v>1808</v>
      </c>
      <c r="K14" s="43"/>
      <c r="L14" s="43"/>
    </row>
    <row r="15" spans="1:13" ht="18" customHeight="1" x14ac:dyDescent="0.3">
      <c r="A15" s="33" t="s">
        <v>123</v>
      </c>
      <c r="B15" s="33">
        <v>8</v>
      </c>
    </row>
    <row r="16" spans="1:13" ht="18" customHeight="1" x14ac:dyDescent="0.3">
      <c r="A16" s="33" t="s">
        <v>125</v>
      </c>
      <c r="B16" s="33">
        <v>8</v>
      </c>
      <c r="J16" s="44" t="s">
        <v>1809</v>
      </c>
      <c r="K16" s="43"/>
      <c r="L16" s="43"/>
    </row>
    <row r="17" spans="1:12" ht="18" customHeight="1" x14ac:dyDescent="0.3">
      <c r="A17" s="33" t="s">
        <v>127</v>
      </c>
      <c r="B17" s="33">
        <v>7</v>
      </c>
      <c r="J17" s="45" t="s">
        <v>1810</v>
      </c>
      <c r="K17" s="43"/>
      <c r="L17" s="43"/>
    </row>
    <row r="18" spans="1:12" ht="18" customHeight="1" x14ac:dyDescent="0.3">
      <c r="A18" s="33" t="s">
        <v>129</v>
      </c>
      <c r="B18" s="33">
        <v>7</v>
      </c>
    </row>
    <row r="19" spans="1:12" ht="18" customHeight="1" x14ac:dyDescent="0.3">
      <c r="A19" s="33" t="s">
        <v>130</v>
      </c>
      <c r="B19" s="33">
        <v>7</v>
      </c>
    </row>
    <row r="20" spans="1:12" ht="18" customHeight="1" x14ac:dyDescent="0.3"/>
    <row r="21" spans="1:12" ht="18" customHeight="1" x14ac:dyDescent="0.3"/>
    <row r="22" spans="1:12" ht="18" customHeight="1" x14ac:dyDescent="0.3"/>
    <row r="23" spans="1:12" ht="18" customHeight="1" x14ac:dyDescent="0.3">
      <c r="A23" s="36" t="s">
        <v>213</v>
      </c>
      <c r="B23" s="36" t="s">
        <v>217</v>
      </c>
      <c r="J23" s="36" t="s">
        <v>277</v>
      </c>
      <c r="K23" s="36" t="s">
        <v>278</v>
      </c>
    </row>
    <row r="24" spans="1:12" ht="18" customHeight="1" x14ac:dyDescent="0.3">
      <c r="A24" s="33" t="s">
        <v>204</v>
      </c>
      <c r="B24" s="33">
        <v>146</v>
      </c>
      <c r="J24" s="33" t="s">
        <v>238</v>
      </c>
      <c r="K24" s="33">
        <v>219</v>
      </c>
    </row>
    <row r="25" spans="1:12" ht="18" customHeight="1" x14ac:dyDescent="0.3">
      <c r="A25" s="33" t="s">
        <v>205</v>
      </c>
      <c r="B25" s="33">
        <v>85</v>
      </c>
      <c r="J25" s="33" t="s">
        <v>220</v>
      </c>
      <c r="K25" s="33">
        <v>215</v>
      </c>
    </row>
    <row r="26" spans="1:12" ht="18" customHeight="1" x14ac:dyDescent="0.3">
      <c r="A26" s="33" t="s">
        <v>206</v>
      </c>
      <c r="B26" s="33">
        <v>78</v>
      </c>
    </row>
    <row r="27" spans="1:12" ht="18" customHeight="1" x14ac:dyDescent="0.3">
      <c r="A27" s="33" t="s">
        <v>207</v>
      </c>
      <c r="B27" s="33">
        <v>74</v>
      </c>
    </row>
    <row r="28" spans="1:12" ht="18" customHeight="1" x14ac:dyDescent="0.3">
      <c r="A28" s="33" t="s">
        <v>208</v>
      </c>
      <c r="B28" s="33">
        <v>51</v>
      </c>
    </row>
    <row r="29" spans="1:12" ht="18" customHeight="1" x14ac:dyDescent="0.3"/>
    <row r="30" spans="1:12" ht="18" customHeight="1" x14ac:dyDescent="0.3"/>
    <row r="31" spans="1:12" ht="18" customHeight="1" x14ac:dyDescent="0.3"/>
    <row r="32" spans="1:12" ht="18" customHeight="1" x14ac:dyDescent="0.3"/>
    <row r="33" spans="1:3" ht="18" customHeight="1" x14ac:dyDescent="0.3"/>
    <row r="34" spans="1:3" ht="18" customHeight="1" x14ac:dyDescent="0.3"/>
    <row r="35" spans="1:3" ht="18" customHeight="1" x14ac:dyDescent="0.3"/>
    <row r="36" spans="1:3" ht="18" customHeight="1" x14ac:dyDescent="0.3"/>
    <row r="37" spans="1:3" ht="18" customHeight="1" x14ac:dyDescent="0.3"/>
    <row r="38" spans="1:3" ht="18" customHeight="1" x14ac:dyDescent="0.3"/>
    <row r="39" spans="1:3" ht="18" customHeight="1" x14ac:dyDescent="0.3"/>
    <row r="40" spans="1:3" ht="18" customHeight="1" x14ac:dyDescent="0.3">
      <c r="A40" s="39" t="s">
        <v>1799</v>
      </c>
      <c r="B40" s="39" t="s">
        <v>1800</v>
      </c>
      <c r="C40" s="39" t="s">
        <v>217</v>
      </c>
    </row>
    <row r="41" spans="1:3" ht="18" customHeight="1" x14ac:dyDescent="0.3">
      <c r="A41" s="33" t="s">
        <v>204</v>
      </c>
      <c r="B41" s="33" t="s">
        <v>239</v>
      </c>
      <c r="C41" s="33">
        <v>146</v>
      </c>
    </row>
    <row r="42" spans="1:3" ht="18" customHeight="1" x14ac:dyDescent="0.3">
      <c r="A42" s="33" t="s">
        <v>1801</v>
      </c>
      <c r="B42" s="33" t="s">
        <v>239</v>
      </c>
      <c r="C42" s="33">
        <v>0</v>
      </c>
    </row>
    <row r="43" spans="1:3" ht="18" customHeight="1" x14ac:dyDescent="0.3">
      <c r="A43" s="33" t="s">
        <v>208</v>
      </c>
      <c r="B43" s="33" t="s">
        <v>227</v>
      </c>
      <c r="C43" s="33">
        <v>51</v>
      </c>
    </row>
    <row r="44" spans="1:3" ht="18" customHeight="1" x14ac:dyDescent="0.3">
      <c r="A44" s="33" t="s">
        <v>205</v>
      </c>
      <c r="B44" s="33" t="s">
        <v>221</v>
      </c>
      <c r="C44" s="33">
        <v>85</v>
      </c>
    </row>
    <row r="45" spans="1:3" ht="18" customHeight="1" x14ac:dyDescent="0.3">
      <c r="A45" s="33" t="s">
        <v>207</v>
      </c>
      <c r="B45" s="33" t="s">
        <v>281</v>
      </c>
      <c r="C45" s="33">
        <v>74</v>
      </c>
    </row>
    <row r="46" spans="1:3" ht="18" customHeight="1" x14ac:dyDescent="0.3">
      <c r="A46" s="33" t="s">
        <v>206</v>
      </c>
      <c r="B46" s="33" t="s">
        <v>244</v>
      </c>
      <c r="C46" s="33">
        <v>78</v>
      </c>
    </row>
    <row r="47" spans="1:3" ht="18" customHeight="1" x14ac:dyDescent="0.3"/>
    <row r="48" spans="1:3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12">
    <mergeCell ref="J17:L17"/>
    <mergeCell ref="A2:M2"/>
    <mergeCell ref="J11:L11"/>
    <mergeCell ref="J7:L7"/>
    <mergeCell ref="J5:L5"/>
    <mergeCell ref="J16:L16"/>
    <mergeCell ref="J14:L14"/>
    <mergeCell ref="A1:M1"/>
    <mergeCell ref="J10:L10"/>
    <mergeCell ref="J13:L13"/>
    <mergeCell ref="J8:L8"/>
    <mergeCell ref="J4:L4"/>
  </mergeCells>
  <pageMargins left="0.75" right="0.75" top="1" bottom="1" header="0.5" footer="0.5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интро</vt:lpstr>
      <vt:lpstr>Продажи магазинов</vt:lpstr>
      <vt:lpstr>Выгода клиентам</vt:lpstr>
      <vt:lpstr>Суммарные продажи по магазинам</vt:lpstr>
      <vt:lpstr>продажи</vt:lpstr>
      <vt:lpstr>товар</vt:lpstr>
      <vt:lpstr>География клиентов</vt:lpstr>
      <vt:lpstr>клиенты</vt:lpstr>
      <vt:lpstr>коды стран</vt:lpstr>
      <vt:lpstr>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5962</cp:lastModifiedBy>
  <dcterms:created xsi:type="dcterms:W3CDTF">2024-05-23T18:05:44Z</dcterms:created>
  <dcterms:modified xsi:type="dcterms:W3CDTF">2026-05-03T17:07:04Z</dcterms:modified>
</cp:coreProperties>
</file>